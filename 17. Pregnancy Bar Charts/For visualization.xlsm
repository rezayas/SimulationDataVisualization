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01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offreyMartin/Documents/Git/SimulationDataVisualization/17. Pregnancy Bar Charts/"/>
    </mc:Choice>
  </mc:AlternateContent>
  <bookViews>
    <workbookView xWindow="0" yWindow="0" windowWidth="25600" windowHeight="16000" activeTab="2"/>
  </bookViews>
  <sheets>
    <sheet name="Settings" sheetId="2" r:id="rId1"/>
    <sheet name="Parameters" sheetId="1" r:id="rId2"/>
    <sheet name="Outcomes" sheetId="3" r:id="rId3"/>
    <sheet name="Analysis" sheetId="4" r:id="rId4"/>
    <sheet name="Visualization" sheetId="5" r:id="rId5"/>
    <sheet name="Support" sheetId="6" r:id="rId6"/>
    <sheet name="Gamma.Poisson.Calc" sheetId="7" r:id="rId7"/>
  </sheets>
  <definedNames>
    <definedName name="aep_prev_increas_contra">Outcomes!$CS$14</definedName>
    <definedName name="alpha">Settings!$D$9</definedName>
    <definedName name="averageNumOfSexualEncounters">Parameters!$I$102</definedName>
    <definedName name="ComplyCDCRecc_outcomeBase">Outcomes!#REF!</definedName>
    <definedName name="contraceptionData">Parameters!$C$34:$H$44</definedName>
    <definedName name="deltaT">Settings!$D$4</definedName>
    <definedName name="effAdjustingFactor">Parameters!$I$2</definedName>
    <definedName name="Level_ComplyCDC">Settings!$D$10</definedName>
    <definedName name="monthlyDrinks_alpha">Parameters!$B$51:$H$55</definedName>
    <definedName name="monthlyDrinks_beta">Parameters!$B$59:$H$63</definedName>
    <definedName name="monthlySexes_alpha">Parameters!$B$75:$H$81</definedName>
    <definedName name="monthlySexes_beta">Parameters!$B$85:$H$91</definedName>
    <definedName name="Nonagespecific_AEPest">Outcomes!$AW$8</definedName>
    <definedName name="percent_contraceptionDecrease">Settings!$D$12</definedName>
    <definedName name="percent_contraceptionIncrease">Settings!$D$11</definedName>
    <definedName name="popAgeDistribution">Parameters!$B$5:$D$11</definedName>
    <definedName name="popSize">Settings!$D$7</definedName>
    <definedName name="ProbHavingAbortion">Parameters!$M$15</definedName>
    <definedName name="probPregnancyAfterSex">Parameters!$H$5:$I$11</definedName>
    <definedName name="probSuccessPregnancy">Parameters!$I$12</definedName>
    <definedName name="projectionPeriod">Settings!$D$6</definedName>
    <definedName name="propMiscarriage">Parameters!$L$5:$M$11</definedName>
    <definedName name="replications">Settings!$D$8</definedName>
    <definedName name="sexualBehaviorGroups">Parameters!$C$25:$K$29</definedName>
    <definedName name="sim_AEPCause">Outcomes!$BK$14</definedName>
    <definedName name="sim_AEPPrevalence">Outcomes!$BH$14</definedName>
    <definedName name="sim_AEPPrevalenceByAge">Outcomes!$BA$14</definedName>
    <definedName name="sim_AEPRisk">Outcomes!$AP$14</definedName>
    <definedName name="sim_AEPRiskTotal">Outcomes!$AW$14</definedName>
    <definedName name="sim_percentageDrankByAge">Outcomes!$BY$14</definedName>
    <definedName name="sim_percentageDrankLastMonth">Outcomes!$BR$14</definedName>
    <definedName name="sim_percentageHadSex">Outcomes!$CI$14</definedName>
    <definedName name="sim_percentagePregnant">Outcomes!$AF$14</definedName>
    <definedName name="sim_proportionInBehaviorGroups">Outcomes!$X$14</definedName>
    <definedName name="sim_totalPregnancies">Outcomes!$AX$14</definedName>
    <definedName name="simAnnualBirthRates">Outcomes!$B$14</definedName>
    <definedName name="simUnintendedPreg">Outcomes!$K$14</definedName>
    <definedName name="warmUpPeriod">Settings!$D$5</definedName>
    <definedName name="weeklyFreqOfSexualActivity">Parameters!$C$16:$K$20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" i="1" l="1"/>
  <c r="F42" i="1"/>
  <c r="F41" i="1"/>
  <c r="F40" i="1"/>
  <c r="F39" i="1"/>
  <c r="F38" i="1"/>
  <c r="F37" i="1"/>
  <c r="F36" i="1"/>
  <c r="F35" i="1"/>
  <c r="F34" i="1"/>
  <c r="I102" i="1"/>
  <c r="I101" i="1"/>
  <c r="I100" i="1"/>
  <c r="I99" i="1"/>
  <c r="I98" i="1"/>
  <c r="I97" i="1"/>
  <c r="I96" i="1"/>
  <c r="E22" i="1" a="1"/>
  <c r="E22" i="1"/>
  <c r="K40" i="1"/>
  <c r="K21" i="1"/>
  <c r="J21" i="1"/>
  <c r="I21" i="1"/>
  <c r="H21" i="1"/>
  <c r="G21" i="1"/>
  <c r="F21" i="1"/>
  <c r="E21" i="1"/>
  <c r="G65" i="6"/>
  <c r="G64" i="6"/>
  <c r="G63" i="6"/>
  <c r="G62" i="6"/>
  <c r="G61" i="6"/>
  <c r="G60" i="6"/>
  <c r="G59" i="6"/>
  <c r="F65" i="6"/>
  <c r="F64" i="6"/>
  <c r="F63" i="6"/>
  <c r="F62" i="6"/>
  <c r="F61" i="6"/>
  <c r="F60" i="6"/>
  <c r="F59" i="6"/>
  <c r="C36" i="6"/>
  <c r="G36" i="6"/>
  <c r="E31" i="7"/>
  <c r="E32" i="7"/>
  <c r="F32" i="7"/>
  <c r="E33" i="7"/>
  <c r="F33" i="7"/>
  <c r="E34" i="7"/>
  <c r="E35" i="7"/>
  <c r="F35" i="7"/>
  <c r="E37" i="7"/>
  <c r="F37" i="7"/>
  <c r="E36" i="7"/>
  <c r="F36" i="7"/>
  <c r="F34" i="7"/>
  <c r="F31" i="7"/>
  <c r="E26" i="7"/>
  <c r="E27" i="7"/>
  <c r="F27" i="7"/>
  <c r="E28" i="7"/>
  <c r="E29" i="7"/>
  <c r="F29" i="7"/>
  <c r="E30" i="7"/>
  <c r="F26" i="7"/>
  <c r="F28" i="7"/>
  <c r="F30" i="7"/>
  <c r="E22" i="7"/>
  <c r="F22" i="7"/>
  <c r="E23" i="7"/>
  <c r="F23" i="7"/>
  <c r="E24" i="7"/>
  <c r="F24" i="7"/>
  <c r="E25" i="7"/>
  <c r="F25" i="7"/>
  <c r="E21" i="7"/>
  <c r="F21" i="7"/>
  <c r="D26" i="1"/>
  <c r="BL8" i="3"/>
  <c r="BM8" i="3"/>
  <c r="BN8" i="3"/>
  <c r="BK8" i="3"/>
  <c r="BL9" i="3"/>
  <c r="BM9" i="3"/>
  <c r="BN9" i="3"/>
  <c r="BL10" i="3"/>
  <c r="BM10" i="3"/>
  <c r="BN10" i="3"/>
  <c r="BK10" i="3"/>
  <c r="BK9" i="3"/>
  <c r="BH2" i="3"/>
  <c r="BG8" i="3"/>
  <c r="BG9" i="3"/>
  <c r="BG10" i="3"/>
  <c r="BH10" i="3"/>
  <c r="BF10" i="3"/>
  <c r="BE10" i="3"/>
  <c r="BD10" i="3"/>
  <c r="BC10" i="3"/>
  <c r="BB10" i="3"/>
  <c r="BA10" i="3"/>
  <c r="BH9" i="3"/>
  <c r="BF9" i="3"/>
  <c r="BE9" i="3"/>
  <c r="BD9" i="3"/>
  <c r="BC9" i="3"/>
  <c r="BB9" i="3"/>
  <c r="BA9" i="3"/>
  <c r="BH8" i="3"/>
  <c r="BF8" i="3"/>
  <c r="BE8" i="3"/>
  <c r="BD8" i="3"/>
  <c r="BC8" i="3"/>
  <c r="BB8" i="3"/>
  <c r="BA8" i="3"/>
  <c r="AX10" i="3"/>
  <c r="AX9" i="3"/>
  <c r="AX8" i="3"/>
  <c r="BL12" i="3"/>
  <c r="BM12" i="3"/>
  <c r="BN12" i="3"/>
  <c r="BN11" i="3"/>
  <c r="BM11" i="3"/>
  <c r="BL11" i="3"/>
  <c r="BK12" i="3"/>
  <c r="BK11" i="3"/>
  <c r="BB11" i="3"/>
  <c r="BG11" i="3"/>
  <c r="BF11" i="3"/>
  <c r="BE11" i="3"/>
  <c r="BG12" i="3"/>
  <c r="BD11" i="3"/>
  <c r="AX11" i="3"/>
  <c r="BA11" i="3"/>
  <c r="BC11" i="3"/>
  <c r="BA12" i="3"/>
  <c r="BD12" i="3"/>
  <c r="BH11" i="3"/>
  <c r="BB12" i="3"/>
  <c r="BC12" i="3"/>
  <c r="BE12" i="3"/>
  <c r="BF12" i="3"/>
  <c r="BH12" i="3"/>
  <c r="AX12" i="3"/>
  <c r="AC8" i="3"/>
  <c r="AC9" i="3"/>
  <c r="AC10" i="3"/>
  <c r="AB8" i="3"/>
  <c r="AB9" i="3"/>
  <c r="AB10" i="3"/>
  <c r="AA10" i="3"/>
  <c r="Z10" i="3"/>
  <c r="Y10" i="3"/>
  <c r="X10" i="3"/>
  <c r="AA9" i="3"/>
  <c r="Z9" i="3"/>
  <c r="Y9" i="3"/>
  <c r="X9" i="3"/>
  <c r="AA8" i="3"/>
  <c r="Z8" i="3"/>
  <c r="Y8" i="3"/>
  <c r="X8" i="3"/>
  <c r="E4" i="7"/>
  <c r="F4" i="7"/>
  <c r="AB12" i="3"/>
  <c r="AB11" i="3"/>
  <c r="AC11" i="3"/>
  <c r="AC12" i="3"/>
  <c r="Y12" i="3"/>
  <c r="Z12" i="3"/>
  <c r="AA12" i="3"/>
  <c r="X12" i="3"/>
  <c r="Y11" i="3"/>
  <c r="Z11" i="3"/>
  <c r="AA11" i="3"/>
  <c r="X11" i="3"/>
  <c r="C30" i="6"/>
  <c r="C29" i="6"/>
  <c r="C28" i="6"/>
  <c r="C27" i="6"/>
  <c r="D31" i="6"/>
  <c r="C9" i="6"/>
  <c r="C8" i="6"/>
  <c r="C7" i="6"/>
  <c r="C6" i="6"/>
  <c r="C5" i="6"/>
  <c r="C4" i="6"/>
  <c r="D10" i="6"/>
  <c r="D65" i="6"/>
  <c r="C66" i="6"/>
  <c r="F53" i="6"/>
  <c r="E53" i="6"/>
  <c r="D53" i="6"/>
  <c r="C52" i="6"/>
  <c r="C51" i="6"/>
  <c r="C50" i="6"/>
  <c r="C49" i="6"/>
  <c r="C48" i="6"/>
  <c r="C47" i="6"/>
  <c r="G47" i="6"/>
  <c r="C21" i="6"/>
  <c r="C20" i="6"/>
  <c r="C19" i="6"/>
  <c r="C18" i="6"/>
  <c r="C17" i="6"/>
  <c r="C16" i="6"/>
  <c r="C22" i="6"/>
  <c r="D22" i="6"/>
  <c r="C41" i="6"/>
  <c r="G41" i="6"/>
  <c r="C40" i="6"/>
  <c r="G40" i="6"/>
  <c r="C39" i="6"/>
  <c r="G39" i="6"/>
  <c r="C38" i="6"/>
  <c r="G38" i="6"/>
  <c r="C37" i="6"/>
  <c r="D42" i="6"/>
  <c r="B41" i="6"/>
  <c r="B52" i="6"/>
  <c r="B40" i="6"/>
  <c r="B51" i="6"/>
  <c r="B39" i="6"/>
  <c r="B50" i="6"/>
  <c r="B38" i="6"/>
  <c r="B49" i="6"/>
  <c r="B37" i="6"/>
  <c r="B48" i="6"/>
  <c r="B36" i="6"/>
  <c r="B47" i="6"/>
  <c r="F42" i="6"/>
  <c r="E42" i="6"/>
  <c r="I36" i="6"/>
  <c r="E57" i="6"/>
  <c r="E62" i="6"/>
  <c r="E65" i="6"/>
  <c r="E64" i="6"/>
  <c r="E63" i="6"/>
  <c r="D59" i="6"/>
  <c r="D60" i="6"/>
  <c r="D61" i="6"/>
  <c r="D63" i="6"/>
  <c r="D62" i="6"/>
  <c r="D64" i="6"/>
  <c r="H40" i="6"/>
  <c r="I40" i="6"/>
  <c r="I41" i="6"/>
  <c r="H41" i="6"/>
  <c r="C53" i="6"/>
  <c r="I39" i="6"/>
  <c r="H39" i="6"/>
  <c r="C42" i="6"/>
  <c r="BZ3" i="3" a="1"/>
  <c r="G51" i="6"/>
  <c r="I51" i="6"/>
  <c r="G37" i="6"/>
  <c r="I37" i="6"/>
  <c r="H38" i="6"/>
  <c r="G48" i="6"/>
  <c r="H48" i="6"/>
  <c r="G52" i="6"/>
  <c r="I52" i="6"/>
  <c r="G49" i="6"/>
  <c r="I49" i="6"/>
  <c r="G50" i="6"/>
  <c r="H50" i="6"/>
  <c r="I47" i="6"/>
  <c r="H36" i="6"/>
  <c r="X3" i="3" a="1"/>
  <c r="D66" i="6"/>
  <c r="E59" i="6"/>
  <c r="H37" i="6"/>
  <c r="E60" i="6"/>
  <c r="E61" i="6"/>
  <c r="G42" i="6"/>
  <c r="H42" i="6"/>
  <c r="I48" i="6"/>
  <c r="G53" i="6"/>
  <c r="H53" i="6"/>
  <c r="AQ3" i="3" a="1"/>
  <c r="CE3" i="3"/>
  <c r="CA3" i="3"/>
  <c r="BZ3" i="3"/>
  <c r="CB3" i="3"/>
  <c r="CD3" i="3"/>
  <c r="CC3" i="3"/>
  <c r="CF3" i="3"/>
  <c r="H51" i="6"/>
  <c r="I50" i="6"/>
  <c r="I38" i="6"/>
  <c r="H52" i="6"/>
  <c r="H47" i="6"/>
  <c r="H49" i="6"/>
  <c r="I42" i="6"/>
  <c r="BZ4" i="3" a="1"/>
  <c r="AB3" i="3"/>
  <c r="Z3" i="3"/>
  <c r="X3" i="3"/>
  <c r="AC3" i="3"/>
  <c r="AA3" i="3"/>
  <c r="Y3" i="3"/>
  <c r="I53" i="6"/>
  <c r="AQ4" i="3" a="1"/>
  <c r="AS3" i="3"/>
  <c r="AV3" i="3"/>
  <c r="AQ3" i="3"/>
  <c r="AU3" i="3"/>
  <c r="AT3" i="3"/>
  <c r="AR3" i="3"/>
  <c r="AW3" i="3"/>
  <c r="BV6" i="3"/>
  <c r="BV7" i="3"/>
  <c r="CB4" i="3"/>
  <c r="CB6" i="3"/>
  <c r="CF4" i="3"/>
  <c r="CD4" i="3"/>
  <c r="CD6" i="3"/>
  <c r="CB5" i="3"/>
  <c r="CB7" i="3"/>
  <c r="CD5" i="3"/>
  <c r="CD7" i="3"/>
  <c r="CE5" i="3"/>
  <c r="CE7" i="3"/>
  <c r="CC5" i="3"/>
  <c r="CC7" i="3"/>
  <c r="BZ5" i="3"/>
  <c r="BZ7" i="3"/>
  <c r="CE4" i="3"/>
  <c r="CE6" i="3"/>
  <c r="CC4" i="3"/>
  <c r="CC6" i="3"/>
  <c r="CA4" i="3"/>
  <c r="CA6" i="3"/>
  <c r="BZ4" i="3"/>
  <c r="BZ6" i="3"/>
  <c r="CF5" i="3"/>
  <c r="CA5" i="3"/>
  <c r="CA7" i="3"/>
  <c r="AV4" i="3"/>
  <c r="AV6" i="3"/>
  <c r="AU4" i="3"/>
  <c r="AU6" i="3"/>
  <c r="AU5" i="3"/>
  <c r="AU7" i="3"/>
  <c r="AR5" i="3"/>
  <c r="AR7" i="3"/>
  <c r="AT4" i="3"/>
  <c r="AT6" i="3"/>
  <c r="AR4" i="3"/>
  <c r="AR6" i="3"/>
  <c r="AT5" i="3"/>
  <c r="AT7" i="3"/>
  <c r="AS4" i="3"/>
  <c r="AS6" i="3"/>
  <c r="AV5" i="3"/>
  <c r="AV7" i="3"/>
  <c r="AS5" i="3"/>
  <c r="AS7" i="3"/>
  <c r="AQ5" i="3"/>
  <c r="AQ7" i="3"/>
  <c r="AQ4" i="3"/>
  <c r="AQ6" i="3"/>
  <c r="AW5" i="3"/>
  <c r="AW7" i="3"/>
  <c r="AW4" i="3"/>
  <c r="AW6" i="3"/>
  <c r="BR3" i="3" a="1"/>
  <c r="BR3" i="3"/>
  <c r="BU3" i="3"/>
  <c r="BT3" i="3"/>
  <c r="BS3" i="3"/>
  <c r="B30" i="6"/>
  <c r="B29" i="6"/>
  <c r="B28" i="6"/>
  <c r="B27" i="6"/>
  <c r="F31" i="6"/>
  <c r="E31" i="6"/>
  <c r="C31" i="6"/>
  <c r="G30" i="6"/>
  <c r="I30" i="6"/>
  <c r="G29" i="6"/>
  <c r="H29" i="6"/>
  <c r="G28" i="6"/>
  <c r="I28" i="6"/>
  <c r="G27" i="6"/>
  <c r="I27" i="6"/>
  <c r="D11" i="1"/>
  <c r="D10" i="1"/>
  <c r="D9" i="1"/>
  <c r="D8" i="1"/>
  <c r="D7" i="1"/>
  <c r="D6" i="1"/>
  <c r="I29" i="6"/>
  <c r="G31" i="6"/>
  <c r="H31" i="6"/>
  <c r="H27" i="6"/>
  <c r="H28" i="6"/>
  <c r="H30" i="6"/>
  <c r="BZ2" i="3"/>
  <c r="CA2" i="3"/>
  <c r="CB2" i="3"/>
  <c r="CC2" i="3"/>
  <c r="CD2" i="3"/>
  <c r="CE2" i="3"/>
  <c r="BY2" i="3"/>
  <c r="CE10" i="3"/>
  <c r="CD10" i="3"/>
  <c r="CC10" i="3"/>
  <c r="CB10" i="3"/>
  <c r="CA10" i="3"/>
  <c r="BZ10" i="3"/>
  <c r="BY10" i="3"/>
  <c r="CE9" i="3"/>
  <c r="CD9" i="3"/>
  <c r="CC9" i="3"/>
  <c r="CB9" i="3"/>
  <c r="CA9" i="3"/>
  <c r="BZ9" i="3"/>
  <c r="BY9" i="3"/>
  <c r="CE8" i="3"/>
  <c r="CD8" i="3"/>
  <c r="CC8" i="3"/>
  <c r="CB8" i="3"/>
  <c r="CA8" i="3"/>
  <c r="BZ8" i="3"/>
  <c r="BY8" i="3"/>
  <c r="BR4" i="3" a="1"/>
  <c r="I31" i="6"/>
  <c r="CD12" i="3"/>
  <c r="CB11" i="3"/>
  <c r="BZ11" i="3"/>
  <c r="CD11" i="3"/>
  <c r="CE11" i="3"/>
  <c r="CA11" i="3"/>
  <c r="BY12" i="3"/>
  <c r="CC12" i="3"/>
  <c r="BZ12" i="3"/>
  <c r="BY11" i="3"/>
  <c r="CC11" i="3"/>
  <c r="CA12" i="3"/>
  <c r="CE12" i="3"/>
  <c r="CB12" i="3"/>
  <c r="G27" i="1"/>
  <c r="F27" i="1"/>
  <c r="BR4" i="3"/>
  <c r="BR6" i="3"/>
  <c r="BU4" i="3"/>
  <c r="BU6" i="3"/>
  <c r="BT5" i="3"/>
  <c r="BT7" i="3"/>
  <c r="BS4" i="3"/>
  <c r="BS6" i="3"/>
  <c r="BU5" i="3"/>
  <c r="BU7" i="3"/>
  <c r="BT4" i="3"/>
  <c r="BT6" i="3"/>
  <c r="BS5" i="3"/>
  <c r="BS7" i="3"/>
  <c r="BR5" i="3"/>
  <c r="BR7" i="3"/>
  <c r="R12" i="6"/>
  <c r="R11" i="6"/>
  <c r="Q12" i="6"/>
  <c r="R9" i="6"/>
  <c r="R8" i="6"/>
  <c r="P9" i="6"/>
  <c r="P8" i="6"/>
  <c r="Q11" i="6"/>
  <c r="D4" i="2"/>
  <c r="D101" i="1"/>
  <c r="D100" i="1"/>
  <c r="D99" i="1"/>
  <c r="D98" i="1"/>
  <c r="D97" i="1"/>
  <c r="D96" i="1"/>
  <c r="H95" i="1"/>
  <c r="G95" i="1"/>
  <c r="F95" i="1"/>
  <c r="E95" i="1"/>
  <c r="D95" i="1"/>
  <c r="Q9" i="6"/>
  <c r="Q8" i="6"/>
  <c r="E86" i="1"/>
  <c r="E76" i="1"/>
  <c r="E96" i="1"/>
  <c r="E5" i="7"/>
  <c r="E87" i="1"/>
  <c r="E6" i="7"/>
  <c r="E7" i="7"/>
  <c r="E8" i="7"/>
  <c r="E9" i="7"/>
  <c r="E10" i="7"/>
  <c r="E11" i="7"/>
  <c r="E12" i="7"/>
  <c r="E13" i="7"/>
  <c r="E14" i="7"/>
  <c r="E15" i="7"/>
  <c r="E16" i="7"/>
  <c r="E17" i="7"/>
  <c r="F5" i="7"/>
  <c r="E77" i="1"/>
  <c r="E97" i="1"/>
  <c r="F16" i="7"/>
  <c r="G89" i="1"/>
  <c r="G90" i="1"/>
  <c r="G91" i="1"/>
  <c r="G86" i="1"/>
  <c r="G87" i="1"/>
  <c r="G88" i="1"/>
  <c r="F17" i="7"/>
  <c r="H88" i="1"/>
  <c r="H90" i="1"/>
  <c r="H89" i="1"/>
  <c r="H91" i="1"/>
  <c r="H87" i="1"/>
  <c r="H86" i="1"/>
  <c r="F10" i="7"/>
  <c r="F76" i="1"/>
  <c r="F96" i="1"/>
  <c r="F86" i="1"/>
  <c r="F15" i="7"/>
  <c r="F81" i="1"/>
  <c r="F91" i="1"/>
  <c r="F14" i="7"/>
  <c r="F80" i="1"/>
  <c r="F90" i="1"/>
  <c r="F13" i="7"/>
  <c r="F79" i="1"/>
  <c r="F89" i="1"/>
  <c r="F9" i="7"/>
  <c r="E81" i="1"/>
  <c r="E91" i="1"/>
  <c r="F12" i="7"/>
  <c r="F78" i="1"/>
  <c r="F88" i="1"/>
  <c r="F11" i="7"/>
  <c r="F77" i="1"/>
  <c r="F87" i="1"/>
  <c r="F8" i="7"/>
  <c r="E80" i="1"/>
  <c r="E100" i="1"/>
  <c r="E90" i="1"/>
  <c r="F7" i="7"/>
  <c r="E79" i="1"/>
  <c r="E89" i="1"/>
  <c r="F6" i="7"/>
  <c r="E78" i="1"/>
  <c r="E88" i="1"/>
  <c r="F22" i="6"/>
  <c r="E22" i="6"/>
  <c r="CJ3" i="3" a="1"/>
  <c r="CO3" i="3"/>
  <c r="G21" i="6"/>
  <c r="H21" i="6"/>
  <c r="G20" i="6"/>
  <c r="H20" i="6"/>
  <c r="G19" i="6"/>
  <c r="I19" i="6"/>
  <c r="G18" i="6"/>
  <c r="H18" i="6"/>
  <c r="G17" i="6"/>
  <c r="H17" i="6"/>
  <c r="G16" i="6"/>
  <c r="I16" i="6"/>
  <c r="F98" i="1"/>
  <c r="H77" i="1"/>
  <c r="H97" i="1"/>
  <c r="H81" i="1"/>
  <c r="H101" i="1"/>
  <c r="H76" i="1"/>
  <c r="H96" i="1"/>
  <c r="H78" i="1"/>
  <c r="H98" i="1"/>
  <c r="H79" i="1"/>
  <c r="H99" i="1"/>
  <c r="H80" i="1"/>
  <c r="H100" i="1"/>
  <c r="E99" i="1"/>
  <c r="E101" i="1"/>
  <c r="F100" i="1"/>
  <c r="F97" i="1"/>
  <c r="F99" i="1"/>
  <c r="E98" i="1"/>
  <c r="F101" i="1"/>
  <c r="G77" i="1"/>
  <c r="G97" i="1"/>
  <c r="G78" i="1"/>
  <c r="G98" i="1"/>
  <c r="G80" i="1"/>
  <c r="G100" i="1"/>
  <c r="G76" i="1"/>
  <c r="G96" i="1"/>
  <c r="G79" i="1"/>
  <c r="G99" i="1"/>
  <c r="G81" i="1"/>
  <c r="G101" i="1"/>
  <c r="CN3" i="3"/>
  <c r="CM3" i="3"/>
  <c r="CL3" i="3"/>
  <c r="CK3" i="3"/>
  <c r="CJ3" i="3"/>
  <c r="CP3" i="3"/>
  <c r="H16" i="6"/>
  <c r="I21" i="6"/>
  <c r="I17" i="6"/>
  <c r="G22" i="6"/>
  <c r="I22" i="6"/>
  <c r="I18" i="6"/>
  <c r="H19" i="6"/>
  <c r="I20" i="6"/>
  <c r="BV8" i="3"/>
  <c r="BV9" i="3"/>
  <c r="BV10" i="3"/>
  <c r="BR2" i="3" a="1"/>
  <c r="BS2" i="3"/>
  <c r="Y2" i="3"/>
  <c r="H22" i="6"/>
  <c r="CJ4" i="3" a="1"/>
  <c r="BV12" i="3"/>
  <c r="BV11" i="3"/>
  <c r="BT2" i="3"/>
  <c r="Z2" i="3"/>
  <c r="BU2" i="3"/>
  <c r="AA2" i="3"/>
  <c r="BR2" i="3"/>
  <c r="X2" i="3"/>
  <c r="BV2" i="3"/>
  <c r="AB2" i="3"/>
  <c r="CJ2" i="3"/>
  <c r="CK2" i="3"/>
  <c r="CL2" i="3"/>
  <c r="CM2" i="3"/>
  <c r="CN2" i="3"/>
  <c r="CO2" i="3"/>
  <c r="CI2" i="3"/>
  <c r="CO10" i="3"/>
  <c r="CN10" i="3"/>
  <c r="CM10" i="3"/>
  <c r="CL10" i="3"/>
  <c r="CK10" i="3"/>
  <c r="CJ10" i="3"/>
  <c r="CI10" i="3"/>
  <c r="CO9" i="3"/>
  <c r="CN9" i="3"/>
  <c r="CM9" i="3"/>
  <c r="CL9" i="3"/>
  <c r="CK9" i="3"/>
  <c r="CJ9" i="3"/>
  <c r="CI9" i="3"/>
  <c r="CO8" i="3"/>
  <c r="CN8" i="3"/>
  <c r="CM8" i="3"/>
  <c r="CL8" i="3"/>
  <c r="CK8" i="3"/>
  <c r="CJ8" i="3"/>
  <c r="CI8" i="3"/>
  <c r="F10" i="6"/>
  <c r="E10" i="6"/>
  <c r="C10" i="6"/>
  <c r="AG3" i="3" a="1"/>
  <c r="AL3" i="3"/>
  <c r="G9" i="6"/>
  <c r="I9" i="6"/>
  <c r="G8" i="6"/>
  <c r="I8" i="6"/>
  <c r="G7" i="6"/>
  <c r="I7" i="6"/>
  <c r="G6" i="6"/>
  <c r="I6" i="6"/>
  <c r="G5" i="6"/>
  <c r="H5" i="6"/>
  <c r="G4" i="6"/>
  <c r="I4" i="6"/>
  <c r="AG2" i="3"/>
  <c r="AQ2" i="3"/>
  <c r="BB2" i="3"/>
  <c r="AH2" i="3"/>
  <c r="AR2" i="3"/>
  <c r="BC2" i="3"/>
  <c r="AI2" i="3"/>
  <c r="AS2" i="3"/>
  <c r="BD2" i="3"/>
  <c r="AJ2" i="3"/>
  <c r="AT2" i="3"/>
  <c r="BE2" i="3"/>
  <c r="AK2" i="3"/>
  <c r="AU2" i="3"/>
  <c r="BF2" i="3"/>
  <c r="AL2" i="3"/>
  <c r="AV2" i="3"/>
  <c r="BG2" i="3"/>
  <c r="AF2" i="3"/>
  <c r="AL10" i="3"/>
  <c r="AK10" i="3"/>
  <c r="AJ10" i="3"/>
  <c r="AI10" i="3"/>
  <c r="AH10" i="3"/>
  <c r="AG10" i="3"/>
  <c r="AF10" i="3"/>
  <c r="AL9" i="3"/>
  <c r="AK9" i="3"/>
  <c r="AJ9" i="3"/>
  <c r="AI9" i="3"/>
  <c r="AH9" i="3"/>
  <c r="AG9" i="3"/>
  <c r="AF9" i="3"/>
  <c r="AL8" i="3"/>
  <c r="AK8" i="3"/>
  <c r="AJ8" i="3"/>
  <c r="AI8" i="3"/>
  <c r="AH8" i="3"/>
  <c r="AG8" i="3"/>
  <c r="AF8" i="3"/>
  <c r="H8" i="6"/>
  <c r="H7" i="6"/>
  <c r="G10" i="6"/>
  <c r="H10" i="6"/>
  <c r="H9" i="6"/>
  <c r="CL4" i="3"/>
  <c r="CL6" i="3"/>
  <c r="CK4" i="3"/>
  <c r="CK6" i="3"/>
  <c r="CJ4" i="3"/>
  <c r="CJ6" i="3"/>
  <c r="CN4" i="3"/>
  <c r="CN6" i="3"/>
  <c r="CP5" i="3"/>
  <c r="CL5" i="3"/>
  <c r="CL7" i="3"/>
  <c r="CK5" i="3"/>
  <c r="CK7" i="3"/>
  <c r="CJ5" i="3"/>
  <c r="CJ7" i="3"/>
  <c r="CO4" i="3"/>
  <c r="CO6" i="3"/>
  <c r="CM4" i="3"/>
  <c r="CM6" i="3"/>
  <c r="CO5" i="3"/>
  <c r="CO7" i="3"/>
  <c r="CN5" i="3"/>
  <c r="CN7" i="3"/>
  <c r="CM5" i="3"/>
  <c r="CM7" i="3"/>
  <c r="CP4" i="3"/>
  <c r="H4" i="6"/>
  <c r="I5" i="6"/>
  <c r="H6" i="6"/>
  <c r="CN12" i="3"/>
  <c r="CL12" i="3"/>
  <c r="CK12" i="3"/>
  <c r="CM12" i="3"/>
  <c r="CI11" i="3"/>
  <c r="CJ12" i="3"/>
  <c r="CL11" i="3"/>
  <c r="CI12" i="3"/>
  <c r="CM11" i="3"/>
  <c r="CO12" i="3"/>
  <c r="CK11" i="3"/>
  <c r="CN11" i="3"/>
  <c r="CO11" i="3"/>
  <c r="CJ11" i="3"/>
  <c r="AJ11" i="3"/>
  <c r="AH11" i="3"/>
  <c r="AL11" i="3"/>
  <c r="AK3" i="3"/>
  <c r="AI3" i="3"/>
  <c r="AJ3" i="3"/>
  <c r="AH3" i="3"/>
  <c r="AG3" i="3"/>
  <c r="AM3" i="3"/>
  <c r="I10" i="6"/>
  <c r="AK11" i="3"/>
  <c r="AI11" i="3"/>
  <c r="AG11" i="3"/>
  <c r="AF11" i="3"/>
  <c r="AF12" i="3"/>
  <c r="AG12" i="3"/>
  <c r="AH12" i="3"/>
  <c r="AI12" i="3"/>
  <c r="AJ12" i="3"/>
  <c r="AK12" i="3"/>
  <c r="AL12" i="3"/>
  <c r="BR10" i="3"/>
  <c r="BR9" i="3"/>
  <c r="BR8" i="3"/>
  <c r="AG4" i="3" a="1"/>
  <c r="AH4" i="3"/>
  <c r="AH6" i="3"/>
  <c r="BR11" i="3"/>
  <c r="BR12" i="3"/>
  <c r="BU10" i="3"/>
  <c r="BT10" i="3"/>
  <c r="BS10" i="3"/>
  <c r="BU9" i="3"/>
  <c r="BT9" i="3"/>
  <c r="BS9" i="3"/>
  <c r="BU8" i="3"/>
  <c r="BT8" i="3"/>
  <c r="BS8" i="3"/>
  <c r="AH5" i="3"/>
  <c r="AH7" i="3"/>
  <c r="AK5" i="3"/>
  <c r="AK7" i="3"/>
  <c r="AI5" i="3"/>
  <c r="AI7" i="3"/>
  <c r="AM4" i="3"/>
  <c r="AM6" i="3"/>
  <c r="AG4" i="3"/>
  <c r="AG6" i="3"/>
  <c r="AL4" i="3"/>
  <c r="AL6" i="3"/>
  <c r="AL5" i="3"/>
  <c r="AL7" i="3"/>
  <c r="AK4" i="3"/>
  <c r="AK6" i="3"/>
  <c r="AM5" i="3"/>
  <c r="AM7" i="3"/>
  <c r="AG5" i="3"/>
  <c r="AG7" i="3"/>
  <c r="AJ4" i="3"/>
  <c r="AJ6" i="3"/>
  <c r="AJ5" i="3"/>
  <c r="AJ7" i="3"/>
  <c r="AI4" i="3"/>
  <c r="AI6" i="3"/>
  <c r="BU12" i="3"/>
  <c r="BT11" i="3"/>
  <c r="BS11" i="3"/>
  <c r="BS12" i="3"/>
  <c r="BT12" i="3"/>
  <c r="BU11" i="3"/>
  <c r="L4" i="4"/>
  <c r="K4" i="4"/>
  <c r="J4" i="4"/>
  <c r="I4" i="4"/>
  <c r="H4" i="4"/>
  <c r="C4" i="4"/>
  <c r="D4" i="4"/>
  <c r="E4" i="4"/>
  <c r="F4" i="4"/>
  <c r="B4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9" i="4"/>
  <c r="T10" i="4"/>
  <c r="U10" i="4"/>
  <c r="V10" i="4"/>
  <c r="T11" i="4"/>
  <c r="U11" i="4"/>
  <c r="V11" i="4"/>
  <c r="T12" i="4"/>
  <c r="U12" i="4"/>
  <c r="V12" i="4"/>
  <c r="T13" i="4"/>
  <c r="U13" i="4"/>
  <c r="V13" i="4"/>
  <c r="T14" i="4"/>
  <c r="U14" i="4"/>
  <c r="V14" i="4"/>
  <c r="T15" i="4"/>
  <c r="U15" i="4"/>
  <c r="V15" i="4"/>
  <c r="T16" i="4"/>
  <c r="U16" i="4"/>
  <c r="V16" i="4"/>
  <c r="T17" i="4"/>
  <c r="U17" i="4"/>
  <c r="V17" i="4"/>
  <c r="T18" i="4"/>
  <c r="U18" i="4"/>
  <c r="V18" i="4"/>
  <c r="T19" i="4"/>
  <c r="U19" i="4"/>
  <c r="V19" i="4"/>
  <c r="T20" i="4"/>
  <c r="U20" i="4"/>
  <c r="V20" i="4"/>
  <c r="T21" i="4"/>
  <c r="U21" i="4"/>
  <c r="V21" i="4"/>
  <c r="T22" i="4"/>
  <c r="U22" i="4"/>
  <c r="V22" i="4"/>
  <c r="T23" i="4"/>
  <c r="U23" i="4"/>
  <c r="V23" i="4"/>
  <c r="T24" i="4"/>
  <c r="U24" i="4"/>
  <c r="V24" i="4"/>
  <c r="T25" i="4"/>
  <c r="U25" i="4"/>
  <c r="V25" i="4"/>
  <c r="T26" i="4"/>
  <c r="U26" i="4"/>
  <c r="V26" i="4"/>
  <c r="T27" i="4"/>
  <c r="U27" i="4"/>
  <c r="V27" i="4"/>
  <c r="T28" i="4"/>
  <c r="U28" i="4"/>
  <c r="V28" i="4"/>
  <c r="T29" i="4"/>
  <c r="U29" i="4"/>
  <c r="V29" i="4"/>
  <c r="T30" i="4"/>
  <c r="U30" i="4"/>
  <c r="V30" i="4"/>
  <c r="T31" i="4"/>
  <c r="U31" i="4"/>
  <c r="V31" i="4"/>
  <c r="T32" i="4"/>
  <c r="U32" i="4"/>
  <c r="V32" i="4"/>
  <c r="T33" i="4"/>
  <c r="U33" i="4"/>
  <c r="V33" i="4"/>
  <c r="T34" i="4"/>
  <c r="U34" i="4"/>
  <c r="V34" i="4"/>
  <c r="T35" i="4"/>
  <c r="U35" i="4"/>
  <c r="V35" i="4"/>
  <c r="T36" i="4"/>
  <c r="U36" i="4"/>
  <c r="V36" i="4"/>
  <c r="T37" i="4"/>
  <c r="U37" i="4"/>
  <c r="V37" i="4"/>
  <c r="T38" i="4"/>
  <c r="U38" i="4"/>
  <c r="V38" i="4"/>
  <c r="T39" i="4"/>
  <c r="U39" i="4"/>
  <c r="V39" i="4"/>
  <c r="T40" i="4"/>
  <c r="U40" i="4"/>
  <c r="V40" i="4"/>
  <c r="T41" i="4"/>
  <c r="U41" i="4"/>
  <c r="V41" i="4"/>
  <c r="T42" i="4"/>
  <c r="U42" i="4"/>
  <c r="V42" i="4"/>
  <c r="T43" i="4"/>
  <c r="U43" i="4"/>
  <c r="V43" i="4"/>
  <c r="T44" i="4"/>
  <c r="U44" i="4"/>
  <c r="V44" i="4"/>
  <c r="T45" i="4"/>
  <c r="U45" i="4"/>
  <c r="V45" i="4"/>
  <c r="T46" i="4"/>
  <c r="U46" i="4"/>
  <c r="V46" i="4"/>
  <c r="T47" i="4"/>
  <c r="U47" i="4"/>
  <c r="V47" i="4"/>
  <c r="T48" i="4"/>
  <c r="U48" i="4"/>
  <c r="V48" i="4"/>
  <c r="T49" i="4"/>
  <c r="U49" i="4"/>
  <c r="V49" i="4"/>
  <c r="T50" i="4"/>
  <c r="U50" i="4"/>
  <c r="V50" i="4"/>
  <c r="T51" i="4"/>
  <c r="U51" i="4"/>
  <c r="V51" i="4"/>
  <c r="T52" i="4"/>
  <c r="U52" i="4"/>
  <c r="V52" i="4"/>
  <c r="T53" i="4"/>
  <c r="U53" i="4"/>
  <c r="V53" i="4"/>
  <c r="T54" i="4"/>
  <c r="U54" i="4"/>
  <c r="V54" i="4"/>
  <c r="T55" i="4"/>
  <c r="U55" i="4"/>
  <c r="V55" i="4"/>
  <c r="T56" i="4"/>
  <c r="U56" i="4"/>
  <c r="V56" i="4"/>
  <c r="T57" i="4"/>
  <c r="U57" i="4"/>
  <c r="V57" i="4"/>
  <c r="T58" i="4"/>
  <c r="U58" i="4"/>
  <c r="V58" i="4"/>
  <c r="T59" i="4"/>
  <c r="U59" i="4"/>
  <c r="V59" i="4"/>
  <c r="T60" i="4"/>
  <c r="U60" i="4"/>
  <c r="V60" i="4"/>
  <c r="T61" i="4"/>
  <c r="U61" i="4"/>
  <c r="V61" i="4"/>
  <c r="T62" i="4"/>
  <c r="U62" i="4"/>
  <c r="V62" i="4"/>
  <c r="T63" i="4"/>
  <c r="U63" i="4"/>
  <c r="V63" i="4"/>
  <c r="T64" i="4"/>
  <c r="U64" i="4"/>
  <c r="V64" i="4"/>
  <c r="T65" i="4"/>
  <c r="U65" i="4"/>
  <c r="V65" i="4"/>
  <c r="T66" i="4"/>
  <c r="U66" i="4"/>
  <c r="V66" i="4"/>
  <c r="T67" i="4"/>
  <c r="U67" i="4"/>
  <c r="V67" i="4"/>
  <c r="T68" i="4"/>
  <c r="U68" i="4"/>
  <c r="V68" i="4"/>
  <c r="T69" i="4"/>
  <c r="U69" i="4"/>
  <c r="V69" i="4"/>
  <c r="T70" i="4"/>
  <c r="U70" i="4"/>
  <c r="V70" i="4"/>
  <c r="T71" i="4"/>
  <c r="U71" i="4"/>
  <c r="V71" i="4"/>
  <c r="T72" i="4"/>
  <c r="U72" i="4"/>
  <c r="V72" i="4"/>
  <c r="T73" i="4"/>
  <c r="U73" i="4"/>
  <c r="V73" i="4"/>
  <c r="T74" i="4"/>
  <c r="U74" i="4"/>
  <c r="V74" i="4"/>
  <c r="T75" i="4"/>
  <c r="U75" i="4"/>
  <c r="V75" i="4"/>
  <c r="T76" i="4"/>
  <c r="U76" i="4"/>
  <c r="V76" i="4"/>
  <c r="T77" i="4"/>
  <c r="U77" i="4"/>
  <c r="V77" i="4"/>
  <c r="T78" i="4"/>
  <c r="U78" i="4"/>
  <c r="V78" i="4"/>
  <c r="T79" i="4"/>
  <c r="U79" i="4"/>
  <c r="V79" i="4"/>
  <c r="T80" i="4"/>
  <c r="U80" i="4"/>
  <c r="V80" i="4"/>
  <c r="T81" i="4"/>
  <c r="U81" i="4"/>
  <c r="V81" i="4"/>
  <c r="T82" i="4"/>
  <c r="U82" i="4"/>
  <c r="V82" i="4"/>
  <c r="T83" i="4"/>
  <c r="U83" i="4"/>
  <c r="V83" i="4"/>
  <c r="T84" i="4"/>
  <c r="U84" i="4"/>
  <c r="V84" i="4"/>
  <c r="T85" i="4"/>
  <c r="U85" i="4"/>
  <c r="V85" i="4"/>
  <c r="T86" i="4"/>
  <c r="U86" i="4"/>
  <c r="V86" i="4"/>
  <c r="T87" i="4"/>
  <c r="U87" i="4"/>
  <c r="V87" i="4"/>
  <c r="T88" i="4"/>
  <c r="U88" i="4"/>
  <c r="V88" i="4"/>
  <c r="T89" i="4"/>
  <c r="U89" i="4"/>
  <c r="V89" i="4"/>
  <c r="T90" i="4"/>
  <c r="U90" i="4"/>
  <c r="V90" i="4"/>
  <c r="T91" i="4"/>
  <c r="U91" i="4"/>
  <c r="V91" i="4"/>
  <c r="T92" i="4"/>
  <c r="U92" i="4"/>
  <c r="V92" i="4"/>
  <c r="T93" i="4"/>
  <c r="U93" i="4"/>
  <c r="V93" i="4"/>
  <c r="T94" i="4"/>
  <c r="U94" i="4"/>
  <c r="V94" i="4"/>
  <c r="T95" i="4"/>
  <c r="U95" i="4"/>
  <c r="V95" i="4"/>
  <c r="T96" i="4"/>
  <c r="U96" i="4"/>
  <c r="V96" i="4"/>
  <c r="T97" i="4"/>
  <c r="U97" i="4"/>
  <c r="V97" i="4"/>
  <c r="T98" i="4"/>
  <c r="U98" i="4"/>
  <c r="V98" i="4"/>
  <c r="T99" i="4"/>
  <c r="U99" i="4"/>
  <c r="V99" i="4"/>
  <c r="T100" i="4"/>
  <c r="U100" i="4"/>
  <c r="V100" i="4"/>
  <c r="T101" i="4"/>
  <c r="U101" i="4"/>
  <c r="V101" i="4"/>
  <c r="T102" i="4"/>
  <c r="U102" i="4"/>
  <c r="V102" i="4"/>
  <c r="T103" i="4"/>
  <c r="U103" i="4"/>
  <c r="V103" i="4"/>
  <c r="T104" i="4"/>
  <c r="U104" i="4"/>
  <c r="V104" i="4"/>
  <c r="T105" i="4"/>
  <c r="U105" i="4"/>
  <c r="V105" i="4"/>
  <c r="T106" i="4"/>
  <c r="U106" i="4"/>
  <c r="V106" i="4"/>
  <c r="T107" i="4"/>
  <c r="U107" i="4"/>
  <c r="V107" i="4"/>
  <c r="T108" i="4"/>
  <c r="U108" i="4"/>
  <c r="V108" i="4"/>
  <c r="U9" i="4"/>
  <c r="V9" i="4"/>
  <c r="T9" i="4"/>
  <c r="T3" i="4"/>
  <c r="U3" i="4"/>
  <c r="V3" i="4"/>
  <c r="S3" i="4"/>
  <c r="O9" i="4"/>
  <c r="O3" i="4"/>
  <c r="P3" i="4"/>
  <c r="Q3" i="4"/>
  <c r="N3" i="4"/>
  <c r="L7" i="4"/>
  <c r="K7" i="4"/>
  <c r="J7" i="4"/>
  <c r="I7" i="4"/>
  <c r="H7" i="4"/>
  <c r="L5" i="4"/>
  <c r="K5" i="4"/>
  <c r="J5" i="4"/>
  <c r="I5" i="4"/>
  <c r="H5" i="4"/>
  <c r="G3" i="5" a="1"/>
  <c r="T5" i="4"/>
  <c r="S7" i="4"/>
  <c r="V7" i="4"/>
  <c r="U7" i="4"/>
  <c r="T4" i="4"/>
  <c r="T7" i="4"/>
  <c r="S4" i="4"/>
  <c r="U4" i="4"/>
  <c r="V4" i="4"/>
  <c r="S5" i="4"/>
  <c r="U5" i="4"/>
  <c r="V5" i="4"/>
  <c r="N10" i="4"/>
  <c r="O10" i="4"/>
  <c r="P10" i="4"/>
  <c r="Q10" i="4"/>
  <c r="N11" i="4"/>
  <c r="O11" i="4"/>
  <c r="P11" i="4"/>
  <c r="Q11" i="4"/>
  <c r="N12" i="4"/>
  <c r="O12" i="4"/>
  <c r="P12" i="4"/>
  <c r="Q12" i="4"/>
  <c r="N13" i="4"/>
  <c r="O13" i="4"/>
  <c r="P13" i="4"/>
  <c r="Q13" i="4"/>
  <c r="N14" i="4"/>
  <c r="O14" i="4"/>
  <c r="P14" i="4"/>
  <c r="Q14" i="4"/>
  <c r="N15" i="4"/>
  <c r="O15" i="4"/>
  <c r="P15" i="4"/>
  <c r="Q15" i="4"/>
  <c r="N16" i="4"/>
  <c r="O16" i="4"/>
  <c r="P16" i="4"/>
  <c r="Q16" i="4"/>
  <c r="N17" i="4"/>
  <c r="O17" i="4"/>
  <c r="P17" i="4"/>
  <c r="Q17" i="4"/>
  <c r="N18" i="4"/>
  <c r="O18" i="4"/>
  <c r="P18" i="4"/>
  <c r="Q18" i="4"/>
  <c r="N19" i="4"/>
  <c r="O19" i="4"/>
  <c r="P19" i="4"/>
  <c r="Q19" i="4"/>
  <c r="N20" i="4"/>
  <c r="O20" i="4"/>
  <c r="P20" i="4"/>
  <c r="Q20" i="4"/>
  <c r="N21" i="4"/>
  <c r="O21" i="4"/>
  <c r="P21" i="4"/>
  <c r="Q21" i="4"/>
  <c r="N22" i="4"/>
  <c r="O22" i="4"/>
  <c r="P22" i="4"/>
  <c r="Q22" i="4"/>
  <c r="N23" i="4"/>
  <c r="O23" i="4"/>
  <c r="P23" i="4"/>
  <c r="Q23" i="4"/>
  <c r="N24" i="4"/>
  <c r="O24" i="4"/>
  <c r="P24" i="4"/>
  <c r="Q24" i="4"/>
  <c r="N25" i="4"/>
  <c r="O25" i="4"/>
  <c r="P25" i="4"/>
  <c r="Q25" i="4"/>
  <c r="N26" i="4"/>
  <c r="O26" i="4"/>
  <c r="P26" i="4"/>
  <c r="Q26" i="4"/>
  <c r="N27" i="4"/>
  <c r="O27" i="4"/>
  <c r="P27" i="4"/>
  <c r="Q27" i="4"/>
  <c r="N28" i="4"/>
  <c r="O28" i="4"/>
  <c r="P28" i="4"/>
  <c r="Q28" i="4"/>
  <c r="N29" i="4"/>
  <c r="O29" i="4"/>
  <c r="P29" i="4"/>
  <c r="Q29" i="4"/>
  <c r="N30" i="4"/>
  <c r="O30" i="4"/>
  <c r="P30" i="4"/>
  <c r="Q30" i="4"/>
  <c r="N31" i="4"/>
  <c r="O31" i="4"/>
  <c r="P31" i="4"/>
  <c r="Q31" i="4"/>
  <c r="N32" i="4"/>
  <c r="O32" i="4"/>
  <c r="P32" i="4"/>
  <c r="Q32" i="4"/>
  <c r="N33" i="4"/>
  <c r="O33" i="4"/>
  <c r="P33" i="4"/>
  <c r="Q33" i="4"/>
  <c r="N34" i="4"/>
  <c r="O34" i="4"/>
  <c r="P34" i="4"/>
  <c r="Q34" i="4"/>
  <c r="N35" i="4"/>
  <c r="O35" i="4"/>
  <c r="P35" i="4"/>
  <c r="Q35" i="4"/>
  <c r="N36" i="4"/>
  <c r="O36" i="4"/>
  <c r="P36" i="4"/>
  <c r="Q36" i="4"/>
  <c r="N37" i="4"/>
  <c r="O37" i="4"/>
  <c r="P37" i="4"/>
  <c r="Q37" i="4"/>
  <c r="N38" i="4"/>
  <c r="O38" i="4"/>
  <c r="P38" i="4"/>
  <c r="Q38" i="4"/>
  <c r="N39" i="4"/>
  <c r="O39" i="4"/>
  <c r="P39" i="4"/>
  <c r="Q39" i="4"/>
  <c r="N40" i="4"/>
  <c r="O40" i="4"/>
  <c r="P40" i="4"/>
  <c r="Q40" i="4"/>
  <c r="N41" i="4"/>
  <c r="O41" i="4"/>
  <c r="P41" i="4"/>
  <c r="Q41" i="4"/>
  <c r="N42" i="4"/>
  <c r="O42" i="4"/>
  <c r="P42" i="4"/>
  <c r="Q42" i="4"/>
  <c r="N43" i="4"/>
  <c r="O43" i="4"/>
  <c r="P43" i="4"/>
  <c r="Q43" i="4"/>
  <c r="N44" i="4"/>
  <c r="O44" i="4"/>
  <c r="P44" i="4"/>
  <c r="Q44" i="4"/>
  <c r="N45" i="4"/>
  <c r="O45" i="4"/>
  <c r="P45" i="4"/>
  <c r="Q45" i="4"/>
  <c r="N46" i="4"/>
  <c r="O46" i="4"/>
  <c r="P46" i="4"/>
  <c r="Q46" i="4"/>
  <c r="N47" i="4"/>
  <c r="O47" i="4"/>
  <c r="P47" i="4"/>
  <c r="Q47" i="4"/>
  <c r="N48" i="4"/>
  <c r="O48" i="4"/>
  <c r="P48" i="4"/>
  <c r="Q48" i="4"/>
  <c r="N49" i="4"/>
  <c r="O49" i="4"/>
  <c r="P49" i="4"/>
  <c r="Q49" i="4"/>
  <c r="N50" i="4"/>
  <c r="O50" i="4"/>
  <c r="P50" i="4"/>
  <c r="Q50" i="4"/>
  <c r="N51" i="4"/>
  <c r="O51" i="4"/>
  <c r="P51" i="4"/>
  <c r="Q51" i="4"/>
  <c r="N52" i="4"/>
  <c r="O52" i="4"/>
  <c r="P52" i="4"/>
  <c r="Q52" i="4"/>
  <c r="N53" i="4"/>
  <c r="O53" i="4"/>
  <c r="P53" i="4"/>
  <c r="Q53" i="4"/>
  <c r="N54" i="4"/>
  <c r="O54" i="4"/>
  <c r="P54" i="4"/>
  <c r="Q54" i="4"/>
  <c r="N55" i="4"/>
  <c r="O55" i="4"/>
  <c r="P55" i="4"/>
  <c r="Q55" i="4"/>
  <c r="N56" i="4"/>
  <c r="O56" i="4"/>
  <c r="P56" i="4"/>
  <c r="Q56" i="4"/>
  <c r="N57" i="4"/>
  <c r="O57" i="4"/>
  <c r="P57" i="4"/>
  <c r="Q57" i="4"/>
  <c r="N58" i="4"/>
  <c r="O58" i="4"/>
  <c r="P58" i="4"/>
  <c r="Q58" i="4"/>
  <c r="N59" i="4"/>
  <c r="O59" i="4"/>
  <c r="P59" i="4"/>
  <c r="Q59" i="4"/>
  <c r="N60" i="4"/>
  <c r="O60" i="4"/>
  <c r="P60" i="4"/>
  <c r="Q60" i="4"/>
  <c r="N61" i="4"/>
  <c r="O61" i="4"/>
  <c r="P61" i="4"/>
  <c r="Q61" i="4"/>
  <c r="N62" i="4"/>
  <c r="O62" i="4"/>
  <c r="P62" i="4"/>
  <c r="Q62" i="4"/>
  <c r="N63" i="4"/>
  <c r="O63" i="4"/>
  <c r="P63" i="4"/>
  <c r="Q63" i="4"/>
  <c r="N64" i="4"/>
  <c r="O64" i="4"/>
  <c r="P64" i="4"/>
  <c r="Q64" i="4"/>
  <c r="N65" i="4"/>
  <c r="O65" i="4"/>
  <c r="P65" i="4"/>
  <c r="Q65" i="4"/>
  <c r="N66" i="4"/>
  <c r="O66" i="4"/>
  <c r="P66" i="4"/>
  <c r="Q66" i="4"/>
  <c r="N67" i="4"/>
  <c r="O67" i="4"/>
  <c r="P67" i="4"/>
  <c r="Q67" i="4"/>
  <c r="N68" i="4"/>
  <c r="O68" i="4"/>
  <c r="P68" i="4"/>
  <c r="Q68" i="4"/>
  <c r="N69" i="4"/>
  <c r="O69" i="4"/>
  <c r="P69" i="4"/>
  <c r="Q69" i="4"/>
  <c r="N70" i="4"/>
  <c r="O70" i="4"/>
  <c r="P70" i="4"/>
  <c r="Q70" i="4"/>
  <c r="N71" i="4"/>
  <c r="O71" i="4"/>
  <c r="P71" i="4"/>
  <c r="Q71" i="4"/>
  <c r="N72" i="4"/>
  <c r="O72" i="4"/>
  <c r="P72" i="4"/>
  <c r="Q72" i="4"/>
  <c r="N73" i="4"/>
  <c r="O73" i="4"/>
  <c r="P73" i="4"/>
  <c r="Q73" i="4"/>
  <c r="N74" i="4"/>
  <c r="O74" i="4"/>
  <c r="P74" i="4"/>
  <c r="Q74" i="4"/>
  <c r="N75" i="4"/>
  <c r="O75" i="4"/>
  <c r="P75" i="4"/>
  <c r="Q75" i="4"/>
  <c r="N76" i="4"/>
  <c r="O76" i="4"/>
  <c r="P76" i="4"/>
  <c r="Q76" i="4"/>
  <c r="N77" i="4"/>
  <c r="O77" i="4"/>
  <c r="P77" i="4"/>
  <c r="Q77" i="4"/>
  <c r="N78" i="4"/>
  <c r="O78" i="4"/>
  <c r="P78" i="4"/>
  <c r="Q78" i="4"/>
  <c r="N79" i="4"/>
  <c r="O79" i="4"/>
  <c r="P79" i="4"/>
  <c r="Q79" i="4"/>
  <c r="N80" i="4"/>
  <c r="O80" i="4"/>
  <c r="P80" i="4"/>
  <c r="Q80" i="4"/>
  <c r="N81" i="4"/>
  <c r="O81" i="4"/>
  <c r="P81" i="4"/>
  <c r="Q81" i="4"/>
  <c r="N82" i="4"/>
  <c r="O82" i="4"/>
  <c r="P82" i="4"/>
  <c r="Q82" i="4"/>
  <c r="N83" i="4"/>
  <c r="O83" i="4"/>
  <c r="P83" i="4"/>
  <c r="Q83" i="4"/>
  <c r="N84" i="4"/>
  <c r="O84" i="4"/>
  <c r="P84" i="4"/>
  <c r="Q84" i="4"/>
  <c r="N85" i="4"/>
  <c r="O85" i="4"/>
  <c r="P85" i="4"/>
  <c r="Q85" i="4"/>
  <c r="N86" i="4"/>
  <c r="O86" i="4"/>
  <c r="P86" i="4"/>
  <c r="Q86" i="4"/>
  <c r="N87" i="4"/>
  <c r="O87" i="4"/>
  <c r="P87" i="4"/>
  <c r="Q87" i="4"/>
  <c r="N88" i="4"/>
  <c r="O88" i="4"/>
  <c r="P88" i="4"/>
  <c r="Q88" i="4"/>
  <c r="N89" i="4"/>
  <c r="O89" i="4"/>
  <c r="P89" i="4"/>
  <c r="Q89" i="4"/>
  <c r="N90" i="4"/>
  <c r="O90" i="4"/>
  <c r="P90" i="4"/>
  <c r="Q90" i="4"/>
  <c r="N91" i="4"/>
  <c r="O91" i="4"/>
  <c r="P91" i="4"/>
  <c r="Q91" i="4"/>
  <c r="N92" i="4"/>
  <c r="O92" i="4"/>
  <c r="P92" i="4"/>
  <c r="Q92" i="4"/>
  <c r="N93" i="4"/>
  <c r="O93" i="4"/>
  <c r="P93" i="4"/>
  <c r="Q93" i="4"/>
  <c r="N94" i="4"/>
  <c r="O94" i="4"/>
  <c r="P94" i="4"/>
  <c r="Q94" i="4"/>
  <c r="N95" i="4"/>
  <c r="O95" i="4"/>
  <c r="P95" i="4"/>
  <c r="Q95" i="4"/>
  <c r="N96" i="4"/>
  <c r="O96" i="4"/>
  <c r="P96" i="4"/>
  <c r="Q96" i="4"/>
  <c r="N97" i="4"/>
  <c r="O97" i="4"/>
  <c r="P97" i="4"/>
  <c r="Q97" i="4"/>
  <c r="N98" i="4"/>
  <c r="O98" i="4"/>
  <c r="P98" i="4"/>
  <c r="Q98" i="4"/>
  <c r="N99" i="4"/>
  <c r="O99" i="4"/>
  <c r="P99" i="4"/>
  <c r="Q99" i="4"/>
  <c r="N100" i="4"/>
  <c r="O100" i="4"/>
  <c r="P100" i="4"/>
  <c r="Q100" i="4"/>
  <c r="N101" i="4"/>
  <c r="O101" i="4"/>
  <c r="P101" i="4"/>
  <c r="Q101" i="4"/>
  <c r="N102" i="4"/>
  <c r="O102" i="4"/>
  <c r="P102" i="4"/>
  <c r="Q102" i="4"/>
  <c r="N103" i="4"/>
  <c r="O103" i="4"/>
  <c r="P103" i="4"/>
  <c r="Q103" i="4"/>
  <c r="N104" i="4"/>
  <c r="O104" i="4"/>
  <c r="P104" i="4"/>
  <c r="Q104" i="4"/>
  <c r="N105" i="4"/>
  <c r="O105" i="4"/>
  <c r="P105" i="4"/>
  <c r="Q105" i="4"/>
  <c r="N106" i="4"/>
  <c r="O106" i="4"/>
  <c r="P106" i="4"/>
  <c r="Q106" i="4"/>
  <c r="N107" i="4"/>
  <c r="O107" i="4"/>
  <c r="P107" i="4"/>
  <c r="Q107" i="4"/>
  <c r="N108" i="4"/>
  <c r="O108" i="4"/>
  <c r="P108" i="4"/>
  <c r="Q108" i="4"/>
  <c r="P9" i="4"/>
  <c r="Q9" i="4"/>
  <c r="N9" i="4"/>
  <c r="G3" i="5"/>
  <c r="G7" i="5"/>
  <c r="J7" i="5"/>
  <c r="G6" i="5"/>
  <c r="J6" i="5"/>
  <c r="G5" i="5"/>
  <c r="J5" i="5"/>
  <c r="G4" i="5"/>
  <c r="J4" i="5"/>
  <c r="J3" i="5"/>
  <c r="I7" i="5"/>
  <c r="I6" i="5"/>
  <c r="I5" i="5"/>
  <c r="I4" i="5"/>
  <c r="I3" i="5"/>
  <c r="H7" i="5"/>
  <c r="H6" i="5"/>
  <c r="H5" i="5"/>
  <c r="H4" i="5"/>
  <c r="H3" i="5"/>
  <c r="C7" i="4"/>
  <c r="C5" i="4"/>
  <c r="AL7" i="4"/>
  <c r="AL5" i="4"/>
  <c r="AL4" i="4"/>
  <c r="AJ7" i="4"/>
  <c r="AK7" i="4"/>
  <c r="AI7" i="4"/>
  <c r="B7" i="4"/>
  <c r="AJ5" i="4"/>
  <c r="AK5" i="4"/>
  <c r="AI5" i="4"/>
  <c r="B5" i="4"/>
  <c r="AJ4" i="4"/>
  <c r="AK4" i="4"/>
  <c r="AI4" i="4"/>
  <c r="AO40" i="4"/>
  <c r="AO28" i="4"/>
  <c r="AO44" i="4"/>
  <c r="AN101" i="4"/>
  <c r="AN21" i="4"/>
  <c r="AO18" i="4"/>
  <c r="AQ87" i="4"/>
  <c r="AN95" i="4"/>
  <c r="AN15" i="4"/>
  <c r="AO12" i="4"/>
  <c r="AQ71" i="4"/>
  <c r="AN89" i="4"/>
  <c r="AO108" i="4"/>
  <c r="AP102" i="4"/>
  <c r="AQ55" i="4"/>
  <c r="AN31" i="4"/>
  <c r="AN87" i="4"/>
  <c r="AO106" i="4"/>
  <c r="AP96" i="4"/>
  <c r="AQ39" i="4"/>
  <c r="AQ23" i="4"/>
  <c r="AO34" i="4"/>
  <c r="AQ103" i="4"/>
  <c r="AP86" i="4"/>
  <c r="AN73" i="4"/>
  <c r="AO92" i="4"/>
  <c r="AP80" i="4"/>
  <c r="AN71" i="4"/>
  <c r="AO90" i="4"/>
  <c r="AP70" i="4"/>
  <c r="AN39" i="4"/>
  <c r="AN23" i="4"/>
  <c r="AN63" i="4"/>
  <c r="AO82" i="4"/>
  <c r="AP64" i="4"/>
  <c r="AN57" i="4"/>
  <c r="AO76" i="4"/>
  <c r="AP54" i="4"/>
  <c r="AN105" i="4"/>
  <c r="AO98" i="4"/>
  <c r="AN55" i="4"/>
  <c r="AO66" i="4"/>
  <c r="AP48" i="4"/>
  <c r="AN25" i="4"/>
  <c r="AN79" i="4"/>
  <c r="AN47" i="4"/>
  <c r="AO60" i="4"/>
  <c r="AP32" i="4"/>
  <c r="AN103" i="4"/>
  <c r="AN41" i="4"/>
  <c r="AO50" i="4"/>
  <c r="AP16" i="4"/>
  <c r="AN104" i="4"/>
  <c r="AN88" i="4"/>
  <c r="AN72" i="4"/>
  <c r="AN56" i="4"/>
  <c r="AN40" i="4"/>
  <c r="AN24" i="4"/>
  <c r="AO107" i="4"/>
  <c r="AO91" i="4"/>
  <c r="AO75" i="4"/>
  <c r="AO59" i="4"/>
  <c r="AO43" i="4"/>
  <c r="AO27" i="4"/>
  <c r="AO11" i="4"/>
  <c r="AP95" i="4"/>
  <c r="AP79" i="4"/>
  <c r="AP63" i="4"/>
  <c r="AP47" i="4"/>
  <c r="AP31" i="4"/>
  <c r="AP15" i="4"/>
  <c r="AQ102" i="4"/>
  <c r="AQ86" i="4"/>
  <c r="AQ70" i="4"/>
  <c r="AQ54" i="4"/>
  <c r="AQ38" i="4"/>
  <c r="AQ22" i="4"/>
  <c r="AO74" i="4"/>
  <c r="AO58" i="4"/>
  <c r="AO42" i="4"/>
  <c r="AO26" i="4"/>
  <c r="AO10" i="4"/>
  <c r="AP94" i="4"/>
  <c r="AP78" i="4"/>
  <c r="AP62" i="4"/>
  <c r="AP46" i="4"/>
  <c r="AP30" i="4"/>
  <c r="AP14" i="4"/>
  <c r="AQ101" i="4"/>
  <c r="AQ85" i="4"/>
  <c r="AQ69" i="4"/>
  <c r="AQ53" i="4"/>
  <c r="AQ37" i="4"/>
  <c r="AQ21" i="4"/>
  <c r="AN102" i="4"/>
  <c r="AN86" i="4"/>
  <c r="AN70" i="4"/>
  <c r="AN54" i="4"/>
  <c r="AN38" i="4"/>
  <c r="AN22" i="4"/>
  <c r="AO105" i="4"/>
  <c r="AO89" i="4"/>
  <c r="AO73" i="4"/>
  <c r="AO57" i="4"/>
  <c r="AO41" i="4"/>
  <c r="AO25" i="4"/>
  <c r="AP9" i="4"/>
  <c r="AP93" i="4"/>
  <c r="AP77" i="4"/>
  <c r="AP61" i="4"/>
  <c r="AP45" i="4"/>
  <c r="AP29" i="4"/>
  <c r="AP13" i="4"/>
  <c r="AQ100" i="4"/>
  <c r="AQ84" i="4"/>
  <c r="AQ68" i="4"/>
  <c r="AQ52" i="4"/>
  <c r="AQ36" i="4"/>
  <c r="AQ20" i="4"/>
  <c r="AO24" i="4"/>
  <c r="AP92" i="4"/>
  <c r="AP76" i="4"/>
  <c r="AP44" i="4"/>
  <c r="AP28" i="4"/>
  <c r="AP12" i="4"/>
  <c r="AQ99" i="4"/>
  <c r="AQ83" i="4"/>
  <c r="AQ67" i="4"/>
  <c r="AQ51" i="4"/>
  <c r="AQ35" i="4"/>
  <c r="AQ19" i="4"/>
  <c r="AN68" i="4"/>
  <c r="AO103" i="4"/>
  <c r="AO87" i="4"/>
  <c r="AO55" i="4"/>
  <c r="AO39" i="4"/>
  <c r="AO23" i="4"/>
  <c r="AP107" i="4"/>
  <c r="AP91" i="4"/>
  <c r="AP75" i="4"/>
  <c r="AP59" i="4"/>
  <c r="AP43" i="4"/>
  <c r="AP27" i="4"/>
  <c r="AP11" i="4"/>
  <c r="AQ98" i="4"/>
  <c r="AQ82" i="4"/>
  <c r="AQ66" i="4"/>
  <c r="AQ50" i="4"/>
  <c r="AQ34" i="4"/>
  <c r="AQ18" i="4"/>
  <c r="AN85" i="4"/>
  <c r="AN69" i="4"/>
  <c r="AN53" i="4"/>
  <c r="AN37" i="4"/>
  <c r="AO104" i="4"/>
  <c r="AO88" i="4"/>
  <c r="AO72" i="4"/>
  <c r="AO56" i="4"/>
  <c r="AP108" i="4"/>
  <c r="AP60" i="4"/>
  <c r="AN100" i="4"/>
  <c r="AN84" i="4"/>
  <c r="AN52" i="4"/>
  <c r="AN36" i="4"/>
  <c r="AN20" i="4"/>
  <c r="AO71" i="4"/>
  <c r="AN99" i="4"/>
  <c r="AN83" i="4"/>
  <c r="AN67" i="4"/>
  <c r="AN51" i="4"/>
  <c r="AN35" i="4"/>
  <c r="AN19" i="4"/>
  <c r="AO102" i="4"/>
  <c r="AO86" i="4"/>
  <c r="AO70" i="4"/>
  <c r="AO54" i="4"/>
  <c r="AO38" i="4"/>
  <c r="AO22" i="4"/>
  <c r="AP106" i="4"/>
  <c r="AP90" i="4"/>
  <c r="AP74" i="4"/>
  <c r="AP58" i="4"/>
  <c r="AP42" i="4"/>
  <c r="AP26" i="4"/>
  <c r="AP10" i="4"/>
  <c r="AQ97" i="4"/>
  <c r="AQ81" i="4"/>
  <c r="AQ65" i="4"/>
  <c r="AQ49" i="4"/>
  <c r="AQ33" i="4"/>
  <c r="AQ17" i="4"/>
  <c r="AN98" i="4"/>
  <c r="AN82" i="4"/>
  <c r="AN66" i="4"/>
  <c r="AN50" i="4"/>
  <c r="AN34" i="4"/>
  <c r="AN18" i="4"/>
  <c r="AO101" i="4"/>
  <c r="AO85" i="4"/>
  <c r="AO69" i="4"/>
  <c r="AO53" i="4"/>
  <c r="AO37" i="4"/>
  <c r="AO21" i="4"/>
  <c r="AP105" i="4"/>
  <c r="AP89" i="4"/>
  <c r="AP73" i="4"/>
  <c r="AP57" i="4"/>
  <c r="AP41" i="4"/>
  <c r="AP25" i="4"/>
  <c r="AQ96" i="4"/>
  <c r="AQ80" i="4"/>
  <c r="AQ64" i="4"/>
  <c r="AQ48" i="4"/>
  <c r="AQ32" i="4"/>
  <c r="AQ16" i="4"/>
  <c r="AN81" i="4"/>
  <c r="AN65" i="4"/>
  <c r="AN49" i="4"/>
  <c r="AN33" i="4"/>
  <c r="AN17" i="4"/>
  <c r="AO100" i="4"/>
  <c r="AO84" i="4"/>
  <c r="AO68" i="4"/>
  <c r="AO52" i="4"/>
  <c r="AO36" i="4"/>
  <c r="AO20" i="4"/>
  <c r="AP104" i="4"/>
  <c r="AP88" i="4"/>
  <c r="AP72" i="4"/>
  <c r="AP56" i="4"/>
  <c r="AP40" i="4"/>
  <c r="AP24" i="4"/>
  <c r="AQ95" i="4"/>
  <c r="AQ79" i="4"/>
  <c r="AQ63" i="4"/>
  <c r="AQ47" i="4"/>
  <c r="AQ31" i="4"/>
  <c r="AQ15" i="4"/>
  <c r="AN97" i="4"/>
  <c r="AN96" i="4"/>
  <c r="AN80" i="4"/>
  <c r="AN64" i="4"/>
  <c r="AN48" i="4"/>
  <c r="AN32" i="4"/>
  <c r="AN16" i="4"/>
  <c r="AO99" i="4"/>
  <c r="AO83" i="4"/>
  <c r="AO67" i="4"/>
  <c r="AO51" i="4"/>
  <c r="AO35" i="4"/>
  <c r="AO19" i="4"/>
  <c r="AP103" i="4"/>
  <c r="AP87" i="4"/>
  <c r="AP71" i="4"/>
  <c r="AP55" i="4"/>
  <c r="AP39" i="4"/>
  <c r="AP23" i="4"/>
  <c r="AQ94" i="4"/>
  <c r="AQ78" i="4"/>
  <c r="AQ62" i="4"/>
  <c r="AQ46" i="4"/>
  <c r="AQ30" i="4"/>
  <c r="AQ14" i="4"/>
  <c r="AP38" i="4"/>
  <c r="AP22" i="4"/>
  <c r="AQ9" i="4"/>
  <c r="AQ93" i="4"/>
  <c r="AQ77" i="4"/>
  <c r="AQ61" i="4"/>
  <c r="AQ45" i="4"/>
  <c r="AQ29" i="4"/>
  <c r="AQ13" i="4"/>
  <c r="AN9" i="4"/>
  <c r="AN94" i="4"/>
  <c r="AN78" i="4"/>
  <c r="AN62" i="4"/>
  <c r="AN46" i="4"/>
  <c r="AN30" i="4"/>
  <c r="AN14" i="4"/>
  <c r="AO97" i="4"/>
  <c r="AO81" i="4"/>
  <c r="AO65" i="4"/>
  <c r="AO49" i="4"/>
  <c r="AO33" i="4"/>
  <c r="AO17" i="4"/>
  <c r="AP101" i="4"/>
  <c r="AP85" i="4"/>
  <c r="AP69" i="4"/>
  <c r="AP53" i="4"/>
  <c r="AP37" i="4"/>
  <c r="AP21" i="4"/>
  <c r="AQ108" i="4"/>
  <c r="AQ92" i="4"/>
  <c r="AQ76" i="4"/>
  <c r="AQ60" i="4"/>
  <c r="AQ44" i="4"/>
  <c r="AQ28" i="4"/>
  <c r="AQ12" i="4"/>
  <c r="AO9" i="4"/>
  <c r="AN93" i="4"/>
  <c r="AN77" i="4"/>
  <c r="AN61" i="4"/>
  <c r="AN45" i="4"/>
  <c r="AN29" i="4"/>
  <c r="AN13" i="4"/>
  <c r="AO96" i="4"/>
  <c r="AO80" i="4"/>
  <c r="AO64" i="4"/>
  <c r="AO48" i="4"/>
  <c r="AO32" i="4"/>
  <c r="AO16" i="4"/>
  <c r="AP100" i="4"/>
  <c r="AP84" i="4"/>
  <c r="AP68" i="4"/>
  <c r="AP52" i="4"/>
  <c r="AP36" i="4"/>
  <c r="AP20" i="4"/>
  <c r="AQ107" i="4"/>
  <c r="AQ91" i="4"/>
  <c r="AQ75" i="4"/>
  <c r="AQ59" i="4"/>
  <c r="AQ43" i="4"/>
  <c r="AQ27" i="4"/>
  <c r="AQ11" i="4"/>
  <c r="AN108" i="4"/>
  <c r="AN92" i="4"/>
  <c r="AN76" i="4"/>
  <c r="AN60" i="4"/>
  <c r="AN44" i="4"/>
  <c r="AN28" i="4"/>
  <c r="AN12" i="4"/>
  <c r="AO95" i="4"/>
  <c r="AO79" i="4"/>
  <c r="AO63" i="4"/>
  <c r="AO47" i="4"/>
  <c r="AO31" i="4"/>
  <c r="AO15" i="4"/>
  <c r="AP99" i="4"/>
  <c r="AP83" i="4"/>
  <c r="AP67" i="4"/>
  <c r="AP51" i="4"/>
  <c r="AP35" i="4"/>
  <c r="AP19" i="4"/>
  <c r="AQ106" i="4"/>
  <c r="AQ90" i="4"/>
  <c r="AQ74" i="4"/>
  <c r="AQ58" i="4"/>
  <c r="AQ42" i="4"/>
  <c r="AQ26" i="4"/>
  <c r="AQ10" i="4"/>
  <c r="AN107" i="4"/>
  <c r="AN91" i="4"/>
  <c r="AN75" i="4"/>
  <c r="AN59" i="4"/>
  <c r="AN43" i="4"/>
  <c r="AN27" i="4"/>
  <c r="AN11" i="4"/>
  <c r="AO94" i="4"/>
  <c r="AO78" i="4"/>
  <c r="AO62" i="4"/>
  <c r="AO46" i="4"/>
  <c r="AO30" i="4"/>
  <c r="AO14" i="4"/>
  <c r="AP98" i="4"/>
  <c r="AP82" i="4"/>
  <c r="AP66" i="4"/>
  <c r="AP50" i="4"/>
  <c r="AP34" i="4"/>
  <c r="AP18" i="4"/>
  <c r="AQ105" i="4"/>
  <c r="AQ89" i="4"/>
  <c r="AQ73" i="4"/>
  <c r="AQ57" i="4"/>
  <c r="AQ41" i="4"/>
  <c r="AQ25" i="4"/>
  <c r="AN106" i="4"/>
  <c r="AN90" i="4"/>
  <c r="AN74" i="4"/>
  <c r="AN58" i="4"/>
  <c r="AN42" i="4"/>
  <c r="AN26" i="4"/>
  <c r="AN10" i="4"/>
  <c r="AO93" i="4"/>
  <c r="AO77" i="4"/>
  <c r="AO61" i="4"/>
  <c r="AO45" i="4"/>
  <c r="AO29" i="4"/>
  <c r="AO13" i="4"/>
  <c r="AP97" i="4"/>
  <c r="AP81" i="4"/>
  <c r="AP65" i="4"/>
  <c r="AP49" i="4"/>
  <c r="AP33" i="4"/>
  <c r="AP17" i="4"/>
  <c r="AQ104" i="4"/>
  <c r="AQ88" i="4"/>
  <c r="AQ72" i="4"/>
  <c r="AQ56" i="4"/>
  <c r="AQ40" i="4"/>
  <c r="AQ24" i="4"/>
  <c r="E5" i="4"/>
  <c r="F5" i="4"/>
  <c r="E7" i="4"/>
  <c r="F7" i="4"/>
  <c r="D7" i="4"/>
  <c r="D5" i="4"/>
  <c r="B3" i="5" a="1"/>
  <c r="B3" i="5"/>
  <c r="E3" i="5"/>
  <c r="Q5" i="4"/>
  <c r="AP7" i="4"/>
  <c r="P5" i="4"/>
  <c r="AO7" i="4"/>
  <c r="O4" i="4"/>
  <c r="AO5" i="4"/>
  <c r="AN5" i="4"/>
  <c r="O7" i="4"/>
  <c r="Q7" i="4"/>
  <c r="AN4" i="4"/>
  <c r="P7" i="4"/>
  <c r="N7" i="4"/>
  <c r="N5" i="4"/>
  <c r="N4" i="4"/>
  <c r="AP5" i="4"/>
  <c r="P4" i="4"/>
  <c r="AN7" i="4"/>
  <c r="Q4" i="4"/>
  <c r="AP4" i="4"/>
  <c r="AP6" i="4"/>
  <c r="AO4" i="4"/>
  <c r="AQ5" i="4"/>
  <c r="AQ4" i="4"/>
  <c r="AQ7" i="4"/>
  <c r="O5" i="4"/>
  <c r="AN6" i="4"/>
  <c r="W6" i="4"/>
  <c r="AQ8" i="4"/>
  <c r="AO8" i="4"/>
  <c r="AP8" i="4"/>
  <c r="AN8" i="4"/>
  <c r="AQ6" i="4"/>
  <c r="E6" i="5"/>
  <c r="AO6" i="4"/>
  <c r="B6" i="5"/>
  <c r="B7" i="5"/>
  <c r="D6" i="5"/>
  <c r="B4" i="5"/>
  <c r="C7" i="5"/>
  <c r="E4" i="5"/>
  <c r="B5" i="5"/>
  <c r="D4" i="5"/>
  <c r="D7" i="5"/>
  <c r="E5" i="5"/>
  <c r="C3" i="5"/>
  <c r="C5" i="5"/>
  <c r="D3" i="5"/>
  <c r="D5" i="5"/>
  <c r="E7" i="5"/>
  <c r="C4" i="5"/>
  <c r="C6" i="5"/>
  <c r="D68" i="1"/>
  <c r="E68" i="1"/>
  <c r="F68" i="1"/>
  <c r="G68" i="1"/>
  <c r="H68" i="1"/>
  <c r="D69" i="1"/>
  <c r="E69" i="1"/>
  <c r="F69" i="1"/>
  <c r="G69" i="1"/>
  <c r="H69" i="1"/>
  <c r="D70" i="1"/>
  <c r="E70" i="1"/>
  <c r="F70" i="1"/>
  <c r="G70" i="1"/>
  <c r="H70" i="1"/>
  <c r="D71" i="1"/>
  <c r="E71" i="1"/>
  <c r="F71" i="1"/>
  <c r="G71" i="1"/>
  <c r="H71" i="1"/>
  <c r="E67" i="1"/>
  <c r="F67" i="1"/>
  <c r="G67" i="1"/>
  <c r="H67" i="1"/>
  <c r="D67" i="1"/>
  <c r="AW10" i="3"/>
  <c r="AW9" i="3"/>
  <c r="AW8" i="3"/>
  <c r="K30" i="1"/>
  <c r="AW11" i="3"/>
  <c r="AW12" i="3"/>
  <c r="D27" i="1"/>
  <c r="T3" i="3"/>
  <c r="D43" i="1"/>
  <c r="D42" i="1"/>
  <c r="D41" i="1"/>
  <c r="D40" i="1"/>
  <c r="D39" i="1"/>
  <c r="D38" i="1"/>
  <c r="D37" i="1"/>
  <c r="D36" i="1"/>
  <c r="D35" i="1"/>
  <c r="D34" i="1"/>
  <c r="G45" i="1"/>
  <c r="AP10" i="3"/>
  <c r="AP9" i="3"/>
  <c r="AP8" i="3"/>
  <c r="AP11" i="3"/>
  <c r="AP12" i="3"/>
  <c r="AQ10" i="3"/>
  <c r="AR10" i="3"/>
  <c r="AS10" i="3"/>
  <c r="AT10" i="3"/>
  <c r="AU10" i="3"/>
  <c r="AV10" i="3"/>
  <c r="AQ9" i="3"/>
  <c r="AR9" i="3"/>
  <c r="AS9" i="3"/>
  <c r="AT9" i="3"/>
  <c r="AU9" i="3"/>
  <c r="AV9" i="3"/>
  <c r="AQ8" i="3"/>
  <c r="AR8" i="3"/>
  <c r="AS8" i="3"/>
  <c r="AT8" i="3"/>
  <c r="AU8" i="3"/>
  <c r="AV8" i="3"/>
  <c r="K10" i="3"/>
  <c r="K9" i="3"/>
  <c r="K8" i="3"/>
  <c r="L10" i="3"/>
  <c r="M10" i="3"/>
  <c r="N10" i="3"/>
  <c r="O10" i="3"/>
  <c r="P10" i="3"/>
  <c r="Q10" i="3"/>
  <c r="R10" i="3"/>
  <c r="S10" i="3"/>
  <c r="T10" i="3"/>
  <c r="L9" i="3"/>
  <c r="M9" i="3"/>
  <c r="N9" i="3"/>
  <c r="O9" i="3"/>
  <c r="P9" i="3"/>
  <c r="Q9" i="3"/>
  <c r="R9" i="3"/>
  <c r="S9" i="3"/>
  <c r="T9" i="3"/>
  <c r="L8" i="3"/>
  <c r="M8" i="3"/>
  <c r="N8" i="3"/>
  <c r="O8" i="3"/>
  <c r="P8" i="3"/>
  <c r="Q8" i="3"/>
  <c r="R8" i="3"/>
  <c r="S8" i="3"/>
  <c r="T8" i="3"/>
  <c r="B10" i="3"/>
  <c r="B9" i="3"/>
  <c r="B8" i="3"/>
  <c r="T11" i="3"/>
  <c r="K12" i="3"/>
  <c r="L11" i="3"/>
  <c r="Q11" i="3"/>
  <c r="M11" i="3"/>
  <c r="R12" i="3"/>
  <c r="N12" i="3"/>
  <c r="Q12" i="3"/>
  <c r="M12" i="3"/>
  <c r="AU11" i="3"/>
  <c r="AQ11" i="3"/>
  <c r="AT11" i="3"/>
  <c r="AS12" i="3"/>
  <c r="P11" i="3"/>
  <c r="AV12" i="3"/>
  <c r="AR12" i="3"/>
  <c r="B11" i="3"/>
  <c r="S11" i="3"/>
  <c r="O11" i="3"/>
  <c r="T12" i="3"/>
  <c r="P12" i="3"/>
  <c r="L12" i="3"/>
  <c r="AS11" i="3"/>
  <c r="AU12" i="3"/>
  <c r="AQ12" i="3"/>
  <c r="B12" i="3"/>
  <c r="R11" i="3"/>
  <c r="N11" i="3"/>
  <c r="S12" i="3"/>
  <c r="O12" i="3"/>
  <c r="K11" i="3"/>
  <c r="AV11" i="3"/>
  <c r="AR11" i="3"/>
  <c r="AT12" i="3"/>
  <c r="F30" i="1"/>
  <c r="G30" i="1"/>
  <c r="H30" i="1"/>
  <c r="I30" i="1"/>
  <c r="J30" i="1"/>
  <c r="E30" i="1"/>
  <c r="C9" i="3"/>
  <c r="D9" i="3"/>
  <c r="E9" i="3"/>
  <c r="F9" i="3"/>
  <c r="G9" i="3"/>
  <c r="H9" i="3"/>
  <c r="C10" i="3"/>
  <c r="D10" i="3"/>
  <c r="E10" i="3"/>
  <c r="F10" i="3"/>
  <c r="G10" i="3"/>
  <c r="H10" i="3"/>
  <c r="C8" i="3"/>
  <c r="D8" i="3"/>
  <c r="E8" i="3"/>
  <c r="F8" i="3"/>
  <c r="G8" i="3"/>
  <c r="H8" i="3"/>
  <c r="H12" i="3"/>
  <c r="D12" i="3"/>
  <c r="F11" i="3"/>
  <c r="E11" i="3"/>
  <c r="F12" i="3"/>
  <c r="H11" i="3"/>
  <c r="D11" i="3"/>
  <c r="G12" i="3"/>
  <c r="C12" i="3"/>
  <c r="E12" i="3"/>
  <c r="G11" i="3"/>
  <c r="C11" i="3"/>
  <c r="G44" i="1"/>
  <c r="H35" i="1"/>
  <c r="H36" i="1"/>
  <c r="H37" i="1"/>
  <c r="H38" i="1"/>
  <c r="H39" i="1"/>
  <c r="H40" i="1"/>
  <c r="H41" i="1"/>
  <c r="H42" i="1"/>
  <c r="H43" i="1"/>
  <c r="H34" i="1"/>
  <c r="E43" i="1"/>
  <c r="E42" i="1"/>
  <c r="E41" i="1"/>
  <c r="E40" i="1"/>
  <c r="E39" i="1"/>
  <c r="E38" i="1"/>
  <c r="E37" i="1"/>
  <c r="E36" i="1"/>
  <c r="E35" i="1"/>
  <c r="E34" i="1"/>
  <c r="I12" i="1"/>
  <c r="H45" i="1"/>
  <c r="D12" i="1"/>
</calcChain>
</file>

<file path=xl/sharedStrings.xml><?xml version="1.0" encoding="utf-8"?>
<sst xmlns="http://schemas.openxmlformats.org/spreadsheetml/2006/main" count="483" uniqueCount="154">
  <si>
    <t>Warm-up period</t>
  </si>
  <si>
    <t>Time steps</t>
  </si>
  <si>
    <t>Projection period</t>
  </si>
  <si>
    <t>Age LB</t>
  </si>
  <si>
    <t>Frequency</t>
  </si>
  <si>
    <t>Population age distribution</t>
  </si>
  <si>
    <t>Frequency of sexual activity per week</t>
  </si>
  <si>
    <t>Sum</t>
  </si>
  <si>
    <t>Year</t>
  </si>
  <si>
    <t>Years</t>
  </si>
  <si>
    <t>Population size</t>
  </si>
  <si>
    <t>Replications</t>
  </si>
  <si>
    <t>Sexually Inactive</t>
  </si>
  <si>
    <t>Careful sex</t>
  </si>
  <si>
    <t>Seeking Pregnancy</t>
  </si>
  <si>
    <t>Index</t>
  </si>
  <si>
    <t>Annual Birth Rates</t>
  </si>
  <si>
    <t>15-19</t>
  </si>
  <si>
    <t>20-24</t>
  </si>
  <si>
    <t>25-29</t>
  </si>
  <si>
    <t>35-39</t>
  </si>
  <si>
    <t>40-44</t>
  </si>
  <si>
    <t>Prob</t>
  </si>
  <si>
    <t>Population Ave.</t>
  </si>
  <si>
    <t>Calculating the effectivenes of contraceptive methods in each sexual encounter</t>
  </si>
  <si>
    <t>Method</t>
  </si>
  <si>
    <t>Pr{Failure after 1 year of use}</t>
  </si>
  <si>
    <t>ln(1-prob.)</t>
  </si>
  <si>
    <t>Effectiveness in each sexual encounter</t>
  </si>
  <si>
    <t>Hormonal Implant</t>
  </si>
  <si>
    <t>Depo-Provera</t>
  </si>
  <si>
    <t>Birth Control Pill</t>
  </si>
  <si>
    <t>Vaginal Ring</t>
  </si>
  <si>
    <t>IUD, coil, or loop</t>
  </si>
  <si>
    <t>Partner's Condom Use</t>
  </si>
  <si>
    <t>Female Sterilization</t>
  </si>
  <si>
    <t>Male Sterilization</t>
  </si>
  <si>
    <t>Withdrawal</t>
  </si>
  <si>
    <t>Other Method</t>
  </si>
  <si>
    <t>Consumption</t>
  </si>
  <si>
    <t>Prob. Choosing no contraception</t>
  </si>
  <si>
    <t>CDC</t>
  </si>
  <si>
    <t>Median</t>
  </si>
  <si>
    <t>95% L</t>
  </si>
  <si>
    <t>95% U</t>
  </si>
  <si>
    <t>Significance level</t>
  </si>
  <si>
    <t>30-34</t>
  </si>
  <si>
    <t>15-20</t>
  </si>
  <si>
    <t>Pr{contraception}</t>
  </si>
  <si>
    <t>10-14</t>
  </si>
  <si>
    <t>L-Err</t>
  </si>
  <si>
    <t>U-Err</t>
  </si>
  <si>
    <t>Unintended Pregnancies</t>
  </si>
  <si>
    <t>Probability of sucessful pregnancy after a sexual encounter</t>
  </si>
  <si>
    <t>Proportion of People Experiencing Miscarriage</t>
  </si>
  <si>
    <t>Frequency of sexual activity per week (Non- Sexual Behavior Specific)</t>
  </si>
  <si>
    <t>Alpha- Modeling Number of Drinks Per Month</t>
  </si>
  <si>
    <t>Beta- Modeling Number of Drinks Per Month</t>
  </si>
  <si>
    <t>Careful Sex</t>
  </si>
  <si>
    <t>Unsafe Sex</t>
  </si>
  <si>
    <t>Proportion of Unintended Pregnancies that are Aborted</t>
  </si>
  <si>
    <t>Unknown</t>
  </si>
  <si>
    <t>Compliance with CDC Recommendations</t>
  </si>
  <si>
    <t>No Contraception</t>
  </si>
  <si>
    <t>Consumption (Excluding No Contraception)</t>
  </si>
  <si>
    <t>Probability of being in each sexual-behavior category by age</t>
  </si>
  <si>
    <t>Total</t>
  </si>
  <si>
    <t>Pregnant</t>
  </si>
  <si>
    <t>Location</t>
  </si>
  <si>
    <t>Overdispersion</t>
  </si>
  <si>
    <t>Beta</t>
  </si>
  <si>
    <t>Alpha</t>
  </si>
  <si>
    <t>Mean Number of Drinks Per Month</t>
  </si>
  <si>
    <t>2.5%</t>
  </si>
  <si>
    <t>Levels Compliance with CDC</t>
  </si>
  <si>
    <t>Percent of Population That Has Changed Contraceptive Use</t>
  </si>
  <si>
    <t>No Intervention</t>
  </si>
  <si>
    <t>% Reduction in Risk for AEP</t>
  </si>
  <si>
    <t>Increasing Contraceptive Access</t>
  </si>
  <si>
    <t>Contraceptive Access</t>
  </si>
  <si>
    <t>% At Risk for Alcohol Exposed Pregnancies</t>
  </si>
  <si>
    <t>Compliance to CDC Recommendation</t>
  </si>
  <si>
    <t xml:space="preserve">% Population at risk for alcohol-exposed pregnancy </t>
  </si>
  <si>
    <t>% reduction in prevalence of risk for AEP</t>
  </si>
  <si>
    <t>Proportion of pregnancies exposed to alcohol</t>
  </si>
  <si>
    <t>% reduction in pregnancies exposed to alcohol</t>
  </si>
  <si>
    <t>L</t>
  </si>
  <si>
    <t>U</t>
  </si>
  <si>
    <t>Mean</t>
  </si>
  <si>
    <t>CDC-L</t>
  </si>
  <si>
    <t>CDC_U</t>
  </si>
  <si>
    <t>% Pregnant</t>
  </si>
  <si>
    <t>Age Group</t>
  </si>
  <si>
    <t>Percentage of People in This Age Group that Are Pregnant</t>
  </si>
  <si>
    <t>Number of People in This Age Group That Declined to Answer Question</t>
  </si>
  <si>
    <t>20- 24</t>
  </si>
  <si>
    <t>25- 29</t>
  </si>
  <si>
    <t>30 - 34</t>
  </si>
  <si>
    <t>35- 39</t>
  </si>
  <si>
    <t>40 - 44</t>
  </si>
  <si>
    <t>Half-Width</t>
  </si>
  <si>
    <t>Prevalence of pregnancy by age group</t>
  </si>
  <si>
    <t>% nonpregnant, nonsterile, not using contraception who had sex last month</t>
  </si>
  <si>
    <t xml:space="preserve">Proprtion of nonsterile, nonpregnant women who are not using contraception and had sex in the last 4 weeks </t>
  </si>
  <si>
    <t>10</t>
  </si>
  <si>
    <t>Mean monthly number of sexual encounters</t>
  </si>
  <si>
    <t>Alpha- Modeling Monthly Frequency of Sexual Activity</t>
  </si>
  <si>
    <t>Beta- Modeling Monthly Frequency of Sexual Activity</t>
  </si>
  <si>
    <t>alpha</t>
  </si>
  <si>
    <t>beta</t>
  </si>
  <si>
    <t>mean</t>
  </si>
  <si>
    <t>stdev</t>
  </si>
  <si>
    <t>Sample</t>
  </si>
  <si>
    <t>Contraception Failure</t>
  </si>
  <si>
    <t>US Pop</t>
  </si>
  <si>
    <t>Survey</t>
  </si>
  <si>
    <t xml:space="preserve">Proprtion of nonsterile, nonpregnant women who drank last 4 weeks </t>
  </si>
  <si>
    <t>N</t>
  </si>
  <si>
    <t>%</t>
  </si>
  <si>
    <t>CDC-L-Err</t>
  </si>
  <si>
    <t>CDC-U-Err</t>
  </si>
  <si>
    <t>n</t>
  </si>
  <si>
    <t>% at risk of AEP</t>
  </si>
  <si>
    <t>Number of People in Each Sexual Activity Group</t>
  </si>
  <si>
    <t>Group</t>
  </si>
  <si>
    <t>Sterile</t>
  </si>
  <si>
    <t>Ppl that Provided So Little Information We Weren't Able to Sort Them</t>
  </si>
  <si>
    <t>% Drank last month (nonpregnant, nonsterile)</t>
  </si>
  <si>
    <t>Total Pregnancies</t>
  </si>
  <si>
    <t>% of pregnancies exposed to alcohol</t>
  </si>
  <si>
    <t>StDev</t>
  </si>
  <si>
    <t>Trying</t>
  </si>
  <si>
    <t>Drinking while Aware of Pregnancy</t>
  </si>
  <si>
    <t>% of "Unsafe Sex" population that start using contraceptives</t>
  </si>
  <si>
    <t>% of "Careful Sex" population that lose access to contraceptives</t>
  </si>
  <si>
    <t>95% Lower Limit</t>
  </si>
  <si>
    <t>Lower Error</t>
  </si>
  <si>
    <t>Upper Error</t>
  </si>
  <si>
    <t>95% Upper Limit</t>
  </si>
  <si>
    <t>% Reduction in AEP Prevalence</t>
  </si>
  <si>
    <t>% Increase in AEP Prevalence</t>
  </si>
  <si>
    <r>
      <t xml:space="preserve">% of pregnancies exposed to alcohol- </t>
    </r>
    <r>
      <rPr>
        <b/>
        <sz val="11"/>
        <color theme="1"/>
        <rFont val="Calibri"/>
        <family val="2"/>
        <scheme val="minor"/>
      </rPr>
      <t>increasing</t>
    </r>
    <r>
      <rPr>
        <sz val="11"/>
        <color theme="1"/>
        <rFont val="Calibri"/>
        <family val="2"/>
        <scheme val="minor"/>
      </rPr>
      <t xml:space="preserve"> contraceptive access</t>
    </r>
  </si>
  <si>
    <r>
      <t xml:space="preserve">% reduction aep prevalence- </t>
    </r>
    <r>
      <rPr>
        <b/>
        <sz val="11"/>
        <color theme="1"/>
        <rFont val="Calibri"/>
        <family val="2"/>
        <scheme val="minor"/>
      </rPr>
      <t>increasing</t>
    </r>
    <r>
      <rPr>
        <sz val="11"/>
        <color theme="1"/>
        <rFont val="Calibri"/>
        <family val="2"/>
        <scheme val="minor"/>
      </rPr>
      <t xml:space="preserve"> contraceptive access</t>
    </r>
  </si>
  <si>
    <r>
      <t xml:space="preserve">% of pregnancies exposed to alcohol- </t>
    </r>
    <r>
      <rPr>
        <b/>
        <sz val="11"/>
        <color theme="1"/>
        <rFont val="Calibri"/>
        <family val="2"/>
        <scheme val="minor"/>
      </rPr>
      <t>decreasing</t>
    </r>
    <r>
      <rPr>
        <sz val="11"/>
        <color theme="1"/>
        <rFont val="Calibri"/>
        <family val="2"/>
        <scheme val="minor"/>
      </rPr>
      <t xml:space="preserve"> contraceptive access</t>
    </r>
  </si>
  <si>
    <r>
      <t xml:space="preserve">% reduction aep prevalence- </t>
    </r>
    <r>
      <rPr>
        <b/>
        <sz val="11"/>
        <color theme="1"/>
        <rFont val="Calibri"/>
        <family val="2"/>
        <scheme val="minor"/>
      </rPr>
      <t>decreasing</t>
    </r>
    <r>
      <rPr>
        <sz val="11"/>
        <color theme="1"/>
        <rFont val="Calibri"/>
        <family val="2"/>
        <scheme val="minor"/>
      </rPr>
      <t xml:space="preserve"> contraceptive access</t>
    </r>
  </si>
  <si>
    <t>Sexual Activity</t>
  </si>
  <si>
    <t>Drinking Patterns</t>
  </si>
  <si>
    <t>21-26</t>
  </si>
  <si>
    <t>27- 32</t>
  </si>
  <si>
    <t>33- 38</t>
  </si>
  <si>
    <t>39- 44</t>
  </si>
  <si>
    <t>Weigheted</t>
  </si>
  <si>
    <t>Adjusting factor</t>
  </si>
  <si>
    <t>Weighted 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</si>
</sst>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%"/>
    <numFmt numFmtId="166" formatCode="0.000"/>
    <numFmt numFmtId="167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Fill="1" applyBorder="1"/>
    <xf numFmtId="0" fontId="2" fillId="0" borderId="0" xfId="0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0" xfId="0" applyFont="1"/>
    <xf numFmtId="0" fontId="1" fillId="0" borderId="1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2" fillId="0" borderId="0" xfId="0" applyNumberFormat="1" applyFont="1" applyBorder="1" applyAlignment="1">
      <alignment horizontal="left" wrapText="1"/>
    </xf>
    <xf numFmtId="0" fontId="2" fillId="0" borderId="2" xfId="0" applyFont="1" applyBorder="1"/>
    <xf numFmtId="0" fontId="2" fillId="0" borderId="0" xfId="0" applyNumberFormat="1" applyFont="1" applyBorder="1" applyAlignment="1">
      <alignment horizontal="center" wrapText="1"/>
    </xf>
    <xf numFmtId="0" fontId="2" fillId="0" borderId="1" xfId="0" applyNumberFormat="1" applyFont="1" applyBorder="1" applyAlignment="1">
      <alignment horizontal="center" wrapText="1"/>
    </xf>
    <xf numFmtId="9" fontId="2" fillId="0" borderId="0" xfId="0" applyNumberFormat="1" applyFont="1" applyAlignment="1">
      <alignment horizontal="center"/>
    </xf>
    <xf numFmtId="9" fontId="2" fillId="0" borderId="0" xfId="0" applyNumberFormat="1" applyFont="1" applyBorder="1" applyAlignment="1">
      <alignment horizontal="center" wrapText="1"/>
    </xf>
    <xf numFmtId="9" fontId="2" fillId="0" borderId="1" xfId="0" applyNumberFormat="1" applyFont="1" applyBorder="1" applyAlignment="1">
      <alignment horizontal="center" wrapText="1"/>
    </xf>
    <xf numFmtId="9" fontId="2" fillId="2" borderId="0" xfId="0" applyNumberFormat="1" applyFont="1" applyFill="1" applyBorder="1" applyAlignment="1">
      <alignment horizontal="center" wrapText="1"/>
    </xf>
    <xf numFmtId="0" fontId="1" fillId="4" borderId="0" xfId="0" applyFont="1" applyFill="1"/>
    <xf numFmtId="0" fontId="2" fillId="4" borderId="0" xfId="0" applyFont="1" applyFill="1"/>
    <xf numFmtId="0" fontId="1" fillId="4" borderId="1" xfId="0" applyFont="1" applyFill="1" applyBorder="1"/>
    <xf numFmtId="0" fontId="0" fillId="4" borderId="1" xfId="0" applyFill="1" applyBorder="1"/>
    <xf numFmtId="0" fontId="2" fillId="4" borderId="1" xfId="0" applyFont="1" applyFill="1" applyBorder="1"/>
    <xf numFmtId="0" fontId="0" fillId="0" borderId="2" xfId="0" applyFont="1" applyFill="1" applyBorder="1" applyAlignment="1">
      <alignment horizontal="center"/>
    </xf>
    <xf numFmtId="9" fontId="2" fillId="0" borderId="0" xfId="0" applyNumberFormat="1" applyFont="1" applyFill="1" applyBorder="1" applyAlignment="1">
      <alignment horizontal="center" wrapText="1"/>
    </xf>
    <xf numFmtId="9" fontId="2" fillId="0" borderId="1" xfId="0" applyNumberFormat="1" applyFont="1" applyFill="1" applyBorder="1" applyAlignment="1">
      <alignment horizontal="center" wrapText="1"/>
    </xf>
    <xf numFmtId="0" fontId="0" fillId="0" borderId="1" xfId="0" applyNumberFormat="1" applyFont="1" applyBorder="1" applyAlignment="1">
      <alignment horizontal="left" wrapText="1"/>
    </xf>
    <xf numFmtId="0" fontId="2" fillId="0" borderId="0" xfId="0" applyNumberFormat="1" applyFon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1" fillId="5" borderId="0" xfId="0" applyFont="1" applyFill="1"/>
    <xf numFmtId="0" fontId="2" fillId="5" borderId="0" xfId="0" applyFont="1" applyFill="1"/>
    <xf numFmtId="0" fontId="1" fillId="0" borderId="0" xfId="0" applyFont="1"/>
    <xf numFmtId="9" fontId="2" fillId="0" borderId="0" xfId="1" applyFont="1"/>
    <xf numFmtId="0" fontId="0" fillId="5" borderId="0" xfId="0" applyFont="1" applyFill="1"/>
    <xf numFmtId="0" fontId="0" fillId="0" borderId="0" xfId="0" applyFill="1"/>
    <xf numFmtId="0" fontId="0" fillId="0" borderId="1" xfId="0" applyFill="1" applyBorder="1"/>
    <xf numFmtId="0" fontId="0" fillId="0" borderId="0" xfId="0" applyFill="1" applyBorder="1" applyAlignment="1">
      <alignment wrapText="1"/>
    </xf>
    <xf numFmtId="166" fontId="0" fillId="0" borderId="0" xfId="0" applyNumberForma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9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6" fillId="0" borderId="0" xfId="0" applyFont="1" applyFill="1" applyAlignment="1">
      <alignment horizontal="center"/>
    </xf>
    <xf numFmtId="167" fontId="0" fillId="0" borderId="0" xfId="0" applyNumberFormat="1" applyFill="1" applyAlignment="1">
      <alignment horizontal="center"/>
    </xf>
    <xf numFmtId="167" fontId="0" fillId="0" borderId="1" xfId="0" applyNumberFormat="1" applyFill="1" applyBorder="1" applyAlignment="1">
      <alignment horizontal="center"/>
    </xf>
    <xf numFmtId="167" fontId="1" fillId="3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165" fontId="1" fillId="3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4" borderId="0" xfId="0" applyFill="1"/>
    <xf numFmtId="0" fontId="1" fillId="5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/>
    </xf>
    <xf numFmtId="166" fontId="0" fillId="6" borderId="0" xfId="0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5" fontId="0" fillId="0" borderId="0" xfId="1" applyNumberFormat="1" applyFont="1" applyAlignment="1">
      <alignment horizontal="center"/>
    </xf>
    <xf numFmtId="165" fontId="1" fillId="6" borderId="0" xfId="1" applyNumberFormat="1" applyFont="1" applyFill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9" fontId="0" fillId="2" borderId="0" xfId="0" applyNumberFormat="1" applyFill="1" applyBorder="1" applyAlignment="1">
      <alignment horizontal="center"/>
    </xf>
    <xf numFmtId="165" fontId="0" fillId="7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Font="1" applyBorder="1"/>
    <xf numFmtId="9" fontId="0" fillId="0" borderId="1" xfId="0" applyNumberFormat="1" applyFont="1" applyBorder="1" applyAlignment="1">
      <alignment horizontal="center"/>
    </xf>
    <xf numFmtId="9" fontId="0" fillId="0" borderId="2" xfId="0" applyNumberFormat="1" applyFont="1" applyBorder="1" applyAlignment="1">
      <alignment horizontal="center"/>
    </xf>
    <xf numFmtId="9" fontId="0" fillId="0" borderId="1" xfId="0" applyNumberFormat="1" applyFont="1" applyBorder="1"/>
    <xf numFmtId="9" fontId="0" fillId="0" borderId="0" xfId="0" applyNumberFormat="1" applyFont="1" applyFill="1" applyBorder="1" applyAlignment="1">
      <alignment horizontal="center"/>
    </xf>
    <xf numFmtId="9" fontId="0" fillId="0" borderId="1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49" fontId="0" fillId="0" borderId="2" xfId="0" applyNumberFormat="1" applyFont="1" applyBorder="1" applyAlignment="1">
      <alignment horizontal="center"/>
    </xf>
    <xf numFmtId="0" fontId="0" fillId="0" borderId="1" xfId="0" applyFont="1" applyBorder="1" applyAlignment="1">
      <alignment wrapText="1"/>
    </xf>
    <xf numFmtId="0" fontId="0" fillId="0" borderId="0" xfId="0" applyFont="1" applyFill="1"/>
    <xf numFmtId="49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4" fillId="0" borderId="0" xfId="0" applyFont="1" applyFill="1" applyAlignment="1">
      <alignment horizontal="right"/>
    </xf>
    <xf numFmtId="1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1" xfId="0" applyFont="1" applyFill="1" applyBorder="1"/>
    <xf numFmtId="0" fontId="0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167" fontId="0" fillId="0" borderId="1" xfId="0" applyNumberFormat="1" applyFont="1" applyFill="1" applyBorder="1" applyAlignment="1">
      <alignment horizontal="center"/>
    </xf>
    <xf numFmtId="165" fontId="0" fillId="0" borderId="1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>
      <alignment wrapText="1"/>
    </xf>
    <xf numFmtId="2" fontId="4" fillId="0" borderId="0" xfId="0" applyNumberFormat="1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165" fontId="6" fillId="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ont="1" applyBorder="1" applyAlignment="1">
      <alignment horizontal="left" wrapText="1"/>
    </xf>
    <xf numFmtId="0" fontId="2" fillId="0" borderId="0" xfId="0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ont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11" xfId="0" applyBorder="1"/>
    <xf numFmtId="0" fontId="0" fillId="0" borderId="2" xfId="0" applyFont="1" applyBorder="1"/>
    <xf numFmtId="0" fontId="3" fillId="0" borderId="2" xfId="0" applyFont="1" applyBorder="1"/>
    <xf numFmtId="0" fontId="0" fillId="0" borderId="2" xfId="0" applyBorder="1"/>
    <xf numFmtId="2" fontId="2" fillId="0" borderId="0" xfId="0" applyNumberFormat="1" applyFont="1" applyAlignment="1">
      <alignment horizontal="center"/>
    </xf>
    <xf numFmtId="0" fontId="2" fillId="0" borderId="0" xfId="0" applyFont="1" applyFill="1"/>
    <xf numFmtId="0" fontId="0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1" fillId="8" borderId="0" xfId="0" applyFont="1" applyFill="1"/>
    <xf numFmtId="0" fontId="2" fillId="8" borderId="0" xfId="0" applyFont="1" applyFill="1"/>
    <xf numFmtId="0" fontId="2" fillId="0" borderId="1" xfId="0" applyFont="1" applyFill="1" applyBorder="1" applyAlignment="1">
      <alignment horizontal="center"/>
    </xf>
    <xf numFmtId="2" fontId="0" fillId="0" borderId="0" xfId="0" applyNumberFormat="1" applyFont="1" applyFill="1" applyAlignment="1">
      <alignment horizontal="center"/>
    </xf>
    <xf numFmtId="0" fontId="0" fillId="3" borderId="0" xfId="0" applyFill="1"/>
    <xf numFmtId="0" fontId="0" fillId="9" borderId="0" xfId="0" applyFill="1"/>
    <xf numFmtId="166" fontId="0" fillId="3" borderId="0" xfId="0" applyNumberFormat="1" applyFill="1"/>
    <xf numFmtId="166" fontId="0" fillId="10" borderId="0" xfId="0" applyNumberFormat="1" applyFill="1"/>
    <xf numFmtId="0" fontId="1" fillId="0" borderId="1" xfId="0" applyFont="1" applyBorder="1" applyAlignment="1"/>
    <xf numFmtId="2" fontId="2" fillId="0" borderId="0" xfId="0" applyNumberFormat="1" applyFont="1"/>
    <xf numFmtId="0" fontId="0" fillId="0" borderId="0" xfId="0"/>
    <xf numFmtId="9" fontId="0" fillId="0" borderId="0" xfId="1" applyFont="1"/>
    <xf numFmtId="0" fontId="2" fillId="0" borderId="0" xfId="0" applyFont="1" applyBorder="1"/>
    <xf numFmtId="165" fontId="2" fillId="0" borderId="0" xfId="0" applyNumberFormat="1" applyFont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5" fontId="4" fillId="0" borderId="0" xfId="0" applyNumberFormat="1" applyFont="1" applyFill="1" applyAlignment="1">
      <alignment horizontal="center"/>
    </xf>
    <xf numFmtId="165" fontId="0" fillId="0" borderId="0" xfId="0" applyNumberFormat="1" applyFont="1"/>
    <xf numFmtId="165" fontId="0" fillId="0" borderId="0" xfId="0" applyNumberFormat="1" applyFon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horizontal="center" wrapText="1"/>
    </xf>
    <xf numFmtId="49" fontId="4" fillId="0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0" fontId="2" fillId="2" borderId="0" xfId="0" applyNumberFormat="1" applyFont="1" applyFill="1" applyAlignment="1">
      <alignment horizontal="center"/>
    </xf>
    <xf numFmtId="10" fontId="2" fillId="2" borderId="1" xfId="0" applyNumberFormat="1" applyFont="1" applyFill="1" applyBorder="1" applyAlignment="1">
      <alignment horizontal="center"/>
    </xf>
    <xf numFmtId="10" fontId="2" fillId="0" borderId="0" xfId="0" applyNumberFormat="1" applyFont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8" fillId="0" borderId="0" xfId="1" applyNumberFormat="1" applyFont="1" applyAlignment="1">
      <alignment horizontal="center"/>
    </xf>
    <xf numFmtId="165" fontId="8" fillId="0" borderId="1" xfId="1" applyNumberFormat="1" applyFont="1" applyBorder="1" applyAlignment="1">
      <alignment horizontal="center"/>
    </xf>
    <xf numFmtId="0" fontId="9" fillId="0" borderId="0" xfId="0" applyFont="1"/>
    <xf numFmtId="0" fontId="0" fillId="0" borderId="0" xfId="0" applyFont="1" applyFill="1" applyAlignment="1">
      <alignment horizontal="center"/>
    </xf>
    <xf numFmtId="0" fontId="1" fillId="11" borderId="0" xfId="0" applyFont="1" applyFill="1"/>
    <xf numFmtId="0" fontId="0" fillId="11" borderId="0" xfId="0" applyFill="1"/>
    <xf numFmtId="0" fontId="9" fillId="11" borderId="0" xfId="0" applyFont="1" applyFill="1"/>
    <xf numFmtId="0" fontId="0" fillId="11" borderId="0" xfId="0" applyFill="1" applyBorder="1"/>
    <xf numFmtId="0" fontId="0" fillId="11" borderId="0" xfId="0" applyFont="1" applyFill="1" applyBorder="1" applyAlignment="1">
      <alignment horizontal="center"/>
    </xf>
    <xf numFmtId="0" fontId="0" fillId="11" borderId="1" xfId="0" applyFill="1" applyBorder="1"/>
    <xf numFmtId="0" fontId="0" fillId="11" borderId="1" xfId="0" applyFont="1" applyFill="1" applyBorder="1" applyAlignment="1">
      <alignment horizontal="center"/>
    </xf>
    <xf numFmtId="0" fontId="0" fillId="11" borderId="11" xfId="0" applyFill="1" applyBorder="1"/>
    <xf numFmtId="0" fontId="0" fillId="11" borderId="2" xfId="0" applyFont="1" applyFill="1" applyBorder="1"/>
    <xf numFmtId="0" fontId="0" fillId="11" borderId="2" xfId="0" applyFill="1" applyBorder="1"/>
    <xf numFmtId="0" fontId="1" fillId="12" borderId="1" xfId="0" applyFont="1" applyFill="1" applyBorder="1"/>
    <xf numFmtId="0" fontId="2" fillId="12" borderId="1" xfId="0" applyFont="1" applyFill="1" applyBorder="1"/>
    <xf numFmtId="0" fontId="0" fillId="0" borderId="11" xfId="0" applyFill="1" applyBorder="1"/>
    <xf numFmtId="0" fontId="0" fillId="0" borderId="0" xfId="0" applyFont="1" applyFill="1" applyAlignment="1">
      <alignment horizontal="center" wrapText="1"/>
    </xf>
    <xf numFmtId="167" fontId="2" fillId="0" borderId="0" xfId="0" applyNumberFormat="1" applyFont="1" applyFill="1"/>
    <xf numFmtId="0" fontId="2" fillId="0" borderId="11" xfId="0" applyFont="1" applyFill="1" applyBorder="1" applyAlignment="1">
      <alignment horizontal="center"/>
    </xf>
    <xf numFmtId="166" fontId="2" fillId="0" borderId="11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166" fontId="2" fillId="0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0" fontId="9" fillId="0" borderId="0" xfId="0" applyFont="1" applyFill="1"/>
    <xf numFmtId="0" fontId="0" fillId="0" borderId="1" xfId="0" applyNumberFormat="1" applyFont="1" applyFill="1" applyBorder="1" applyAlignment="1">
      <alignment wrapText="1"/>
    </xf>
    <xf numFmtId="165" fontId="0" fillId="0" borderId="0" xfId="1" applyNumberFormat="1" applyFont="1"/>
    <xf numFmtId="0" fontId="0" fillId="0" borderId="0" xfId="0" applyFont="1" applyAlignment="1">
      <alignment horizontal="right"/>
    </xf>
    <xf numFmtId="9" fontId="2" fillId="2" borderId="0" xfId="0" applyNumberFormat="1" applyFont="1" applyFill="1" applyAlignment="1">
      <alignment horizontal="center"/>
    </xf>
    <xf numFmtId="0" fontId="0" fillId="0" borderId="1" xfId="0" applyFont="1" applyBorder="1" applyAlignment="1">
      <alignment horizontal="center" wrapText="1"/>
    </xf>
    <xf numFmtId="0" fontId="1" fillId="5" borderId="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</a:t>
            </a:r>
            <a:r>
              <a:rPr lang="en-US" baseline="0"/>
              <a:t> Birth Rate (Per 1,000 people)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val>
            <c:numRef>
              <c:f>Outcomes!$C$3:$H$3</c:f>
              <c:numCache>
                <c:formatCode>General</c:formatCode>
                <c:ptCount val="6"/>
                <c:pt idx="0">
                  <c:v>24.0</c:v>
                </c:pt>
                <c:pt idx="1">
                  <c:v>90.0</c:v>
                </c:pt>
                <c:pt idx="2">
                  <c:v>108.3</c:v>
                </c:pt>
                <c:pt idx="3">
                  <c:v>96.5</c:v>
                </c:pt>
                <c:pt idx="4">
                  <c:v>45.9</c:v>
                </c:pt>
                <c:pt idx="5">
                  <c:v>10.2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18A-4224-B5E4-71E327DE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8966496"/>
        <c:axId val="1588968816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Outcomes!$C$12:$H$12</c:f>
                <c:numCache>
                  <c:formatCode>General</c:formatCode>
                  <c:ptCount val="6"/>
                  <c:pt idx="0">
                    <c:v>9.0</c:v>
                  </c:pt>
                  <c:pt idx="1">
                    <c:v>16.0</c:v>
                  </c:pt>
                  <c:pt idx="2">
                    <c:v>14.04999999999998</c:v>
                  </c:pt>
                  <c:pt idx="3">
                    <c:v>24.57499999999997</c:v>
                  </c:pt>
                  <c:pt idx="4">
                    <c:v>12.525</c:v>
                  </c:pt>
                  <c:pt idx="5">
                    <c:v>6.0</c:v>
                  </c:pt>
                </c:numCache>
              </c:numRef>
            </c:plus>
            <c:minus>
              <c:numRef>
                <c:f>Outcomes!$C$11:$H$11</c:f>
                <c:numCache>
                  <c:formatCode>General</c:formatCode>
                  <c:ptCount val="6"/>
                  <c:pt idx="0">
                    <c:v>8.524999999999998</c:v>
                  </c:pt>
                  <c:pt idx="1">
                    <c:v>9.0</c:v>
                  </c:pt>
                  <c:pt idx="2">
                    <c:v>23.575</c:v>
                  </c:pt>
                  <c:pt idx="3">
                    <c:v>14.525</c:v>
                  </c:pt>
                  <c:pt idx="4">
                    <c:v>18.05</c:v>
                  </c:pt>
                  <c:pt idx="5">
                    <c:v>7.0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Outcomes!$C$2:$H$2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Outcomes!$C$8:$H$8</c:f>
              <c:numCache>
                <c:formatCode>0</c:formatCode>
                <c:ptCount val="6"/>
                <c:pt idx="0">
                  <c:v>27.0</c:v>
                </c:pt>
                <c:pt idx="1">
                  <c:v>71.0</c:v>
                </c:pt>
                <c:pt idx="2">
                  <c:v>82.0</c:v>
                </c:pt>
                <c:pt idx="3">
                  <c:v>68.0</c:v>
                </c:pt>
                <c:pt idx="4">
                  <c:v>33.0</c:v>
                </c:pt>
                <c:pt idx="5">
                  <c:v>13.0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A-4224-B5E4-71E327DE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966496"/>
        <c:axId val="1588968816"/>
      </c:lineChart>
      <c:catAx>
        <c:axId val="15889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968816"/>
        <c:crosses val="autoZero"/>
        <c:auto val="1"/>
        <c:lblAlgn val="ctr"/>
        <c:lblOffset val="100"/>
        <c:noMultiLvlLbl val="0"/>
      </c:catAx>
      <c:valAx>
        <c:axId val="158896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96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Number of Unintended Pregnancies 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(Per 100 People)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cat>
            <c:strRef>
              <c:f>Outcomes!$K$2:$T$2</c:f>
              <c:strCache>
                <c:ptCount val="10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Female Sterilization</c:v>
                </c:pt>
                <c:pt idx="7">
                  <c:v>Male Sterilization</c:v>
                </c:pt>
                <c:pt idx="8">
                  <c:v>Withdrawal</c:v>
                </c:pt>
                <c:pt idx="9">
                  <c:v>Other Method</c:v>
                </c:pt>
              </c:strCache>
            </c:strRef>
          </c:cat>
          <c:val>
            <c:numRef>
              <c:f>Outcomes!$K$3:$T$3</c:f>
              <c:numCache>
                <c:formatCode>General</c:formatCode>
                <c:ptCount val="10"/>
                <c:pt idx="0">
                  <c:v>0.05</c:v>
                </c:pt>
                <c:pt idx="1">
                  <c:v>6.0</c:v>
                </c:pt>
                <c:pt idx="2">
                  <c:v>9.0</c:v>
                </c:pt>
                <c:pt idx="3">
                  <c:v>9.0</c:v>
                </c:pt>
                <c:pt idx="4">
                  <c:v>0.5</c:v>
                </c:pt>
                <c:pt idx="5">
                  <c:v>18.0</c:v>
                </c:pt>
                <c:pt idx="6">
                  <c:v>0.5</c:v>
                </c:pt>
                <c:pt idx="7">
                  <c:v>0.15</c:v>
                </c:pt>
                <c:pt idx="8">
                  <c:v>22.0</c:v>
                </c:pt>
                <c:pt idx="9">
                  <c:v>18.67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2788352"/>
        <c:axId val="1560986816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Outcomes!$K$12:$T$12</c:f>
                <c:numCache>
                  <c:formatCode>General</c:formatCode>
                  <c:ptCount val="10"/>
                  <c:pt idx="0">
                    <c:v>4.524999999999991</c:v>
                  </c:pt>
                  <c:pt idx="1">
                    <c:v>4.0</c:v>
                  </c:pt>
                  <c:pt idx="2">
                    <c:v>2.0</c:v>
                  </c:pt>
                  <c:pt idx="3">
                    <c:v>4.0</c:v>
                  </c:pt>
                  <c:pt idx="4">
                    <c:v>0.0</c:v>
                  </c:pt>
                  <c:pt idx="5">
                    <c:v>4.0</c:v>
                  </c:pt>
                  <c:pt idx="6">
                    <c:v>1.0</c:v>
                  </c:pt>
                  <c:pt idx="7">
                    <c:v>0.0</c:v>
                  </c:pt>
                  <c:pt idx="8">
                    <c:v>6.524999999999991</c:v>
                  </c:pt>
                  <c:pt idx="9">
                    <c:v>15.0</c:v>
                  </c:pt>
                </c:numCache>
              </c:numRef>
            </c:plus>
            <c:minus>
              <c:numRef>
                <c:f>Outcomes!$K$11:$T$11</c:f>
                <c:numCache>
                  <c:formatCode>General</c:formatCode>
                  <c:ptCount val="10"/>
                  <c:pt idx="0">
                    <c:v>0.0</c:v>
                  </c:pt>
                  <c:pt idx="1">
                    <c:v>3.525</c:v>
                  </c:pt>
                  <c:pt idx="2">
                    <c:v>2.0</c:v>
                  </c:pt>
                  <c:pt idx="3">
                    <c:v>6.574999999999999</c:v>
                  </c:pt>
                  <c:pt idx="4">
                    <c:v>0.0</c:v>
                  </c:pt>
                  <c:pt idx="5">
                    <c:v>4.0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7.524999999999999</c:v>
                  </c:pt>
                  <c:pt idx="9">
                    <c:v>10.05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Outcomes!$K$2:$T$2</c:f>
              <c:strCache>
                <c:ptCount val="10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Female Sterilization</c:v>
                </c:pt>
                <c:pt idx="7">
                  <c:v>Male Sterilization</c:v>
                </c:pt>
                <c:pt idx="8">
                  <c:v>Withdrawal</c:v>
                </c:pt>
                <c:pt idx="9">
                  <c:v>Other Method</c:v>
                </c:pt>
              </c:strCache>
            </c:strRef>
          </c:cat>
          <c:val>
            <c:numRef>
              <c:f>Outcomes!$K$8:$T$8</c:f>
              <c:numCache>
                <c:formatCode>General</c:formatCode>
                <c:ptCount val="10"/>
                <c:pt idx="0">
                  <c:v>0.0</c:v>
                </c:pt>
                <c:pt idx="1">
                  <c:v>6.0</c:v>
                </c:pt>
                <c:pt idx="2">
                  <c:v>10.0</c:v>
                </c:pt>
                <c:pt idx="3">
                  <c:v>9.0</c:v>
                </c:pt>
                <c:pt idx="4">
                  <c:v>0.0</c:v>
                </c:pt>
                <c:pt idx="5">
                  <c:v>20.0</c:v>
                </c:pt>
                <c:pt idx="6">
                  <c:v>0.0</c:v>
                </c:pt>
                <c:pt idx="7">
                  <c:v>0.0</c:v>
                </c:pt>
                <c:pt idx="8">
                  <c:v>24.0</c:v>
                </c:pt>
                <c:pt idx="9">
                  <c:v>23.0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788352"/>
        <c:axId val="1560986816"/>
      </c:lineChart>
      <c:catAx>
        <c:axId val="153278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986816"/>
        <c:crosses val="autoZero"/>
        <c:auto val="1"/>
        <c:lblAlgn val="ctr"/>
        <c:lblOffset val="100"/>
        <c:noMultiLvlLbl val="0"/>
      </c:catAx>
      <c:valAx>
        <c:axId val="15609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78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at Risk for an Alcohol Exposed Pregnancy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Outcomes!$AQ$7:$AW$7</c:f>
                <c:numCache>
                  <c:formatCode>General</c:formatCode>
                  <c:ptCount val="7"/>
                  <c:pt idx="0">
                    <c:v>0.00778085164614196</c:v>
                  </c:pt>
                  <c:pt idx="1">
                    <c:v>0.0149334836102771</c:v>
                  </c:pt>
                  <c:pt idx="2">
                    <c:v>0.0182981473690266</c:v>
                  </c:pt>
                  <c:pt idx="3">
                    <c:v>0.0234135902855625</c:v>
                  </c:pt>
                  <c:pt idx="4">
                    <c:v>0.0256443400051333</c:v>
                  </c:pt>
                  <c:pt idx="5">
                    <c:v>0.0342368704466593</c:v>
                  </c:pt>
                  <c:pt idx="6">
                    <c:v>0.00780180655134258</c:v>
                  </c:pt>
                </c:numCache>
              </c:numRef>
            </c:plus>
            <c:minus>
              <c:numRef>
                <c:f>Outcomes!$AQ$6:$AW$6</c:f>
                <c:numCache>
                  <c:formatCode>General</c:formatCode>
                  <c:ptCount val="7"/>
                  <c:pt idx="0">
                    <c:v>0.00778085164614196</c:v>
                  </c:pt>
                  <c:pt idx="1">
                    <c:v>0.0149334836102772</c:v>
                  </c:pt>
                  <c:pt idx="2">
                    <c:v>0.0182981473690266</c:v>
                  </c:pt>
                  <c:pt idx="3">
                    <c:v>0.0234135902855625</c:v>
                  </c:pt>
                  <c:pt idx="4">
                    <c:v>0.0256443400051333</c:v>
                  </c:pt>
                  <c:pt idx="5">
                    <c:v>0.0342368704466593</c:v>
                  </c:pt>
                  <c:pt idx="6">
                    <c:v>0.00780180655134258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Outcomes!$AQ$2:$AW$2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Outcomes!$AQ$3:$AW$3</c:f>
              <c:numCache>
                <c:formatCode>0.0%</c:formatCode>
                <c:ptCount val="7"/>
                <c:pt idx="0">
                  <c:v>0.015495867768595</c:v>
                </c:pt>
                <c:pt idx="1">
                  <c:v>0.0525087514585764</c:v>
                </c:pt>
                <c:pt idx="2">
                  <c:v>0.0808909730363423</c:v>
                </c:pt>
                <c:pt idx="3">
                  <c:v>0.11869031377899</c:v>
                </c:pt>
                <c:pt idx="4">
                  <c:v>0.102420856610801</c:v>
                </c:pt>
                <c:pt idx="5">
                  <c:v>0.12972972972973</c:v>
                </c:pt>
                <c:pt idx="6">
                  <c:v>0.0738767948124132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7759584"/>
        <c:axId val="1588018640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Outcomes!$AQ$12:$AW$12</c:f>
                <c:numCache>
                  <c:formatCode>General</c:formatCode>
                  <c:ptCount val="7"/>
                  <c:pt idx="0">
                    <c:v>0.00888198757763975</c:v>
                  </c:pt>
                  <c:pt idx="1">
                    <c:v>0.0292260411824067</c:v>
                  </c:pt>
                  <c:pt idx="2">
                    <c:v>0.0215939285239803</c:v>
                  </c:pt>
                  <c:pt idx="3">
                    <c:v>0.0194933322340717</c:v>
                  </c:pt>
                  <c:pt idx="4">
                    <c:v>0.0257318650534486</c:v>
                  </c:pt>
                  <c:pt idx="5">
                    <c:v>0.0247002647845833</c:v>
                  </c:pt>
                  <c:pt idx="6">
                    <c:v>0.0122185766283099</c:v>
                  </c:pt>
                </c:numCache>
              </c:numRef>
            </c:plus>
            <c:minus>
              <c:numRef>
                <c:f>Outcomes!$AQ$11:$AW$11</c:f>
                <c:numCache>
                  <c:formatCode>General</c:formatCode>
                  <c:ptCount val="7"/>
                  <c:pt idx="0">
                    <c:v>0.00927383056213061</c:v>
                  </c:pt>
                  <c:pt idx="1">
                    <c:v>0.0141748100659792</c:v>
                  </c:pt>
                  <c:pt idx="2">
                    <c:v>0.0194292200548214</c:v>
                  </c:pt>
                  <c:pt idx="3">
                    <c:v>0.0143204339237641</c:v>
                  </c:pt>
                  <c:pt idx="4">
                    <c:v>0.0202523805248749</c:v>
                  </c:pt>
                  <c:pt idx="5">
                    <c:v>0.0171982559482559</c:v>
                  </c:pt>
                  <c:pt idx="6">
                    <c:v>0.00649912845092179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Outcomes!$AQ$2:$AW$2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Outcomes!$AQ$8:$AW$8</c:f>
              <c:numCache>
                <c:formatCode>0.0%</c:formatCode>
                <c:ptCount val="7"/>
                <c:pt idx="0">
                  <c:v>0.0211180124223602</c:v>
                </c:pt>
                <c:pt idx="1">
                  <c:v>0.0664990418740716</c:v>
                </c:pt>
                <c:pt idx="2">
                  <c:v>0.0923076923076923</c:v>
                </c:pt>
                <c:pt idx="3">
                  <c:v>0.0901386923937932</c:v>
                </c:pt>
                <c:pt idx="4">
                  <c:v>0.0960817485927921</c:v>
                </c:pt>
                <c:pt idx="5">
                  <c:v>0.110093555093555</c:v>
                </c:pt>
                <c:pt idx="6" formatCode="0.0">
                  <c:v>0.0752974131437716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759584"/>
        <c:axId val="1588018640"/>
      </c:lineChart>
      <c:catAx>
        <c:axId val="158775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018640"/>
        <c:crosses val="autoZero"/>
        <c:auto val="1"/>
        <c:lblAlgn val="ctr"/>
        <c:lblOffset val="100"/>
        <c:noMultiLvlLbl val="0"/>
      </c:catAx>
      <c:valAx>
        <c:axId val="158801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75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Total  Pregnancies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Outcomes!$AX$12</c:f>
                <c:numCache>
                  <c:formatCode>General</c:formatCode>
                  <c:ptCount val="1"/>
                  <c:pt idx="0">
                    <c:v>25.52499999999998</c:v>
                  </c:pt>
                </c:numCache>
              </c:numRef>
            </c:plus>
            <c:minus>
              <c:numRef>
                <c:f>Outcomes!$AX$11</c:f>
                <c:numCache>
                  <c:formatCode>General</c:formatCode>
                  <c:ptCount val="1"/>
                  <c:pt idx="0">
                    <c:v>21.52500000000001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Outcomes!$AX$2</c:f>
              <c:strCache>
                <c:ptCount val="1"/>
                <c:pt idx="0">
                  <c:v>Total Pregnancies</c:v>
                </c:pt>
              </c:strCache>
            </c:strRef>
          </c:cat>
          <c:val>
            <c:numRef>
              <c:f>Outcomes!$AX$8</c:f>
              <c:numCache>
                <c:formatCode>0.0</c:formatCode>
                <c:ptCount val="1"/>
                <c:pt idx="0">
                  <c:v>200.0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A1-4AEF-80AA-C210798AB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637184"/>
        <c:axId val="1562639504"/>
      </c:lineChart>
      <c:catAx>
        <c:axId val="156263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639504"/>
        <c:crosses val="autoZero"/>
        <c:auto val="1"/>
        <c:lblAlgn val="ctr"/>
        <c:lblOffset val="100"/>
        <c:noMultiLvlLbl val="0"/>
      </c:catAx>
      <c:valAx>
        <c:axId val="1562639504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63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Drank Last Month (Nonpregnant, Nonsterile)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Outcomes!$BR$7:$BU$7</c:f>
                <c:numCache>
                  <c:formatCode>General</c:formatCode>
                  <c:ptCount val="4"/>
                  <c:pt idx="0">
                    <c:v>0.0277136900299594</c:v>
                  </c:pt>
                  <c:pt idx="1">
                    <c:v>0.0194434375498742</c:v>
                  </c:pt>
                  <c:pt idx="2">
                    <c:v>0.0366533174416063</c:v>
                  </c:pt>
                  <c:pt idx="3">
                    <c:v>0.0609669344780685</c:v>
                  </c:pt>
                </c:numCache>
              </c:numRef>
            </c:plus>
            <c:minus>
              <c:numRef>
                <c:f>Outcomes!$BR$6:$BU$6</c:f>
                <c:numCache>
                  <c:formatCode>General</c:formatCode>
                  <c:ptCount val="4"/>
                  <c:pt idx="0">
                    <c:v>0.0277136900299594</c:v>
                  </c:pt>
                  <c:pt idx="1">
                    <c:v>0.0194434375498742</c:v>
                  </c:pt>
                  <c:pt idx="2">
                    <c:v>0.0366533174416063</c:v>
                  </c:pt>
                  <c:pt idx="3">
                    <c:v>0.0609669344780685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Outcomes!$BR$2:$BU$2</c:f>
              <c:strCache>
                <c:ptCount val="4"/>
                <c:pt idx="0">
                  <c:v>Sexually Inactive</c:v>
                </c:pt>
                <c:pt idx="1">
                  <c:v>Careful sex</c:v>
                </c:pt>
                <c:pt idx="2">
                  <c:v>Unsafe Sex</c:v>
                </c:pt>
                <c:pt idx="3">
                  <c:v>Seeking Pregnancy</c:v>
                </c:pt>
              </c:strCache>
            </c:strRef>
          </c:cat>
          <c:val>
            <c:numRef>
              <c:f>Outcomes!$BR$3:$BU$3</c:f>
              <c:numCache>
                <c:formatCode>0.0%</c:formatCode>
                <c:ptCount val="4"/>
                <c:pt idx="0">
                  <c:v>0.385654008438819</c:v>
                </c:pt>
                <c:pt idx="1">
                  <c:v>0.691420664206642</c:v>
                </c:pt>
                <c:pt idx="2">
                  <c:v>0.595065312046444</c:v>
                </c:pt>
                <c:pt idx="3">
                  <c:v>0.633333333333333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2655232"/>
        <c:axId val="1562657552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Outcomes!$BR$12:$BV$12</c:f>
                <c:numCache>
                  <c:formatCode>General</c:formatCode>
                  <c:ptCount val="5"/>
                  <c:pt idx="0">
                    <c:v>0.0266883093388156</c:v>
                  </c:pt>
                  <c:pt idx="1">
                    <c:v>0.0228258282357134</c:v>
                  </c:pt>
                  <c:pt idx="2">
                    <c:v>0.0333829945876428</c:v>
                  </c:pt>
                  <c:pt idx="3">
                    <c:v>0.0658576073766482</c:v>
                  </c:pt>
                  <c:pt idx="4">
                    <c:v>0.0</c:v>
                  </c:pt>
                </c:numCache>
              </c:numRef>
            </c:plus>
            <c:minus>
              <c:numRef>
                <c:f>Outcomes!$BR$11:$BV$11</c:f>
                <c:numCache>
                  <c:formatCode>General</c:formatCode>
                  <c:ptCount val="5"/>
                  <c:pt idx="0">
                    <c:v>0.0178747562950637</c:v>
                  </c:pt>
                  <c:pt idx="1">
                    <c:v>0.0155901247787714</c:v>
                  </c:pt>
                  <c:pt idx="2">
                    <c:v>0.03920228901875</c:v>
                  </c:pt>
                  <c:pt idx="3">
                    <c:v>0.0835479475462193</c:v>
                  </c:pt>
                  <c:pt idx="4">
                    <c:v>0.0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Outcomes!$BR$2:$BU$2</c:f>
              <c:strCache>
                <c:ptCount val="4"/>
                <c:pt idx="0">
                  <c:v>Sexually Inactive</c:v>
                </c:pt>
                <c:pt idx="1">
                  <c:v>Careful sex</c:v>
                </c:pt>
                <c:pt idx="2">
                  <c:v>Unsafe Sex</c:v>
                </c:pt>
                <c:pt idx="3">
                  <c:v>Seeking Pregnancy</c:v>
                </c:pt>
              </c:strCache>
            </c:strRef>
          </c:cat>
          <c:val>
            <c:numRef>
              <c:f>Outcomes!$BR$8:$BU$8</c:f>
              <c:numCache>
                <c:formatCode>0.0%</c:formatCode>
                <c:ptCount val="4"/>
                <c:pt idx="0">
                  <c:v>0.388281595917705</c:v>
                </c:pt>
                <c:pt idx="1">
                  <c:v>0.683412412705278</c:v>
                </c:pt>
                <c:pt idx="2">
                  <c:v>0.622945356424893</c:v>
                </c:pt>
                <c:pt idx="3">
                  <c:v>0.669798631166673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655232"/>
        <c:axId val="1562657552"/>
      </c:lineChart>
      <c:catAx>
        <c:axId val="156265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657552"/>
        <c:crosses val="autoZero"/>
        <c:auto val="1"/>
        <c:lblAlgn val="ctr"/>
        <c:lblOffset val="100"/>
        <c:noMultiLvlLbl val="0"/>
      </c:catAx>
      <c:valAx>
        <c:axId val="1562657552"/>
        <c:scaling>
          <c:orientation val="minMax"/>
          <c:max val="1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65523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Pregnant at the end of projection period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Outcomes!$AG$7:$AL$7</c:f>
                <c:numCache>
                  <c:formatCode>General</c:formatCode>
                  <c:ptCount val="6"/>
                  <c:pt idx="0">
                    <c:v>0.010154867163961</c:v>
                  </c:pt>
                  <c:pt idx="1">
                    <c:v>0.0157059789381918</c:v>
                  </c:pt>
                  <c:pt idx="2">
                    <c:v>0.0154977921194194</c:v>
                  </c:pt>
                  <c:pt idx="3">
                    <c:v>0.0137172276646137</c:v>
                  </c:pt>
                  <c:pt idx="4">
                    <c:v>0.00992467374094921</c:v>
                  </c:pt>
                  <c:pt idx="5">
                    <c:v>0.00502549877591717</c:v>
                  </c:pt>
                </c:numCache>
              </c:numRef>
            </c:plus>
            <c:minus>
              <c:numRef>
                <c:f>Outcomes!$AG$6:$AL$6</c:f>
                <c:numCache>
                  <c:formatCode>General</c:formatCode>
                  <c:ptCount val="6"/>
                  <c:pt idx="0">
                    <c:v>0.010154867163961</c:v>
                  </c:pt>
                  <c:pt idx="1">
                    <c:v>0.0157059789381918</c:v>
                  </c:pt>
                  <c:pt idx="2">
                    <c:v>0.0154977921194194</c:v>
                  </c:pt>
                  <c:pt idx="3">
                    <c:v>0.0137172276646137</c:v>
                  </c:pt>
                  <c:pt idx="4">
                    <c:v>0.00992467374094921</c:v>
                  </c:pt>
                  <c:pt idx="5">
                    <c:v>0.00502549877591717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Outcomes!$AG$2:$AL$2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Outcomes!$AG$3:$AL$3</c:f>
              <c:numCache>
                <c:formatCode>0.0%</c:formatCode>
                <c:ptCount val="6"/>
                <c:pt idx="0">
                  <c:v>0.0278053624627607</c:v>
                </c:pt>
                <c:pt idx="1">
                  <c:v>0.0652631578947368</c:v>
                </c:pt>
                <c:pt idx="2">
                  <c:v>0.0700575815738963</c:v>
                </c:pt>
                <c:pt idx="3">
                  <c:v>0.0533462657613967</c:v>
                </c:pt>
                <c:pt idx="4">
                  <c:v>0.0229095074455899</c:v>
                </c:pt>
                <c:pt idx="5">
                  <c:v>0.0051413881748072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3103184"/>
        <c:axId val="1457240864"/>
      </c:barChart>
      <c:lineChart>
        <c:grouping val="standard"/>
        <c:varyColors val="0"/>
        <c:ser>
          <c:idx val="0"/>
          <c:order val="0"/>
          <c:tx>
            <c:v>Model-Median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Outcomes!$AG$12:$AM$12</c:f>
                <c:numCache>
                  <c:formatCode>General</c:formatCode>
                  <c:ptCount val="7"/>
                  <c:pt idx="0">
                    <c:v>0.00614199192109572</c:v>
                  </c:pt>
                  <c:pt idx="1">
                    <c:v>0.012246100752643</c:v>
                  </c:pt>
                  <c:pt idx="2">
                    <c:v>0.0154823748616616</c:v>
                  </c:pt>
                  <c:pt idx="3">
                    <c:v>0.0125698336746405</c:v>
                  </c:pt>
                  <c:pt idx="4">
                    <c:v>0.00923488827936235</c:v>
                  </c:pt>
                  <c:pt idx="5">
                    <c:v>0.0067982775043956</c:v>
                  </c:pt>
                </c:numCache>
              </c:numRef>
            </c:plus>
            <c:minus>
              <c:numRef>
                <c:f>Outcomes!$AG$11:$AM$11</c:f>
                <c:numCache>
                  <c:formatCode>General</c:formatCode>
                  <c:ptCount val="7"/>
                  <c:pt idx="0">
                    <c:v>0.0059803223136029</c:v>
                  </c:pt>
                  <c:pt idx="1">
                    <c:v>0.0125172048597578</c:v>
                  </c:pt>
                  <c:pt idx="2">
                    <c:v>0.0137787345948862</c:v>
                  </c:pt>
                  <c:pt idx="3">
                    <c:v>0.0109901081014227</c:v>
                  </c:pt>
                  <c:pt idx="4">
                    <c:v>0.00900458230371517</c:v>
                  </c:pt>
                  <c:pt idx="5">
                    <c:v>0.0071190478363658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Outcomes!$AG$2:$AL$2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Outcomes!$AG$8:$AL$8</c:f>
              <c:numCache>
                <c:formatCode>0.0%</c:formatCode>
                <c:ptCount val="6"/>
                <c:pt idx="0">
                  <c:v>0.0223271677817132</c:v>
                </c:pt>
                <c:pt idx="1">
                  <c:v>0.0621980394445093</c:v>
                </c:pt>
                <c:pt idx="2">
                  <c:v>0.0641305105511703</c:v>
                </c:pt>
                <c:pt idx="3">
                  <c:v>0.054872625866747</c:v>
                </c:pt>
                <c:pt idx="4">
                  <c:v>0.0194679517844991</c:v>
                </c:pt>
                <c:pt idx="5">
                  <c:v>0.00781146766143869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03184"/>
        <c:axId val="1457240864"/>
      </c:lineChart>
      <c:catAx>
        <c:axId val="156310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240864"/>
        <c:crosses val="autoZero"/>
        <c:auto val="1"/>
        <c:lblAlgn val="ctr"/>
        <c:lblOffset val="100"/>
        <c:noMultiLvlLbl val="0"/>
      </c:catAx>
      <c:valAx>
        <c:axId val="145724086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03184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Had Sex Last Month (Nonpregnant, Nonsterile, Not Using Contraception)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Outcomes!$CJ$7:$CO$7</c:f>
                <c:numCache>
                  <c:formatCode>General</c:formatCode>
                  <c:ptCount val="6"/>
                  <c:pt idx="0">
                    <c:v>0.0148285815482446</c:v>
                  </c:pt>
                  <c:pt idx="1">
                    <c:v>0.0495636359460139</c:v>
                  </c:pt>
                  <c:pt idx="2">
                    <c:v>0.0546334467490322</c:v>
                  </c:pt>
                  <c:pt idx="3">
                    <c:v>0.059100340722221</c:v>
                  </c:pt>
                  <c:pt idx="4">
                    <c:v>0.0644127299654571</c:v>
                  </c:pt>
                  <c:pt idx="5">
                    <c:v>0.0716206037007799</c:v>
                  </c:pt>
                </c:numCache>
              </c:numRef>
            </c:plus>
            <c:minus>
              <c:numRef>
                <c:f>Outcomes!$CJ$6:$CO$6</c:f>
                <c:numCache>
                  <c:formatCode>General</c:formatCode>
                  <c:ptCount val="6"/>
                  <c:pt idx="0">
                    <c:v>0.0148285815482446</c:v>
                  </c:pt>
                  <c:pt idx="1">
                    <c:v>0.0495636359460139</c:v>
                  </c:pt>
                  <c:pt idx="2">
                    <c:v>0.0546334467490322</c:v>
                  </c:pt>
                  <c:pt idx="3">
                    <c:v>0.059100340722221</c:v>
                  </c:pt>
                  <c:pt idx="4">
                    <c:v>0.0644127299654571</c:v>
                  </c:pt>
                  <c:pt idx="5">
                    <c:v>0.0716206037007799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Outcomes!$CJ$2:$CO$2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Outcomes!$CJ$3:$CO$3</c:f>
              <c:numCache>
                <c:formatCode>0.0%</c:formatCode>
                <c:ptCount val="6"/>
                <c:pt idx="0">
                  <c:v>0.0385802469135802</c:v>
                </c:pt>
                <c:pt idx="1">
                  <c:v>0.25752508361204</c:v>
                </c:pt>
                <c:pt idx="2">
                  <c:v>0.37</c:v>
                </c:pt>
                <c:pt idx="3">
                  <c:v>0.457875457875458</c:v>
                </c:pt>
                <c:pt idx="4">
                  <c:v>0.393665158371041</c:v>
                </c:pt>
                <c:pt idx="5">
                  <c:v>0.408839779005525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3106992"/>
        <c:axId val="1457034656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Outcomes!$CJ$12:$CO$12</c:f>
                <c:numCache>
                  <c:formatCode>General</c:formatCode>
                  <c:ptCount val="6"/>
                  <c:pt idx="0">
                    <c:v>0.0106957421278312</c:v>
                  </c:pt>
                  <c:pt idx="1">
                    <c:v>0.0618544084835441</c:v>
                  </c:pt>
                  <c:pt idx="2">
                    <c:v>0.0475230492932023</c:v>
                  </c:pt>
                  <c:pt idx="3">
                    <c:v>0.0749050393906573</c:v>
                  </c:pt>
                  <c:pt idx="4">
                    <c:v>0.0525594629527241</c:v>
                  </c:pt>
                  <c:pt idx="5">
                    <c:v>0.0511666871353067</c:v>
                  </c:pt>
                </c:numCache>
              </c:numRef>
            </c:plus>
            <c:minus>
              <c:numRef>
                <c:f>Outcomes!$CJ$11:$CO$11</c:f>
                <c:numCache>
                  <c:formatCode>General</c:formatCode>
                  <c:ptCount val="6"/>
                  <c:pt idx="0">
                    <c:v>0.0124832392144614</c:v>
                  </c:pt>
                  <c:pt idx="1">
                    <c:v>0.0512143254332045</c:v>
                  </c:pt>
                  <c:pt idx="2">
                    <c:v>0.0635436962691412</c:v>
                  </c:pt>
                  <c:pt idx="3">
                    <c:v>0.053724704429781</c:v>
                  </c:pt>
                  <c:pt idx="4">
                    <c:v>0.0570988448986045</c:v>
                  </c:pt>
                  <c:pt idx="5">
                    <c:v>0.046654650882352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Outcomes!$CJ$2:$CO$2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Outcomes!$CJ$8:$CO$8</c:f>
              <c:numCache>
                <c:formatCode>0.0%</c:formatCode>
                <c:ptCount val="6"/>
                <c:pt idx="0">
                  <c:v>0.0481928021759663</c:v>
                </c:pt>
                <c:pt idx="1">
                  <c:v>0.251936758893281</c:v>
                </c:pt>
                <c:pt idx="2">
                  <c:v>0.384617614097461</c:v>
                </c:pt>
                <c:pt idx="3">
                  <c:v>0.36701860231272</c:v>
                </c:pt>
                <c:pt idx="4">
                  <c:v>0.376712900198144</c:v>
                </c:pt>
                <c:pt idx="5">
                  <c:v>0.40369834020274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106992"/>
        <c:axId val="1457034656"/>
      </c:lineChart>
      <c:catAx>
        <c:axId val="156310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034656"/>
        <c:crosses val="autoZero"/>
        <c:auto val="1"/>
        <c:lblAlgn val="ctr"/>
        <c:lblOffset val="100"/>
        <c:noMultiLvlLbl val="0"/>
      </c:catAx>
      <c:valAx>
        <c:axId val="14570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0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Drank Last Month (Nonpregnant, Nonsterile)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Outcomes!$BZ$6:$CE$6</c:f>
                <c:numCache>
                  <c:formatCode>General</c:formatCode>
                  <c:ptCount val="6"/>
                  <c:pt idx="0">
                    <c:v>0.0300877772489066</c:v>
                  </c:pt>
                  <c:pt idx="1">
                    <c:v>0.031228895417395</c:v>
                  </c:pt>
                  <c:pt idx="2">
                    <c:v>0.0316228863095208</c:v>
                  </c:pt>
                  <c:pt idx="3">
                    <c:v>0.0343591249444572</c:v>
                  </c:pt>
                  <c:pt idx="4">
                    <c:v>0.0414292904973082</c:v>
                  </c:pt>
                  <c:pt idx="5">
                    <c:v>0.049627662292592</c:v>
                  </c:pt>
                </c:numCache>
              </c:numRef>
            </c:plus>
            <c:minus>
              <c:numRef>
                <c:f>Outcomes!$BZ$7:$CE$7</c:f>
                <c:numCache>
                  <c:formatCode>General</c:formatCode>
                  <c:ptCount val="6"/>
                  <c:pt idx="0">
                    <c:v>0.0300877772489066</c:v>
                  </c:pt>
                  <c:pt idx="1">
                    <c:v>0.031228895417395</c:v>
                  </c:pt>
                  <c:pt idx="2">
                    <c:v>0.0316228863095208</c:v>
                  </c:pt>
                  <c:pt idx="3">
                    <c:v>0.0343591249444572</c:v>
                  </c:pt>
                  <c:pt idx="4">
                    <c:v>0.0414292904973082</c:v>
                  </c:pt>
                  <c:pt idx="5">
                    <c:v>0.049627662292592</c:v>
                  </c:pt>
                </c:numCache>
              </c:numRef>
            </c:minus>
            <c:spPr>
              <a:noFill/>
              <a:ln w="158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Outcomes!$BZ$2:$CE$2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Outcomes!$BZ$3:$CE$3</c:f>
              <c:numCache>
                <c:formatCode>0.0%</c:formatCode>
                <c:ptCount val="6"/>
                <c:pt idx="0">
                  <c:v>0.345833333333333</c:v>
                </c:pt>
                <c:pt idx="1">
                  <c:v>0.686320754716981</c:v>
                </c:pt>
                <c:pt idx="2">
                  <c:v>0.671782762691853</c:v>
                </c:pt>
                <c:pt idx="3">
                  <c:v>0.662087912087912</c:v>
                </c:pt>
                <c:pt idx="4">
                  <c:v>0.610902255639098</c:v>
                </c:pt>
                <c:pt idx="5">
                  <c:v>0.62125340599455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2271344"/>
        <c:axId val="156227366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Outcomes!$BZ$12:$CE$12</c:f>
                <c:numCache>
                  <c:formatCode>General</c:formatCode>
                  <c:ptCount val="6"/>
                  <c:pt idx="0">
                    <c:v>0.030731307276208</c:v>
                  </c:pt>
                  <c:pt idx="1">
                    <c:v>0.024685216224593</c:v>
                  </c:pt>
                  <c:pt idx="2">
                    <c:v>0.023417272460386</c:v>
                  </c:pt>
                  <c:pt idx="3">
                    <c:v>0.0328349139686206</c:v>
                  </c:pt>
                  <c:pt idx="4">
                    <c:v>0.0464181657957559</c:v>
                  </c:pt>
                  <c:pt idx="5">
                    <c:v>0.0492002165831979</c:v>
                  </c:pt>
                </c:numCache>
              </c:numRef>
            </c:plus>
            <c:minus>
              <c:numRef>
                <c:f>Outcomes!$BZ$11:$CE$11</c:f>
                <c:numCache>
                  <c:formatCode>General</c:formatCode>
                  <c:ptCount val="6"/>
                  <c:pt idx="0">
                    <c:v>0.023333554732234</c:v>
                  </c:pt>
                  <c:pt idx="1">
                    <c:v>0.0386553052743848</c:v>
                  </c:pt>
                  <c:pt idx="2">
                    <c:v>0.0329140195275552</c:v>
                  </c:pt>
                  <c:pt idx="3">
                    <c:v>0.0318591239485684</c:v>
                  </c:pt>
                  <c:pt idx="4">
                    <c:v>0.0495270286125127</c:v>
                  </c:pt>
                  <c:pt idx="5">
                    <c:v>0.05529271045488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Outcomes!$BZ$2:$CE$2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Outcomes!$BZ$8:$CE$8</c:f>
              <c:numCache>
                <c:formatCode>0.0%</c:formatCode>
                <c:ptCount val="6"/>
                <c:pt idx="0">
                  <c:v>0.359037419315552</c:v>
                </c:pt>
                <c:pt idx="1">
                  <c:v>0.671890802910182</c:v>
                </c:pt>
                <c:pt idx="2">
                  <c:v>0.692696441338592</c:v>
                </c:pt>
                <c:pt idx="3">
                  <c:v>0.648716660351559</c:v>
                </c:pt>
                <c:pt idx="4">
                  <c:v>0.632718197840608</c:v>
                </c:pt>
                <c:pt idx="5">
                  <c:v>0.645024255875361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271344"/>
        <c:axId val="1562273664"/>
      </c:lineChart>
      <c:catAx>
        <c:axId val="156227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273664"/>
        <c:crosses val="autoZero"/>
        <c:auto val="1"/>
        <c:lblAlgn val="ctr"/>
        <c:lblOffset val="100"/>
        <c:noMultiLvlLbl val="0"/>
      </c:catAx>
      <c:valAx>
        <c:axId val="15622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27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in Sexual-Behavior Groups at the end of projection period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Survey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Outcomes!$X$7:$AC$7</c:f>
                <c:numCache>
                  <c:formatCode>General</c:formatCode>
                  <c:ptCount val="6"/>
                </c:numCache>
              </c:numRef>
            </c:plus>
            <c:minus>
              <c:numRef>
                <c:f>Outcomes!$X$6:$AC$6</c:f>
                <c:numCache>
                  <c:formatCode>General</c:formatCode>
                  <c:ptCount val="6"/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Outcomes!$X$2:$AC$2</c:f>
              <c:strCache>
                <c:ptCount val="6"/>
                <c:pt idx="0">
                  <c:v>Sexually Inactive</c:v>
                </c:pt>
                <c:pt idx="1">
                  <c:v>Careful sex</c:v>
                </c:pt>
                <c:pt idx="2">
                  <c:v>Unsafe Sex</c:v>
                </c:pt>
                <c:pt idx="3">
                  <c:v>Seeking Pregnancy</c:v>
                </c:pt>
                <c:pt idx="4">
                  <c:v>Pregnant</c:v>
                </c:pt>
                <c:pt idx="5">
                  <c:v>Sterile</c:v>
                </c:pt>
              </c:strCache>
            </c:strRef>
          </c:cat>
          <c:val>
            <c:numRef>
              <c:f>Outcomes!$X$3:$AC$3</c:f>
              <c:numCache>
                <c:formatCode>0.0%</c:formatCode>
                <c:ptCount val="6"/>
                <c:pt idx="0">
                  <c:v>0.209685909808738</c:v>
                </c:pt>
                <c:pt idx="1">
                  <c:v>0.383400596595894</c:v>
                </c:pt>
                <c:pt idx="2">
                  <c:v>0.122477627653974</c:v>
                </c:pt>
                <c:pt idx="3">
                  <c:v>0.0421126513423408</c:v>
                </c:pt>
                <c:pt idx="4">
                  <c:v>0.0424635901035269</c:v>
                </c:pt>
                <c:pt idx="5">
                  <c:v>0.196525706264257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8407488"/>
        <c:axId val="1588409808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Outcomes!$X$12:$AC$12</c:f>
                <c:numCache>
                  <c:formatCode>General</c:formatCode>
                  <c:ptCount val="6"/>
                  <c:pt idx="0">
                    <c:v>0.00890499999999999</c:v>
                  </c:pt>
                  <c:pt idx="1">
                    <c:v>0.0108</c:v>
                  </c:pt>
                  <c:pt idx="2">
                    <c:v>0.00860500000000003</c:v>
                  </c:pt>
                  <c:pt idx="3">
                    <c:v>0.0044</c:v>
                  </c:pt>
                  <c:pt idx="4">
                    <c:v>0.004305</c:v>
                  </c:pt>
                  <c:pt idx="5">
                    <c:v>0.00901500000000002</c:v>
                  </c:pt>
                </c:numCache>
              </c:numRef>
            </c:plus>
            <c:minus>
              <c:numRef>
                <c:f>Outcomes!$X$11:$AC$11</c:f>
                <c:numCache>
                  <c:formatCode>General</c:formatCode>
                  <c:ptCount val="6"/>
                  <c:pt idx="0">
                    <c:v>0.007</c:v>
                  </c:pt>
                  <c:pt idx="1">
                    <c:v>0.00861999999999996</c:v>
                  </c:pt>
                  <c:pt idx="2">
                    <c:v>0.00582499999999997</c:v>
                  </c:pt>
                  <c:pt idx="3">
                    <c:v>0.00322</c:v>
                  </c:pt>
                  <c:pt idx="4">
                    <c:v>0.005</c:v>
                  </c:pt>
                  <c:pt idx="5">
                    <c:v>0.010645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Outcomes!$X$2:$AC$2</c:f>
              <c:strCache>
                <c:ptCount val="6"/>
                <c:pt idx="0">
                  <c:v>Sexually Inactive</c:v>
                </c:pt>
                <c:pt idx="1">
                  <c:v>Careful sex</c:v>
                </c:pt>
                <c:pt idx="2">
                  <c:v>Unsafe Sex</c:v>
                </c:pt>
                <c:pt idx="3">
                  <c:v>Seeking Pregnancy</c:v>
                </c:pt>
                <c:pt idx="4">
                  <c:v>Pregnant</c:v>
                </c:pt>
                <c:pt idx="5">
                  <c:v>Sterile</c:v>
                </c:pt>
              </c:strCache>
            </c:strRef>
          </c:cat>
          <c:val>
            <c:numRef>
              <c:f>Outcomes!$X$8:$AC$8</c:f>
              <c:numCache>
                <c:formatCode>0.0%</c:formatCode>
                <c:ptCount val="6"/>
                <c:pt idx="0">
                  <c:v>0.2096</c:v>
                </c:pt>
                <c:pt idx="1">
                  <c:v>0.3712</c:v>
                </c:pt>
                <c:pt idx="2">
                  <c:v>0.1363</c:v>
                </c:pt>
                <c:pt idx="3">
                  <c:v>0.0324</c:v>
                </c:pt>
                <c:pt idx="4">
                  <c:v>0.0432</c:v>
                </c:pt>
                <c:pt idx="5">
                  <c:v>0.2063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407488"/>
        <c:axId val="1588409808"/>
      </c:lineChart>
      <c:catAx>
        <c:axId val="158840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09808"/>
        <c:crosses val="autoZero"/>
        <c:auto val="1"/>
        <c:lblAlgn val="ctr"/>
        <c:lblOffset val="100"/>
        <c:noMultiLvlLbl val="0"/>
      </c:catAx>
      <c:valAx>
        <c:axId val="15884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0748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Pregnancies Exposed to Alcohol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3398000"/>
        <c:axId val="158756961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errBars>
                  <c:errBarType val="both"/>
                  <c:errValType val="cust"/>
                  <c:noEndCap val="0"/>
                  <c:plus>
                    <c:numRef>
                      <c:extLst xmlns:c16r2="http://schemas.microsoft.com/office/drawing/2015/06/chart">
                        <c:ext uri="{02D57815-91ED-43cb-92C2-25804820EDAC}">
                          <c15:formulaRef>
                            <c15:sqref>Outcomes!$AQ$7:$AW$7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0.00778085164614196</c:v>
                        </c:pt>
                        <c:pt idx="1">
                          <c:v>0.0149334836102771</c:v>
                        </c:pt>
                        <c:pt idx="2">
                          <c:v>0.0182981473690266</c:v>
                        </c:pt>
                        <c:pt idx="3">
                          <c:v>0.0234135902855625</c:v>
                        </c:pt>
                        <c:pt idx="4">
                          <c:v>0.0256443400051333</c:v>
                        </c:pt>
                        <c:pt idx="5">
                          <c:v>0.0342368704466593</c:v>
                        </c:pt>
                        <c:pt idx="6">
                          <c:v>0.00780180655134258</c:v>
                        </c:pt>
                      </c:numCache>
                    </c:numRef>
                  </c:plus>
                  <c:minus>
                    <c:numRef>
                      <c:extLst xmlns:c16r2="http://schemas.microsoft.com/office/drawing/2015/06/chart">
                        <c:ext uri="{02D57815-91ED-43cb-92C2-25804820EDAC}">
                          <c15:formulaRef>
                            <c15:sqref>Outcomes!$AQ$6:$AW$6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0.00778085164614196</c:v>
                        </c:pt>
                        <c:pt idx="1">
                          <c:v>0.0149334836102772</c:v>
                        </c:pt>
                        <c:pt idx="2">
                          <c:v>0.0182981473690266</c:v>
                        </c:pt>
                        <c:pt idx="3">
                          <c:v>0.0234135902855625</c:v>
                        </c:pt>
                        <c:pt idx="4">
                          <c:v>0.0256443400051333</c:v>
                        </c:pt>
                        <c:pt idx="5">
                          <c:v>0.0342368704466593</c:v>
                        </c:pt>
                        <c:pt idx="6">
                          <c:v>0.00780180655134258</c:v>
                        </c:pt>
                      </c:numCache>
                    </c:numRef>
                  </c:minus>
                  <c:spPr>
                    <a:noFill/>
                    <a:ln w="2540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Outcomes!$BB$2:$BH$2</c15:sqref>
                        </c15:formulaRef>
                      </c:ext>
                    </c:extLst>
                    <c:strCache>
                      <c:ptCount val="7"/>
                      <c:pt idx="0">
                        <c:v>15-19</c:v>
                      </c:pt>
                      <c:pt idx="1">
                        <c:v>20-24</c:v>
                      </c:pt>
                      <c:pt idx="2">
                        <c:v>25-29</c:v>
                      </c:pt>
                      <c:pt idx="3">
                        <c:v>30-34</c:v>
                      </c:pt>
                      <c:pt idx="4">
                        <c:v>35-39</c:v>
                      </c:pt>
                      <c:pt idx="5">
                        <c:v>40-44</c:v>
                      </c:pt>
                      <c:pt idx="6">
                        <c:v>Total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Outcomes!$BB$3:$BH$3</c15:sqref>
                        </c15:formulaRef>
                      </c:ext>
                    </c:extLst>
                    <c:numCache>
                      <c:formatCode>0.0%</c:formatCode>
                      <c:ptCount val="7"/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BF87-46A0-B234-67E799A6F71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Outcomes!$BB$12:$BH$12</c:f>
                <c:numCache>
                  <c:formatCode>General</c:formatCode>
                  <c:ptCount val="7"/>
                  <c:pt idx="0">
                    <c:v>0.123056345819504</c:v>
                  </c:pt>
                  <c:pt idx="1">
                    <c:v>0.100474738675958</c:v>
                  </c:pt>
                  <c:pt idx="2">
                    <c:v>0.0843438116800186</c:v>
                  </c:pt>
                  <c:pt idx="3">
                    <c:v>0.0668358188345761</c:v>
                  </c:pt>
                  <c:pt idx="4">
                    <c:v>0.151851851851852</c:v>
                  </c:pt>
                  <c:pt idx="5">
                    <c:v>0.198863636363636</c:v>
                  </c:pt>
                  <c:pt idx="6">
                    <c:v>0.0447732570839999</c:v>
                  </c:pt>
                </c:numCache>
              </c:numRef>
            </c:plus>
            <c:minus>
              <c:numRef>
                <c:f>Outcomes!$BB$11:$BH$11</c:f>
                <c:numCache>
                  <c:formatCode>General</c:formatCode>
                  <c:ptCount val="7"/>
                  <c:pt idx="0">
                    <c:v>0.140862573099415</c:v>
                  </c:pt>
                  <c:pt idx="1">
                    <c:v>0.0699155718222779</c:v>
                  </c:pt>
                  <c:pt idx="2">
                    <c:v>0.079730219724658</c:v>
                  </c:pt>
                  <c:pt idx="3">
                    <c:v>0.084563385874109</c:v>
                  </c:pt>
                  <c:pt idx="4">
                    <c:v>0.130518394648829</c:v>
                  </c:pt>
                  <c:pt idx="5">
                    <c:v>0.234014514896868</c:v>
                  </c:pt>
                  <c:pt idx="6">
                    <c:v>0.0353125742206051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Outcomes!$BB$2:$BH$2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Outcomes!$BB$8:$BH$8</c:f>
              <c:numCache>
                <c:formatCode>0.0%</c:formatCode>
                <c:ptCount val="7"/>
                <c:pt idx="0">
                  <c:v>0.578362573099415</c:v>
                </c:pt>
                <c:pt idx="1">
                  <c:v>0.670714285714286</c:v>
                </c:pt>
                <c:pt idx="2">
                  <c:v>0.705721003134796</c:v>
                </c:pt>
                <c:pt idx="3">
                  <c:v>0.676056338028169</c:v>
                </c:pt>
                <c:pt idx="4">
                  <c:v>0.6</c:v>
                </c:pt>
                <c:pt idx="5">
                  <c:v>0.363636363636364</c:v>
                </c:pt>
                <c:pt idx="6">
                  <c:v>0.646496400535398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87-46A0-B234-67E799A6F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398000"/>
        <c:axId val="1587569616"/>
      </c:lineChart>
      <c:catAx>
        <c:axId val="156339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69616"/>
        <c:crosses val="autoZero"/>
        <c:auto val="1"/>
        <c:lblAlgn val="ctr"/>
        <c:lblOffset val="100"/>
        <c:noMultiLvlLbl val="0"/>
      </c:catAx>
      <c:valAx>
        <c:axId val="1587569616"/>
        <c:scaling>
          <c:orientation val="minMax"/>
          <c:max val="1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39800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AEP Contributors</a:t>
            </a:r>
            <a:endParaRPr lang="en-US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Outcomes!$BK$12:$BN$12</c:f>
                <c:numCache>
                  <c:formatCode>General</c:formatCode>
                  <c:ptCount val="4"/>
                  <c:pt idx="0">
                    <c:v>0.0254471849896812</c:v>
                  </c:pt>
                  <c:pt idx="1">
                    <c:v>0.0235029279402703</c:v>
                  </c:pt>
                  <c:pt idx="2">
                    <c:v>0.0184451329915841</c:v>
                  </c:pt>
                  <c:pt idx="3">
                    <c:v>0.0309177111399724</c:v>
                  </c:pt>
                </c:numCache>
              </c:numRef>
            </c:plus>
            <c:minus>
              <c:numRef>
                <c:f>Outcomes!$BK$11:$BN$11</c:f>
                <c:numCache>
                  <c:formatCode>General</c:formatCode>
                  <c:ptCount val="4"/>
                  <c:pt idx="0">
                    <c:v>0.0170174463618837</c:v>
                  </c:pt>
                  <c:pt idx="1">
                    <c:v>0.0176742089473572</c:v>
                  </c:pt>
                  <c:pt idx="2">
                    <c:v>0.0211335600245061</c:v>
                  </c:pt>
                  <c:pt idx="3">
                    <c:v>0.0314877886810005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Outcomes!$BK$2:$BN$2</c:f>
              <c:strCache>
                <c:ptCount val="4"/>
                <c:pt idx="0">
                  <c:v>Trying</c:v>
                </c:pt>
                <c:pt idx="1">
                  <c:v>No Contraception</c:v>
                </c:pt>
                <c:pt idx="2">
                  <c:v>Contraception Failure</c:v>
                </c:pt>
                <c:pt idx="3">
                  <c:v>Drinking while Aware of Pregnancy</c:v>
                </c:pt>
              </c:strCache>
            </c:strRef>
          </c:cat>
          <c:val>
            <c:numRef>
              <c:f>Outcomes!$BK$8:$BN$8</c:f>
              <c:numCache>
                <c:formatCode>0.0%</c:formatCode>
                <c:ptCount val="4"/>
                <c:pt idx="0">
                  <c:v>0.0413529439036241</c:v>
                </c:pt>
                <c:pt idx="1">
                  <c:v>0.0593569026368414</c:v>
                </c:pt>
                <c:pt idx="2">
                  <c:v>0.0796729720164987</c:v>
                </c:pt>
                <c:pt idx="3">
                  <c:v>0.817873810707204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FAB-48B6-A9DA-DE38BFE6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8525536"/>
        <c:axId val="1568623904"/>
      </c:lineChart>
      <c:catAx>
        <c:axId val="156852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23904"/>
        <c:crosses val="autoZero"/>
        <c:auto val="1"/>
        <c:lblAlgn val="ctr"/>
        <c:lblOffset val="100"/>
        <c:noMultiLvlLbl val="0"/>
      </c:catAx>
      <c:valAx>
        <c:axId val="1568623904"/>
        <c:scaling>
          <c:orientation val="minMax"/>
          <c:max val="1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52553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</a:t>
            </a:r>
            <a:r>
              <a:rPr lang="en-US" baseline="0"/>
              <a:t> Reduction in the Risk for an Alcohol-Exposed Pregnancy</a:t>
            </a:r>
            <a:endParaRPr lang="en-US"/>
          </a:p>
        </c:rich>
      </c:tx>
      <c:layout>
        <c:manualLayout>
          <c:xMode val="edge"/>
          <c:yMode val="edge"/>
          <c:x val="0.169888888888889"/>
          <c:y val="0.037037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Model</c:v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Analysis!$AN$8:$AQ$8</c:f>
                <c:numCache>
                  <c:formatCode>General</c:formatCode>
                  <c:ptCount val="4"/>
                  <c:pt idx="0">
                    <c:v>0.0455912021836307</c:v>
                  </c:pt>
                  <c:pt idx="1">
                    <c:v>0.0496459511847779</c:v>
                  </c:pt>
                  <c:pt idx="2">
                    <c:v>0.0474702322085526</c:v>
                  </c:pt>
                  <c:pt idx="3">
                    <c:v>0.0573598639186677</c:v>
                  </c:pt>
                </c:numCache>
              </c:numRef>
            </c:plus>
            <c:minus>
              <c:numRef>
                <c:f>Analysis!$AN$6:$AQ$6</c:f>
                <c:numCache>
                  <c:formatCode>General</c:formatCode>
                  <c:ptCount val="4"/>
                  <c:pt idx="0">
                    <c:v>0.0544424225641836</c:v>
                  </c:pt>
                  <c:pt idx="1">
                    <c:v>0.0549369041496895</c:v>
                  </c:pt>
                  <c:pt idx="2">
                    <c:v>0.065469361920962</c:v>
                  </c:pt>
                  <c:pt idx="3">
                    <c:v>0.0693263182879069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Analysis!$AN$3:$AQ$3</c:f>
              <c:strCache>
                <c:ptCount val="4"/>
                <c:pt idx="0">
                  <c:v>2.5%</c:v>
                </c:pt>
                <c:pt idx="1">
                  <c:v>5%</c:v>
                </c:pt>
                <c:pt idx="2">
                  <c:v>10%</c:v>
                </c:pt>
                <c:pt idx="3">
                  <c:v>12%</c:v>
                </c:pt>
              </c:strCache>
            </c:strRef>
          </c:cat>
          <c:val>
            <c:numRef>
              <c:f>Analysis!$AN$4:$AQ$4</c:f>
              <c:numCache>
                <c:formatCode>0.0%</c:formatCode>
                <c:ptCount val="4"/>
                <c:pt idx="0">
                  <c:v>0.0545512085129947</c:v>
                </c:pt>
                <c:pt idx="1">
                  <c:v>0.0703746192491789</c:v>
                </c:pt>
                <c:pt idx="2">
                  <c:v>0.102021440721547</c:v>
                </c:pt>
                <c:pt idx="3">
                  <c:v>0.113888998773685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1B1E-4B6B-A346-25903F6E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326064"/>
        <c:axId val="1588328384"/>
      </c:barChart>
      <c:catAx>
        <c:axId val="15883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28384"/>
        <c:crosses val="autoZero"/>
        <c:auto val="1"/>
        <c:lblAlgn val="ctr"/>
        <c:lblOffset val="100"/>
        <c:noMultiLvlLbl val="0"/>
      </c:catAx>
      <c:valAx>
        <c:axId val="15883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  <a:r>
                  <a:rPr lang="en-US" baseline="0"/>
                  <a:t> Reduction in the RIsk for an AEP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2</xdr:row>
          <xdr:rowOff>25400</xdr:rowOff>
        </xdr:from>
        <xdr:to>
          <xdr:col>9</xdr:col>
          <xdr:colOff>482600</xdr:colOff>
          <xdr:row>4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292100</xdr:colOff>
          <xdr:row>4</xdr:row>
          <xdr:rowOff>165100</xdr:rowOff>
        </xdr:from>
        <xdr:to>
          <xdr:col>11</xdr:col>
          <xdr:colOff>368300</xdr:colOff>
          <xdr:row>7</xdr:row>
          <xdr:rowOff>139700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304799</xdr:colOff>
      <xdr:row>14</xdr:row>
      <xdr:rowOff>40481</xdr:rowOff>
    </xdr:from>
    <xdr:to>
      <xdr:col>7</xdr:col>
      <xdr:colOff>409574</xdr:colOff>
      <xdr:row>31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333377</xdr:colOff>
      <xdr:row>14</xdr:row>
      <xdr:rowOff>47624</xdr:rowOff>
    </xdr:from>
    <xdr:to>
      <xdr:col>17</xdr:col>
      <xdr:colOff>381001</xdr:colOff>
      <xdr:row>35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41</xdr:col>
      <xdr:colOff>528639</xdr:colOff>
      <xdr:row>14</xdr:row>
      <xdr:rowOff>66676</xdr:rowOff>
    </xdr:from>
    <xdr:to>
      <xdr:col>49</xdr:col>
      <xdr:colOff>119063</xdr:colOff>
      <xdr:row>32</xdr:row>
      <xdr:rowOff>7145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523877</xdr:colOff>
      <xdr:row>14</xdr:row>
      <xdr:rowOff>33337</xdr:rowOff>
    </xdr:from>
    <xdr:to>
      <xdr:col>52</xdr:col>
      <xdr:colOff>501017</xdr:colOff>
      <xdr:row>31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68</xdr:col>
      <xdr:colOff>23812</xdr:colOff>
      <xdr:row>14</xdr:row>
      <xdr:rowOff>28574</xdr:rowOff>
    </xdr:from>
    <xdr:to>
      <xdr:col>74</xdr:col>
      <xdr:colOff>352423</xdr:colOff>
      <xdr:row>31</xdr:row>
      <xdr:rowOff>159543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30</xdr:col>
      <xdr:colOff>481013</xdr:colOff>
      <xdr:row>13</xdr:row>
      <xdr:rowOff>161925</xdr:rowOff>
    </xdr:from>
    <xdr:ext cx="4324350" cy="3369469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85</xdr:col>
      <xdr:colOff>452438</xdr:colOff>
      <xdr:row>14</xdr:row>
      <xdr:rowOff>0</xdr:rowOff>
    </xdr:from>
    <xdr:ext cx="4324350" cy="3369469"/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76</xdr:col>
      <xdr:colOff>233364</xdr:colOff>
      <xdr:row>14</xdr:row>
      <xdr:rowOff>4762</xdr:rowOff>
    </xdr:from>
    <xdr:ext cx="4324350" cy="3369469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twoCellAnchor editAs="oneCell">
    <xdr:from>
      <xdr:col>22</xdr:col>
      <xdr:colOff>390525</xdr:colOff>
      <xdr:row>14</xdr:row>
      <xdr:rowOff>28575</xdr:rowOff>
    </xdr:from>
    <xdr:to>
      <xdr:col>28</xdr:col>
      <xdr:colOff>576261</xdr:colOff>
      <xdr:row>31</xdr:row>
      <xdr:rowOff>159544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52</xdr:col>
      <xdr:colOff>576264</xdr:colOff>
      <xdr:row>14</xdr:row>
      <xdr:rowOff>33338</xdr:rowOff>
    </xdr:from>
    <xdr:ext cx="4324350" cy="3369469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twoCellAnchor editAs="oneCell">
    <xdr:from>
      <xdr:col>61</xdr:col>
      <xdr:colOff>238125</xdr:colOff>
      <xdr:row>14</xdr:row>
      <xdr:rowOff>47625</xdr:rowOff>
    </xdr:from>
    <xdr:to>
      <xdr:col>65</xdr:col>
      <xdr:colOff>595312</xdr:colOff>
      <xdr:row>31</xdr:row>
      <xdr:rowOff>178594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257175</xdr:colOff>
      <xdr:row>13</xdr:row>
      <xdr:rowOff>9525</xdr:rowOff>
    </xdr:from>
    <xdr:to>
      <xdr:col>34</xdr:col>
      <xdr:colOff>76200</xdr:colOff>
      <xdr:row>28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8" tint="0.59999389629810485"/>
  </sheetPr>
  <dimension ref="B2:Q13"/>
  <sheetViews>
    <sheetView showGridLines="0" workbookViewId="0">
      <selection activeCell="D8" sqref="D8"/>
    </sheetView>
  </sheetViews>
  <sheetFormatPr baseColWidth="10" defaultColWidth="8.83203125" defaultRowHeight="15" x14ac:dyDescent="0.2"/>
  <cols>
    <col min="1" max="1" width="5.33203125" customWidth="1"/>
    <col min="2" max="2" width="3.6640625" customWidth="1"/>
    <col min="3" max="3" width="30" customWidth="1"/>
    <col min="4" max="4" width="11.1640625" customWidth="1"/>
  </cols>
  <sheetData>
    <row r="2" spans="2:17" ht="16" thickBot="1" x14ac:dyDescent="0.25"/>
    <row r="3" spans="2:17" x14ac:dyDescent="0.2">
      <c r="B3" s="2"/>
      <c r="C3" s="3"/>
      <c r="D3" s="3"/>
      <c r="E3" s="3"/>
      <c r="F3" s="4"/>
      <c r="N3" t="s">
        <v>74</v>
      </c>
      <c r="Q3" t="s">
        <v>75</v>
      </c>
    </row>
    <row r="4" spans="2:17" x14ac:dyDescent="0.2">
      <c r="B4" s="5"/>
      <c r="C4" s="6" t="s">
        <v>1</v>
      </c>
      <c r="D4" s="12">
        <f>1/52*4</f>
        <v>7.6923076923076927E-2</v>
      </c>
      <c r="E4" s="6" t="s">
        <v>8</v>
      </c>
      <c r="F4" s="8"/>
      <c r="N4">
        <v>0</v>
      </c>
      <c r="Q4" s="219">
        <v>0</v>
      </c>
    </row>
    <row r="5" spans="2:17" x14ac:dyDescent="0.2">
      <c r="B5" s="5"/>
      <c r="C5" s="6" t="s">
        <v>0</v>
      </c>
      <c r="D5" s="7">
        <v>5</v>
      </c>
      <c r="E5" s="6" t="s">
        <v>9</v>
      </c>
      <c r="F5" s="8"/>
      <c r="N5">
        <v>0.25</v>
      </c>
      <c r="Q5" s="219">
        <v>2.5000000000000001E-2</v>
      </c>
    </row>
    <row r="6" spans="2:17" x14ac:dyDescent="0.2">
      <c r="B6" s="5"/>
      <c r="C6" s="6" t="s">
        <v>2</v>
      </c>
      <c r="D6" s="7">
        <v>1</v>
      </c>
      <c r="E6" s="6" t="s">
        <v>8</v>
      </c>
      <c r="F6" s="8"/>
      <c r="N6">
        <v>0.5</v>
      </c>
      <c r="Q6" s="219">
        <v>0.05</v>
      </c>
    </row>
    <row r="7" spans="2:17" x14ac:dyDescent="0.2">
      <c r="B7" s="5"/>
      <c r="C7" s="21" t="s">
        <v>10</v>
      </c>
      <c r="D7" s="23">
        <v>5000</v>
      </c>
      <c r="E7" s="6"/>
      <c r="F7" s="8"/>
      <c r="N7">
        <v>0.75</v>
      </c>
      <c r="Q7" s="219">
        <v>0.1</v>
      </c>
    </row>
    <row r="8" spans="2:17" x14ac:dyDescent="0.2">
      <c r="B8" s="5"/>
      <c r="C8" s="21" t="s">
        <v>11</v>
      </c>
      <c r="D8" s="7">
        <v>100</v>
      </c>
      <c r="E8" s="6"/>
      <c r="F8" s="8"/>
      <c r="N8">
        <v>1</v>
      </c>
      <c r="Q8" s="219">
        <v>1</v>
      </c>
    </row>
    <row r="9" spans="2:17" x14ac:dyDescent="0.2">
      <c r="B9" s="5"/>
      <c r="C9" s="21" t="s">
        <v>45</v>
      </c>
      <c r="D9" s="37">
        <v>0.05</v>
      </c>
      <c r="E9" s="6"/>
      <c r="F9" s="8"/>
    </row>
    <row r="10" spans="2:17" ht="30" x14ac:dyDescent="0.2">
      <c r="B10" s="5"/>
      <c r="C10" s="64" t="s">
        <v>62</v>
      </c>
      <c r="D10" s="99">
        <v>0</v>
      </c>
      <c r="E10" s="6"/>
      <c r="F10" s="8"/>
    </row>
    <row r="11" spans="2:17" ht="27" customHeight="1" x14ac:dyDescent="0.2">
      <c r="B11" s="5"/>
      <c r="C11" s="64" t="s">
        <v>133</v>
      </c>
      <c r="D11" s="100">
        <v>0</v>
      </c>
      <c r="E11" s="6"/>
      <c r="F11" s="8"/>
    </row>
    <row r="12" spans="2:17" s="161" customFormat="1" ht="27" customHeight="1" x14ac:dyDescent="0.2">
      <c r="B12" s="5"/>
      <c r="C12" s="64" t="s">
        <v>134</v>
      </c>
      <c r="D12" s="100">
        <v>0</v>
      </c>
      <c r="E12" s="6"/>
      <c r="F12" s="8"/>
    </row>
    <row r="13" spans="2:17" ht="16" thickBot="1" x14ac:dyDescent="0.25">
      <c r="B13" s="9"/>
      <c r="C13" s="10"/>
      <c r="D13" s="10"/>
      <c r="E13" s="10"/>
      <c r="F13" s="11"/>
    </row>
  </sheetData>
  <dataValidations count="2">
    <dataValidation type="list" allowBlank="1" showInputMessage="1" showErrorMessage="1" sqref="D10">
      <formula1>$N$4:$N$8</formula1>
    </dataValidation>
    <dataValidation type="list" allowBlank="1" showInputMessage="1" showErrorMessage="1" sqref="D11:D12">
      <formula1>$Q$4:$Q$8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635000</xdr:colOff>
                    <xdr:row>2</xdr:row>
                    <xdr:rowOff>25400</xdr:rowOff>
                  </from>
                  <to>
                    <xdr:col>9</xdr:col>
                    <xdr:colOff>482600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8" tint="0.59999389629810485"/>
  </sheetPr>
  <dimension ref="A2:Q102"/>
  <sheetViews>
    <sheetView showGridLines="0" topLeftCell="A70" workbookViewId="0">
      <selection activeCell="I3" sqref="I3"/>
    </sheetView>
  </sheetViews>
  <sheetFormatPr baseColWidth="10" defaultColWidth="9" defaultRowHeight="15" x14ac:dyDescent="0.2"/>
  <cols>
    <col min="1" max="1" width="3" style="13" customWidth="1"/>
    <col min="2" max="2" width="19.33203125" style="13" customWidth="1"/>
    <col min="3" max="3" width="9" style="13"/>
    <col min="4" max="4" width="19.33203125" style="13" customWidth="1"/>
    <col min="5" max="5" width="18.1640625" style="13" customWidth="1"/>
    <col min="6" max="7" width="17.83203125" style="13" customWidth="1"/>
    <col min="8" max="9" width="19.33203125" style="13" customWidth="1"/>
    <col min="10" max="10" width="12.6640625" style="13" customWidth="1"/>
    <col min="11" max="11" width="15" style="13" customWidth="1"/>
    <col min="12" max="12" width="13.33203125" style="13" customWidth="1"/>
    <col min="13" max="13" width="10" style="13" customWidth="1"/>
    <col min="14" max="14" width="11.1640625" style="13" customWidth="1"/>
    <col min="15" max="15" width="16.6640625" style="13" customWidth="1"/>
    <col min="16" max="16" width="14.33203125" style="13" customWidth="1"/>
    <col min="17" max="16384" width="9" style="13"/>
  </cols>
  <sheetData>
    <row r="2" spans="2:17" x14ac:dyDescent="0.2">
      <c r="H2" s="27" t="s">
        <v>152</v>
      </c>
      <c r="I2" s="221">
        <v>1.2</v>
      </c>
    </row>
    <row r="3" spans="2:17" x14ac:dyDescent="0.2">
      <c r="B3" s="46" t="s">
        <v>5</v>
      </c>
      <c r="C3" s="46"/>
      <c r="D3" s="47"/>
      <c r="E3" s="47"/>
      <c r="G3" s="163"/>
      <c r="H3" s="57" t="s">
        <v>53</v>
      </c>
      <c r="I3" s="58"/>
      <c r="J3" s="58"/>
      <c r="L3" s="57" t="s">
        <v>54</v>
      </c>
      <c r="M3" s="58"/>
      <c r="N3" s="58"/>
      <c r="O3" s="58"/>
    </row>
    <row r="4" spans="2:17" x14ac:dyDescent="0.2">
      <c r="B4" s="14" t="s">
        <v>3</v>
      </c>
      <c r="C4" s="24" t="s">
        <v>15</v>
      </c>
      <c r="D4" s="14" t="s">
        <v>4</v>
      </c>
      <c r="E4" s="14" t="s">
        <v>115</v>
      </c>
      <c r="F4" s="14" t="s">
        <v>114</v>
      </c>
      <c r="G4" s="22"/>
      <c r="H4" s="14" t="s">
        <v>3</v>
      </c>
      <c r="I4" s="24" t="s">
        <v>22</v>
      </c>
      <c r="L4" s="14" t="s">
        <v>3</v>
      </c>
      <c r="M4" s="24" t="s">
        <v>22</v>
      </c>
    </row>
    <row r="5" spans="2:17" x14ac:dyDescent="0.2">
      <c r="B5" s="15">
        <v>10</v>
      </c>
      <c r="C5" s="15">
        <v>1</v>
      </c>
      <c r="D5" s="16">
        <v>0</v>
      </c>
      <c r="E5" s="162"/>
      <c r="G5" s="163"/>
      <c r="H5" s="15">
        <v>10</v>
      </c>
      <c r="I5" s="16">
        <v>0</v>
      </c>
      <c r="L5" s="13">
        <v>10</v>
      </c>
      <c r="M5" s="60">
        <v>0</v>
      </c>
    </row>
    <row r="6" spans="2:17" x14ac:dyDescent="0.2">
      <c r="B6" s="15">
        <v>15</v>
      </c>
      <c r="C6" s="15">
        <v>2</v>
      </c>
      <c r="D6" s="16">
        <f>E6</f>
        <v>0.17722407439901738</v>
      </c>
      <c r="E6" s="95">
        <v>0.17722407439901738</v>
      </c>
      <c r="F6" s="16">
        <v>0.17213106081008092</v>
      </c>
      <c r="G6" s="164"/>
      <c r="H6" s="15">
        <v>15</v>
      </c>
      <c r="I6" s="181">
        <v>0.01</v>
      </c>
      <c r="L6" s="13">
        <v>15</v>
      </c>
      <c r="M6" s="60">
        <v>0.13300000000000001</v>
      </c>
    </row>
    <row r="7" spans="2:17" x14ac:dyDescent="0.2">
      <c r="B7" s="15">
        <v>20</v>
      </c>
      <c r="C7" s="15">
        <v>3</v>
      </c>
      <c r="D7" s="16">
        <f t="shared" ref="D7:D11" si="0">E7</f>
        <v>0.16722231970521145</v>
      </c>
      <c r="E7" s="95">
        <v>0.16722231970521145</v>
      </c>
      <c r="F7" s="16">
        <v>0.16948826928193003</v>
      </c>
      <c r="G7" s="164"/>
      <c r="H7" s="15">
        <v>20</v>
      </c>
      <c r="I7" s="181">
        <v>6.4999999999999997E-3</v>
      </c>
      <c r="L7" s="13">
        <v>20</v>
      </c>
      <c r="M7" s="60">
        <v>0.111</v>
      </c>
    </row>
    <row r="8" spans="2:17" x14ac:dyDescent="0.2">
      <c r="B8" s="15">
        <v>25</v>
      </c>
      <c r="C8" s="15">
        <v>4</v>
      </c>
      <c r="D8" s="16">
        <f t="shared" si="0"/>
        <v>0.18371644148096158</v>
      </c>
      <c r="E8" s="95">
        <v>0.18371644148096158</v>
      </c>
      <c r="F8" s="16">
        <v>0.16779584318410878</v>
      </c>
      <c r="G8" s="164"/>
      <c r="H8" s="15">
        <v>25</v>
      </c>
      <c r="I8" s="181">
        <v>6.0000000000000001E-3</v>
      </c>
      <c r="L8" s="13">
        <v>25</v>
      </c>
      <c r="M8" s="60">
        <v>0.11899999999999999</v>
      </c>
    </row>
    <row r="9" spans="2:17" x14ac:dyDescent="0.2">
      <c r="B9" s="15">
        <v>30</v>
      </c>
      <c r="C9" s="15">
        <v>5</v>
      </c>
      <c r="D9" s="16">
        <f t="shared" si="0"/>
        <v>0.18161080891384454</v>
      </c>
      <c r="E9" s="95">
        <v>0.18161080891384454</v>
      </c>
      <c r="F9" s="16">
        <v>0.15976924007030127</v>
      </c>
      <c r="G9" s="164"/>
      <c r="H9" s="15">
        <v>30</v>
      </c>
      <c r="I9" s="181">
        <v>5.4999999999999997E-3</v>
      </c>
      <c r="L9" s="13">
        <v>30</v>
      </c>
      <c r="M9" s="60">
        <v>0.15</v>
      </c>
    </row>
    <row r="10" spans="2:17" x14ac:dyDescent="0.2">
      <c r="B10" s="15">
        <v>35</v>
      </c>
      <c r="C10" s="15">
        <v>6</v>
      </c>
      <c r="D10" s="16">
        <f t="shared" si="0"/>
        <v>0.15318476925776453</v>
      </c>
      <c r="E10" s="95">
        <v>0.15318476925776453</v>
      </c>
      <c r="F10" s="16">
        <v>0.16252709380755614</v>
      </c>
      <c r="G10" s="164"/>
      <c r="H10" s="15">
        <v>35</v>
      </c>
      <c r="I10" s="181">
        <v>1.5E-3</v>
      </c>
      <c r="L10" s="13">
        <v>35</v>
      </c>
      <c r="M10" s="60">
        <v>0.246</v>
      </c>
    </row>
    <row r="11" spans="2:17" x14ac:dyDescent="0.2">
      <c r="B11" s="17">
        <v>40</v>
      </c>
      <c r="C11" s="17">
        <v>7</v>
      </c>
      <c r="D11" s="18">
        <f t="shared" si="0"/>
        <v>0.13704158624320056</v>
      </c>
      <c r="E11" s="97">
        <v>0.13704158624320056</v>
      </c>
      <c r="F11" s="18">
        <v>0.16828849284602276</v>
      </c>
      <c r="G11" s="164"/>
      <c r="H11" s="17">
        <v>40</v>
      </c>
      <c r="I11" s="182">
        <v>1.5E-3</v>
      </c>
      <c r="L11" s="13">
        <v>40</v>
      </c>
      <c r="M11" s="60">
        <v>0.51</v>
      </c>
    </row>
    <row r="12" spans="2:17" x14ac:dyDescent="0.2">
      <c r="B12" s="15" t="s">
        <v>7</v>
      </c>
      <c r="C12" s="15"/>
      <c r="D12" s="16">
        <f>SUM(D5:D11)</f>
        <v>1</v>
      </c>
      <c r="E12" s="16"/>
      <c r="G12" s="163"/>
      <c r="H12" s="25" t="s">
        <v>23</v>
      </c>
      <c r="I12" s="183">
        <f>SUMPRODUCT(D6:D11,I6:I11)</f>
        <v>5.3956834532374104E-3</v>
      </c>
    </row>
    <row r="14" spans="2:17" x14ac:dyDescent="0.2">
      <c r="B14" s="46" t="s">
        <v>6</v>
      </c>
      <c r="C14" s="47"/>
      <c r="D14" s="47"/>
      <c r="E14" s="47"/>
      <c r="F14" s="47"/>
      <c r="G14" s="47"/>
      <c r="H14" s="47"/>
      <c r="I14" s="47"/>
      <c r="J14" s="47"/>
      <c r="K14" s="47"/>
      <c r="L14"/>
      <c r="M14" s="61" t="s">
        <v>60</v>
      </c>
      <c r="N14" s="58"/>
      <c r="O14" s="58"/>
      <c r="P14" s="58"/>
      <c r="Q14" s="58"/>
    </row>
    <row r="15" spans="2:17" x14ac:dyDescent="0.2">
      <c r="B15" s="39"/>
      <c r="C15" s="24" t="s">
        <v>15</v>
      </c>
      <c r="D15" s="51"/>
      <c r="E15" s="73" t="s">
        <v>49</v>
      </c>
      <c r="F15" s="74" t="s">
        <v>17</v>
      </c>
      <c r="G15" s="74" t="s">
        <v>18</v>
      </c>
      <c r="H15" s="74" t="s">
        <v>19</v>
      </c>
      <c r="I15" s="74" t="s">
        <v>46</v>
      </c>
      <c r="J15" s="74" t="s">
        <v>20</v>
      </c>
      <c r="K15" s="74" t="s">
        <v>21</v>
      </c>
      <c r="L15"/>
      <c r="M15" s="60">
        <v>0.42</v>
      </c>
    </row>
    <row r="16" spans="2:17" x14ac:dyDescent="0.2">
      <c r="B16" s="38" t="s">
        <v>12</v>
      </c>
      <c r="C16" s="40">
        <v>1</v>
      </c>
      <c r="D16" s="52"/>
      <c r="E16" s="55">
        <v>0</v>
      </c>
      <c r="F16" s="55">
        <v>0</v>
      </c>
      <c r="G16" s="55">
        <v>0</v>
      </c>
      <c r="H16" s="55">
        <v>0</v>
      </c>
      <c r="I16" s="55">
        <v>0</v>
      </c>
      <c r="J16" s="55">
        <v>0</v>
      </c>
      <c r="K16" s="55">
        <v>0</v>
      </c>
    </row>
    <row r="17" spans="2:17" x14ac:dyDescent="0.2">
      <c r="B17" s="38" t="s">
        <v>13</v>
      </c>
      <c r="C17" s="40">
        <v>2</v>
      </c>
      <c r="D17" s="52"/>
      <c r="E17" s="55">
        <v>0</v>
      </c>
      <c r="F17" s="29">
        <v>1.2290000000000001</v>
      </c>
      <c r="G17" s="29">
        <v>1.79375</v>
      </c>
      <c r="H17" s="29">
        <v>1.69825</v>
      </c>
      <c r="I17" s="29">
        <v>1.63975</v>
      </c>
      <c r="J17" s="29">
        <v>1.6054999999999999</v>
      </c>
      <c r="K17" s="29">
        <v>1.4345000000000001</v>
      </c>
    </row>
    <row r="18" spans="2:17" x14ac:dyDescent="0.2">
      <c r="B18" s="38" t="s">
        <v>59</v>
      </c>
      <c r="C18" s="40">
        <v>3</v>
      </c>
      <c r="D18" s="52"/>
      <c r="E18" s="55">
        <v>0</v>
      </c>
      <c r="F18" s="29">
        <v>0.25874999999999998</v>
      </c>
      <c r="G18" s="29">
        <v>0.78300000000000003</v>
      </c>
      <c r="H18" s="29">
        <v>0.8095</v>
      </c>
      <c r="I18" s="29">
        <v>0.67449999999999999</v>
      </c>
      <c r="J18" s="29">
        <v>0.58825000000000005</v>
      </c>
      <c r="K18" s="29">
        <v>0.79200000000000004</v>
      </c>
      <c r="L18" s="55"/>
    </row>
    <row r="19" spans="2:17" x14ac:dyDescent="0.2">
      <c r="B19" s="136" t="s">
        <v>14</v>
      </c>
      <c r="C19" s="40">
        <v>4</v>
      </c>
      <c r="D19" s="52"/>
      <c r="E19" s="137">
        <v>0</v>
      </c>
      <c r="F19" s="29">
        <v>2.1542500000000002</v>
      </c>
      <c r="G19" s="29">
        <v>2.1542500000000002</v>
      </c>
      <c r="H19" s="29">
        <v>2.1542500000000002</v>
      </c>
      <c r="I19" s="29">
        <v>2.1542500000000002</v>
      </c>
      <c r="J19" s="29">
        <v>2.1542500000000002</v>
      </c>
      <c r="K19" s="29">
        <v>2.1542500000000002</v>
      </c>
      <c r="L19" s="55"/>
    </row>
    <row r="20" spans="2:17" ht="15" customHeight="1" x14ac:dyDescent="0.2">
      <c r="B20" s="54" t="s">
        <v>67</v>
      </c>
      <c r="C20" s="41">
        <v>5</v>
      </c>
      <c r="D20" s="53"/>
      <c r="E20" s="56">
        <v>0</v>
      </c>
      <c r="F20" s="33">
        <v>1.0285</v>
      </c>
      <c r="G20" s="33">
        <v>1.0285</v>
      </c>
      <c r="H20" s="33">
        <v>1.0285</v>
      </c>
      <c r="I20" s="33">
        <v>1.0285</v>
      </c>
      <c r="J20" s="33">
        <v>1.0285</v>
      </c>
      <c r="K20" s="33">
        <v>1.0285</v>
      </c>
    </row>
    <row r="21" spans="2:17" x14ac:dyDescent="0.2">
      <c r="D21" s="220"/>
      <c r="E21" s="147">
        <f t="shared" ref="E21:K21" si="1">SUMPRODUCT(E16:E20,E25:E29)</f>
        <v>0</v>
      </c>
      <c r="F21" s="147">
        <f t="shared" si="1"/>
        <v>0.38498332800000007</v>
      </c>
      <c r="G21" s="147">
        <f t="shared" si="1"/>
        <v>1.3071074137500001</v>
      </c>
      <c r="H21" s="147">
        <f t="shared" si="1"/>
        <v>1.3660892384999999</v>
      </c>
      <c r="I21" s="147">
        <f t="shared" si="1"/>
        <v>1.2771965245000001</v>
      </c>
      <c r="J21" s="147">
        <f t="shared" si="1"/>
        <v>1.1721202369999997</v>
      </c>
      <c r="K21" s="147">
        <f t="shared" si="1"/>
        <v>1.1334632500000001</v>
      </c>
    </row>
    <row r="22" spans="2:17" x14ac:dyDescent="0.2">
      <c r="D22" s="220" t="s">
        <v>151</v>
      </c>
      <c r="E22" s="19">
        <f t="array" ref="E22">MMULT(F21:K21,D6:D11)</f>
        <v>1.1046141651696351</v>
      </c>
    </row>
    <row r="23" spans="2:17" x14ac:dyDescent="0.2">
      <c r="B23" s="46" t="s">
        <v>65</v>
      </c>
      <c r="C23" s="47"/>
      <c r="D23" s="47"/>
      <c r="E23" s="47"/>
      <c r="F23" s="47"/>
      <c r="G23" s="47"/>
      <c r="H23" s="47"/>
      <c r="I23" s="47"/>
      <c r="J23" s="47"/>
      <c r="K23" s="47"/>
    </row>
    <row r="24" spans="2:17" x14ac:dyDescent="0.2">
      <c r="B24" s="39"/>
      <c r="C24" s="24" t="s">
        <v>15</v>
      </c>
      <c r="D24" s="24" t="s">
        <v>48</v>
      </c>
      <c r="E24" s="26" t="s">
        <v>49</v>
      </c>
      <c r="F24" s="24" t="s">
        <v>47</v>
      </c>
      <c r="G24" s="24" t="s">
        <v>18</v>
      </c>
      <c r="H24" s="14" t="s">
        <v>19</v>
      </c>
      <c r="I24" s="14" t="s">
        <v>46</v>
      </c>
      <c r="J24" s="14" t="s">
        <v>20</v>
      </c>
      <c r="K24" s="14" t="s">
        <v>21</v>
      </c>
    </row>
    <row r="25" spans="2:17" x14ac:dyDescent="0.2">
      <c r="B25" s="38" t="s">
        <v>12</v>
      </c>
      <c r="C25" s="40">
        <v>1</v>
      </c>
      <c r="D25" s="43">
        <v>0</v>
      </c>
      <c r="E25" s="16">
        <v>1</v>
      </c>
      <c r="F25" s="16">
        <v>0.59366399999999997</v>
      </c>
      <c r="G25" s="16">
        <v>0.18278499999999998</v>
      </c>
      <c r="H25" s="16">
        <v>0.123838</v>
      </c>
      <c r="I25" s="16">
        <v>0.132606</v>
      </c>
      <c r="J25" s="16">
        <v>0.18155600000000005</v>
      </c>
      <c r="K25" s="16">
        <v>0.16500000000000001</v>
      </c>
      <c r="L25" s="16"/>
      <c r="M25" s="16"/>
      <c r="N25" s="16"/>
      <c r="O25" s="16"/>
      <c r="P25" s="16"/>
      <c r="Q25" s="16"/>
    </row>
    <row r="26" spans="2:17" x14ac:dyDescent="0.2">
      <c r="B26" s="38" t="s">
        <v>13</v>
      </c>
      <c r="C26" s="40">
        <v>2</v>
      </c>
      <c r="D26" s="45">
        <f>1-percent_contraceptionDecrease</f>
        <v>1</v>
      </c>
      <c r="E26" s="16">
        <v>0</v>
      </c>
      <c r="F26" s="16">
        <v>0.27800000000000002</v>
      </c>
      <c r="G26" s="16">
        <v>0.61099999999999999</v>
      </c>
      <c r="H26" s="16">
        <v>0.64500000000000002</v>
      </c>
      <c r="I26" s="16">
        <v>0.64900000000000002</v>
      </c>
      <c r="J26" s="16">
        <v>0.60899999999999999</v>
      </c>
      <c r="K26" s="16">
        <v>0.61399999999999999</v>
      </c>
      <c r="L26" s="16"/>
      <c r="M26" s="16"/>
      <c r="N26" s="16"/>
      <c r="O26" s="16"/>
      <c r="P26" s="16"/>
      <c r="Q26" s="16"/>
    </row>
    <row r="27" spans="2:17" x14ac:dyDescent="0.2">
      <c r="B27" s="38" t="s">
        <v>59</v>
      </c>
      <c r="C27" s="40">
        <v>3</v>
      </c>
      <c r="D27" s="45">
        <f>percent_contraceptionIncrease</f>
        <v>0</v>
      </c>
      <c r="E27" s="16">
        <v>0</v>
      </c>
      <c r="F27" s="16">
        <f>12.3%</f>
        <v>0.12300000000000001</v>
      </c>
      <c r="G27" s="16">
        <f>17%</f>
        <v>0.17</v>
      </c>
      <c r="H27" s="16">
        <v>0.16900000000000001</v>
      </c>
      <c r="I27" s="16">
        <v>0.17399999999999999</v>
      </c>
      <c r="J27" s="16">
        <v>0.16400000000000001</v>
      </c>
      <c r="K27" s="16">
        <v>0.16400000000000001</v>
      </c>
      <c r="L27" s="16"/>
      <c r="M27" s="16"/>
      <c r="N27" s="16"/>
      <c r="O27" s="16"/>
      <c r="P27" s="16"/>
      <c r="Q27" s="16"/>
    </row>
    <row r="28" spans="2:17" x14ac:dyDescent="0.2">
      <c r="B28" s="38" t="s">
        <v>14</v>
      </c>
      <c r="C28" s="40">
        <v>4</v>
      </c>
      <c r="D28" s="43">
        <v>0</v>
      </c>
      <c r="E28" s="16">
        <v>0</v>
      </c>
      <c r="F28" s="16">
        <v>5.3360000000000074E-3</v>
      </c>
      <c r="G28" s="16">
        <v>3.6214999999999997E-2</v>
      </c>
      <c r="H28" s="16">
        <v>6.216199999999994E-2</v>
      </c>
      <c r="I28" s="16">
        <v>4.4394000000000045E-2</v>
      </c>
      <c r="J28" s="16">
        <v>4.5443999999999929E-2</v>
      </c>
      <c r="K28" s="16">
        <v>5.7000000000000002E-2</v>
      </c>
      <c r="L28" s="16"/>
      <c r="M28" s="16"/>
      <c r="N28" s="16"/>
      <c r="O28" s="16"/>
      <c r="P28" s="16"/>
      <c r="Q28" s="16"/>
    </row>
    <row r="29" spans="2:17" ht="15.75" customHeight="1" x14ac:dyDescent="0.2">
      <c r="B29" s="54" t="s">
        <v>67</v>
      </c>
      <c r="C29" s="41">
        <v>5</v>
      </c>
      <c r="D29" s="44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/>
      <c r="M29" s="18"/>
      <c r="N29" s="18"/>
      <c r="O29" s="18"/>
      <c r="P29" s="18"/>
      <c r="Q29" s="18"/>
    </row>
    <row r="30" spans="2:17" x14ac:dyDescent="0.2">
      <c r="C30" s="27" t="s">
        <v>7</v>
      </c>
      <c r="D30" s="27"/>
      <c r="E30" s="42">
        <f>SUM(E25:E29)</f>
        <v>1</v>
      </c>
      <c r="F30" s="42">
        <f t="shared" ref="F30:J30" si="2">SUM(F25:F29)</f>
        <v>1</v>
      </c>
      <c r="G30" s="42">
        <f t="shared" si="2"/>
        <v>1</v>
      </c>
      <c r="H30" s="42">
        <f t="shared" si="2"/>
        <v>1</v>
      </c>
      <c r="I30" s="42">
        <f t="shared" si="2"/>
        <v>1</v>
      </c>
      <c r="J30" s="42">
        <f t="shared" si="2"/>
        <v>1</v>
      </c>
      <c r="K30" s="42">
        <f>SUM(K25:K29)</f>
        <v>1</v>
      </c>
    </row>
    <row r="31" spans="2:17" x14ac:dyDescent="0.2">
      <c r="C31" s="27"/>
      <c r="D31" s="27"/>
    </row>
    <row r="32" spans="2:17" x14ac:dyDescent="0.2">
      <c r="B32" s="48" t="s">
        <v>24</v>
      </c>
      <c r="C32" s="49"/>
      <c r="D32" s="49"/>
      <c r="E32" s="49"/>
      <c r="F32" s="49"/>
      <c r="G32" s="50"/>
      <c r="H32" s="50"/>
    </row>
    <row r="33" spans="1:16" ht="45" x14ac:dyDescent="0.2">
      <c r="B33" s="28" t="s">
        <v>25</v>
      </c>
      <c r="C33" s="28" t="s">
        <v>15</v>
      </c>
      <c r="D33" s="28" t="s">
        <v>26</v>
      </c>
      <c r="E33" s="28" t="s">
        <v>27</v>
      </c>
      <c r="F33" s="28" t="s">
        <v>28</v>
      </c>
      <c r="G33" s="30" t="s">
        <v>39</v>
      </c>
      <c r="H33" s="30" t="s">
        <v>64</v>
      </c>
    </row>
    <row r="34" spans="1:16" x14ac:dyDescent="0.2">
      <c r="B34" t="s">
        <v>29</v>
      </c>
      <c r="C34" s="1">
        <v>1</v>
      </c>
      <c r="D34" s="72">
        <f>0.05/100</f>
        <v>5.0000000000000001E-4</v>
      </c>
      <c r="E34" s="29">
        <f>LN(1-D34)</f>
        <v>-5.0012504168224286E-4</v>
      </c>
      <c r="F34" s="70">
        <f t="shared" ref="F34:F43" si="3">1+1/(probSuccessPregnancy*averageNumOfSexualEncounters*52*effAdjustingFactor)*E34</f>
        <v>0.99865526428470319</v>
      </c>
      <c r="G34" s="15">
        <v>8.0000000000000002E-3</v>
      </c>
      <c r="H34" s="35">
        <f t="shared" ref="H34:H43" si="4">G34/(1-$D$46)</f>
        <v>1.2965964343598056E-2</v>
      </c>
      <c r="I34" s="69"/>
      <c r="J34" s="46" t="s">
        <v>55</v>
      </c>
      <c r="K34" s="47"/>
      <c r="L34" s="58"/>
      <c r="M34" s="58"/>
      <c r="N34" s="58"/>
      <c r="O34" s="58"/>
      <c r="P34" s="58"/>
    </row>
    <row r="35" spans="1:16" x14ac:dyDescent="0.2">
      <c r="B35" t="s">
        <v>30</v>
      </c>
      <c r="C35" s="1">
        <v>2</v>
      </c>
      <c r="D35" s="72">
        <f>6/100</f>
        <v>0.06</v>
      </c>
      <c r="E35" s="29">
        <f t="shared" ref="E35:E43" si="5">LN(1-D35)</f>
        <v>-6.1875403718087529E-2</v>
      </c>
      <c r="F35" s="70">
        <f t="shared" si="3"/>
        <v>0.83362947594417103</v>
      </c>
      <c r="G35" s="15">
        <v>2.7999999999999997E-2</v>
      </c>
      <c r="H35" s="35">
        <f t="shared" si="4"/>
        <v>4.5380875202593186E-2</v>
      </c>
      <c r="I35" s="68"/>
      <c r="J35" s="14" t="s">
        <v>3</v>
      </c>
      <c r="K35" s="14" t="s">
        <v>4</v>
      </c>
    </row>
    <row r="36" spans="1:16" x14ac:dyDescent="0.2">
      <c r="B36" t="s">
        <v>31</v>
      </c>
      <c r="C36" s="1">
        <v>3</v>
      </c>
      <c r="D36" s="72">
        <f>9/100</f>
        <v>0.09</v>
      </c>
      <c r="E36" s="29">
        <f t="shared" si="5"/>
        <v>-9.431067947124129E-2</v>
      </c>
      <c r="F36" s="70">
        <f t="shared" si="3"/>
        <v>0.74641753871732641</v>
      </c>
      <c r="G36" s="15">
        <v>0.16</v>
      </c>
      <c r="H36" s="35">
        <f t="shared" si="4"/>
        <v>0.2593192868719611</v>
      </c>
      <c r="I36" s="69"/>
      <c r="J36" s="22">
        <v>10</v>
      </c>
      <c r="K36" s="22">
        <v>0</v>
      </c>
    </row>
    <row r="37" spans="1:16" x14ac:dyDescent="0.2">
      <c r="B37" t="s">
        <v>32</v>
      </c>
      <c r="C37" s="1">
        <v>4</v>
      </c>
      <c r="D37" s="72">
        <f>9/100</f>
        <v>0.09</v>
      </c>
      <c r="E37" s="29">
        <f t="shared" si="5"/>
        <v>-9.431067947124129E-2</v>
      </c>
      <c r="F37" s="70">
        <f t="shared" si="3"/>
        <v>0.74641753871732641</v>
      </c>
      <c r="G37" s="15">
        <v>1.6E-2</v>
      </c>
      <c r="H37" s="35">
        <f t="shared" si="4"/>
        <v>2.5931928687196112E-2</v>
      </c>
      <c r="I37" s="69"/>
      <c r="J37" s="15">
        <v>15</v>
      </c>
      <c r="K37" s="19">
        <v>0.82725571679999998</v>
      </c>
    </row>
    <row r="38" spans="1:16" x14ac:dyDescent="0.2">
      <c r="B38" t="s">
        <v>33</v>
      </c>
      <c r="C38" s="1">
        <v>5</v>
      </c>
      <c r="D38" s="72">
        <f>0.05/100</f>
        <v>5.0000000000000001E-4</v>
      </c>
      <c r="E38" s="29">
        <f t="shared" si="5"/>
        <v>-5.0012504168224286E-4</v>
      </c>
      <c r="F38" s="70">
        <f t="shared" si="3"/>
        <v>0.99865526428470319</v>
      </c>
      <c r="G38" s="15">
        <v>6.4000000000000001E-2</v>
      </c>
      <c r="H38" s="35">
        <f t="shared" si="4"/>
        <v>0.10372771474878445</v>
      </c>
      <c r="I38" s="69"/>
      <c r="J38" s="15">
        <v>25</v>
      </c>
      <c r="K38" s="19">
        <v>1.40511635712</v>
      </c>
    </row>
    <row r="39" spans="1:16" ht="15.75" customHeight="1" x14ac:dyDescent="0.2">
      <c r="B39" t="s">
        <v>34</v>
      </c>
      <c r="C39" s="1">
        <v>6</v>
      </c>
      <c r="D39" s="72">
        <f>18/100</f>
        <v>0.18</v>
      </c>
      <c r="E39" s="29">
        <f t="shared" si="5"/>
        <v>-0.19845093872383818</v>
      </c>
      <c r="F39" s="70">
        <f t="shared" si="3"/>
        <v>0.46640531308234912</v>
      </c>
      <c r="G39" s="15">
        <v>9.4E-2</v>
      </c>
      <c r="H39" s="35">
        <f t="shared" si="4"/>
        <v>0.15235008103727715</v>
      </c>
      <c r="I39" s="69"/>
      <c r="J39" s="17">
        <v>35</v>
      </c>
      <c r="K39" s="20">
        <v>1.0925561327375</v>
      </c>
    </row>
    <row r="40" spans="1:16" x14ac:dyDescent="0.2">
      <c r="B40" t="s">
        <v>35</v>
      </c>
      <c r="C40" s="1">
        <v>7</v>
      </c>
      <c r="D40" s="72">
        <f>0.5/100</f>
        <v>5.0000000000000001E-3</v>
      </c>
      <c r="E40" s="29">
        <f t="shared" si="5"/>
        <v>-5.0125418235442863E-3</v>
      </c>
      <c r="F40" s="70">
        <f t="shared" si="3"/>
        <v>0.98652228252385454</v>
      </c>
      <c r="G40" s="15">
        <v>0.155</v>
      </c>
      <c r="H40" s="35">
        <f t="shared" si="4"/>
        <v>0.25121555915721233</v>
      </c>
      <c r="I40" s="69"/>
      <c r="J40" s="27" t="s">
        <v>23</v>
      </c>
      <c r="K40" s="13">
        <f>K37*SUM(D6:D7)+K38*SUM(D8:D9)+K39*SUM(D10:D11)</f>
        <v>1.1153611284699183</v>
      </c>
    </row>
    <row r="41" spans="1:16" x14ac:dyDescent="0.2">
      <c r="B41" t="s">
        <v>36</v>
      </c>
      <c r="C41" s="1">
        <v>8</v>
      </c>
      <c r="D41" s="72">
        <f>0.15/100</f>
        <v>1.5E-3</v>
      </c>
      <c r="E41" s="29">
        <f t="shared" si="5"/>
        <v>-1.5011261262670914E-3</v>
      </c>
      <c r="F41" s="70">
        <f t="shared" si="3"/>
        <v>0.99596377356277443</v>
      </c>
      <c r="G41" s="15">
        <v>5.0999999999999997E-2</v>
      </c>
      <c r="H41" s="35">
        <f t="shared" si="4"/>
        <v>8.2658022690437594E-2</v>
      </c>
      <c r="I41" s="69"/>
    </row>
    <row r="42" spans="1:16" x14ac:dyDescent="0.2">
      <c r="B42" s="6" t="s">
        <v>37</v>
      </c>
      <c r="C42" s="7">
        <v>9</v>
      </c>
      <c r="D42" s="7">
        <f>22/100</f>
        <v>0.22</v>
      </c>
      <c r="E42" s="65">
        <f t="shared" si="5"/>
        <v>-0.24846135929849961</v>
      </c>
      <c r="F42" s="71">
        <f t="shared" si="3"/>
        <v>0.33193734391697549</v>
      </c>
      <c r="G42" s="22">
        <v>0.03</v>
      </c>
      <c r="H42" s="66">
        <f t="shared" si="4"/>
        <v>4.8622366288492702E-2</v>
      </c>
      <c r="I42" s="7"/>
    </row>
    <row r="43" spans="1:16" x14ac:dyDescent="0.2">
      <c r="B43" s="6" t="s">
        <v>38</v>
      </c>
      <c r="C43" s="7">
        <v>10</v>
      </c>
      <c r="D43" s="7">
        <f>18.67/100</f>
        <v>0.1867</v>
      </c>
      <c r="E43" s="65">
        <f t="shared" si="5"/>
        <v>-0.20665523380940748</v>
      </c>
      <c r="F43" s="71">
        <f t="shared" si="3"/>
        <v>0.44434561260566641</v>
      </c>
      <c r="G43" s="22">
        <v>1.1000000000000001E-2</v>
      </c>
      <c r="H43" s="66">
        <f t="shared" si="4"/>
        <v>1.7828200972447326E-2</v>
      </c>
      <c r="I43" s="7"/>
    </row>
    <row r="44" spans="1:16" x14ac:dyDescent="0.2">
      <c r="B44" s="31" t="s">
        <v>63</v>
      </c>
      <c r="C44" s="32">
        <v>11</v>
      </c>
      <c r="D44" s="32"/>
      <c r="E44" s="33"/>
      <c r="F44" s="34"/>
      <c r="G44" s="67">
        <f>1-G45</f>
        <v>0.3829999999999999</v>
      </c>
      <c r="H44" s="36">
        <v>0</v>
      </c>
    </row>
    <row r="45" spans="1:16" x14ac:dyDescent="0.2">
      <c r="E45" s="29"/>
      <c r="F45" s="29" t="s">
        <v>7</v>
      </c>
      <c r="G45" s="15">
        <f>SUM(G34:G43)</f>
        <v>0.6170000000000001</v>
      </c>
      <c r="H45" s="15">
        <f>SUM(H34:H43)</f>
        <v>1.0000000000000002</v>
      </c>
      <c r="I45" s="15"/>
    </row>
    <row r="46" spans="1:16" x14ac:dyDescent="0.2">
      <c r="B46" t="s">
        <v>40</v>
      </c>
      <c r="C46"/>
      <c r="D46" s="15">
        <v>0.38299999999999995</v>
      </c>
    </row>
    <row r="47" spans="1:16" x14ac:dyDescent="0.2">
      <c r="A47" s="148"/>
      <c r="B47" s="148"/>
      <c r="C47" s="148"/>
      <c r="D47" s="148"/>
      <c r="E47" s="148"/>
      <c r="F47" s="148"/>
      <c r="G47" s="148"/>
      <c r="H47" s="148"/>
      <c r="I47" s="148"/>
    </row>
    <row r="48" spans="1:16" x14ac:dyDescent="0.2">
      <c r="A48" s="148"/>
      <c r="B48" s="148"/>
      <c r="C48" s="148"/>
      <c r="D48" s="148"/>
      <c r="E48" s="148"/>
      <c r="F48" s="148"/>
      <c r="G48" s="148"/>
      <c r="H48" s="148"/>
      <c r="I48" s="148"/>
    </row>
    <row r="49" spans="1:16" x14ac:dyDescent="0.2">
      <c r="A49" s="148"/>
      <c r="B49" s="203" t="s">
        <v>56</v>
      </c>
      <c r="C49" s="204"/>
      <c r="D49" s="204"/>
      <c r="E49" s="204"/>
      <c r="F49" s="204"/>
      <c r="G49" s="204"/>
      <c r="H49" s="204"/>
      <c r="I49" s="148"/>
    </row>
    <row r="50" spans="1:16" x14ac:dyDescent="0.2">
      <c r="A50" s="148"/>
      <c r="B50" s="153" t="s">
        <v>3</v>
      </c>
      <c r="C50" s="149" t="s">
        <v>15</v>
      </c>
      <c r="D50" s="149" t="s">
        <v>12</v>
      </c>
      <c r="E50" s="149" t="s">
        <v>58</v>
      </c>
      <c r="F50" s="149" t="s">
        <v>59</v>
      </c>
      <c r="G50" s="149" t="s">
        <v>14</v>
      </c>
      <c r="H50" s="149" t="s">
        <v>67</v>
      </c>
      <c r="I50" s="148"/>
    </row>
    <row r="51" spans="1:16" x14ac:dyDescent="0.2">
      <c r="A51" s="148"/>
      <c r="B51" s="208">
        <v>15</v>
      </c>
      <c r="C51" s="208">
        <v>1</v>
      </c>
      <c r="D51" s="205">
        <v>0.14409241673417875</v>
      </c>
      <c r="E51" s="209">
        <v>0.47859904096293387</v>
      </c>
      <c r="F51" s="209">
        <v>0.3258187484370772</v>
      </c>
      <c r="G51" s="205">
        <v>0.45670392227949863</v>
      </c>
      <c r="H51" s="209">
        <v>4.7752619278099886E-2</v>
      </c>
      <c r="I51" s="150"/>
      <c r="J51"/>
      <c r="K51"/>
      <c r="L51"/>
      <c r="M51"/>
      <c r="N51" s="15"/>
    </row>
    <row r="52" spans="1:16" x14ac:dyDescent="0.2">
      <c r="A52" s="148"/>
      <c r="B52" s="210">
        <v>21</v>
      </c>
      <c r="C52" s="210">
        <v>2</v>
      </c>
      <c r="D52" s="21">
        <v>0.46863478104923378</v>
      </c>
      <c r="E52" s="211">
        <v>0.65339044957212356</v>
      </c>
      <c r="F52" s="211">
        <v>0.42802384889454054</v>
      </c>
      <c r="G52" s="21">
        <v>0.45670392227949863</v>
      </c>
      <c r="H52" s="211">
        <v>4.7752619278099886E-2</v>
      </c>
      <c r="I52" s="150"/>
      <c r="J52"/>
      <c r="K52"/>
      <c r="L52"/>
      <c r="M52"/>
      <c r="N52" s="15"/>
    </row>
    <row r="53" spans="1:16" x14ac:dyDescent="0.2">
      <c r="A53" s="148"/>
      <c r="B53" s="210">
        <v>27</v>
      </c>
      <c r="C53" s="210">
        <v>3</v>
      </c>
      <c r="D53" s="21">
        <v>0.36004373060281181</v>
      </c>
      <c r="E53" s="211">
        <v>0.49535405008171196</v>
      </c>
      <c r="F53" s="211">
        <v>0.38207349002362589</v>
      </c>
      <c r="G53" s="21">
        <v>0.45670392227949863</v>
      </c>
      <c r="H53" s="211">
        <v>4.7752619278099886E-2</v>
      </c>
      <c r="I53" s="150"/>
      <c r="J53" s="15"/>
      <c r="K53" s="15"/>
      <c r="L53" s="15"/>
      <c r="M53" s="15"/>
      <c r="N53" s="82"/>
    </row>
    <row r="54" spans="1:16" x14ac:dyDescent="0.2">
      <c r="A54" s="148"/>
      <c r="B54" s="210">
        <v>33</v>
      </c>
      <c r="C54" s="210">
        <v>4</v>
      </c>
      <c r="D54" s="21">
        <v>0.31531144028606334</v>
      </c>
      <c r="E54" s="211">
        <v>0.42358232065137469</v>
      </c>
      <c r="F54" s="211">
        <v>0.3672524176189243</v>
      </c>
      <c r="G54" s="21">
        <v>0.45670392227949863</v>
      </c>
      <c r="H54" s="211">
        <v>4.7752619278099886E-2</v>
      </c>
      <c r="I54" s="206"/>
      <c r="J54" s="80"/>
      <c r="K54" s="80"/>
      <c r="L54" s="15"/>
      <c r="M54" s="15"/>
      <c r="N54" s="15"/>
      <c r="O54" s="81"/>
      <c r="P54" s="27"/>
    </row>
    <row r="55" spans="1:16" x14ac:dyDescent="0.2">
      <c r="A55" s="148"/>
      <c r="B55" s="153">
        <v>39</v>
      </c>
      <c r="C55" s="153">
        <v>5</v>
      </c>
      <c r="D55" s="63">
        <v>0.26398250222721675</v>
      </c>
      <c r="E55" s="212">
        <v>0.46934940777706591</v>
      </c>
      <c r="F55" s="212">
        <v>0.36404747803313725</v>
      </c>
      <c r="G55" s="63">
        <v>0.45670392227949863</v>
      </c>
      <c r="H55" s="212">
        <v>4.7752619278099886E-2</v>
      </c>
      <c r="I55" s="150"/>
      <c r="J55" s="15"/>
      <c r="K55" s="15"/>
      <c r="L55" s="15"/>
      <c r="M55" s="15"/>
      <c r="N55" s="15"/>
    </row>
    <row r="56" spans="1:16" x14ac:dyDescent="0.2">
      <c r="A56" s="148"/>
      <c r="B56" s="148"/>
      <c r="C56" s="148"/>
      <c r="D56" s="148"/>
      <c r="E56" s="148"/>
      <c r="F56" s="148"/>
      <c r="G56" s="148"/>
      <c r="H56" s="148"/>
      <c r="I56" s="192"/>
      <c r="J56" s="15"/>
      <c r="K56" s="15"/>
      <c r="L56" s="15"/>
      <c r="M56" s="15"/>
      <c r="N56" s="15"/>
    </row>
    <row r="57" spans="1:16" x14ac:dyDescent="0.2">
      <c r="A57" s="148"/>
      <c r="B57" s="203" t="s">
        <v>57</v>
      </c>
      <c r="C57" s="204"/>
      <c r="D57" s="204"/>
      <c r="E57" s="204"/>
      <c r="F57" s="204"/>
      <c r="G57" s="204"/>
      <c r="H57" s="204"/>
      <c r="I57" s="148"/>
    </row>
    <row r="58" spans="1:16" x14ac:dyDescent="0.2">
      <c r="A58" s="148"/>
      <c r="B58" s="153" t="s">
        <v>3</v>
      </c>
      <c r="C58" s="149" t="s">
        <v>15</v>
      </c>
      <c r="D58" s="149" t="s">
        <v>12</v>
      </c>
      <c r="E58" s="149" t="s">
        <v>58</v>
      </c>
      <c r="F58" s="149" t="s">
        <v>59</v>
      </c>
      <c r="G58" s="149" t="s">
        <v>14</v>
      </c>
      <c r="H58" s="149" t="s">
        <v>67</v>
      </c>
      <c r="I58" s="148"/>
    </row>
    <row r="59" spans="1:16" x14ac:dyDescent="0.2">
      <c r="A59" s="148"/>
      <c r="B59" s="208">
        <v>15</v>
      </c>
      <c r="C59" s="208">
        <v>1</v>
      </c>
      <c r="D59" s="205">
        <v>5.1919082000000003</v>
      </c>
      <c r="E59" s="205">
        <v>6.9288249999999998</v>
      </c>
      <c r="F59" s="205">
        <v>8.9867682999999996</v>
      </c>
      <c r="G59" s="205">
        <v>8.9917279000000008</v>
      </c>
      <c r="H59" s="205">
        <v>12.390245999999999</v>
      </c>
      <c r="I59" s="148"/>
    </row>
    <row r="60" spans="1:16" x14ac:dyDescent="0.2">
      <c r="A60" s="148"/>
      <c r="B60" s="210">
        <v>21</v>
      </c>
      <c r="C60" s="210">
        <v>2</v>
      </c>
      <c r="D60" s="21">
        <v>7.0447938000000008</v>
      </c>
      <c r="E60" s="21">
        <v>8.0753450000000004</v>
      </c>
      <c r="F60" s="21">
        <v>10.587996</v>
      </c>
      <c r="G60" s="21">
        <v>8.9917279000000008</v>
      </c>
      <c r="H60" s="21">
        <v>12.390245999999999</v>
      </c>
      <c r="I60" s="148"/>
      <c r="K60"/>
    </row>
    <row r="61" spans="1:16" x14ac:dyDescent="0.2">
      <c r="A61" s="148"/>
      <c r="B61" s="210">
        <v>27</v>
      </c>
      <c r="C61" s="210">
        <v>3</v>
      </c>
      <c r="D61" s="21">
        <v>10.266952</v>
      </c>
      <c r="E61" s="21">
        <v>9.9226639999999993</v>
      </c>
      <c r="F61" s="21">
        <v>12.159528</v>
      </c>
      <c r="G61" s="21">
        <v>8.9917279000000008</v>
      </c>
      <c r="H61" s="21">
        <v>12.390245999999999</v>
      </c>
      <c r="I61" s="148"/>
      <c r="K61"/>
    </row>
    <row r="62" spans="1:16" x14ac:dyDescent="0.2">
      <c r="A62" s="148"/>
      <c r="B62" s="210">
        <v>33</v>
      </c>
      <c r="C62" s="210">
        <v>4</v>
      </c>
      <c r="D62" s="21">
        <v>14.769316</v>
      </c>
      <c r="E62" s="21">
        <v>10.058357000000001</v>
      </c>
      <c r="F62" s="21">
        <v>11.772637</v>
      </c>
      <c r="G62" s="21">
        <v>8.9917279000000008</v>
      </c>
      <c r="H62" s="21">
        <v>12.390245999999999</v>
      </c>
      <c r="I62" s="148"/>
    </row>
    <row r="63" spans="1:16" x14ac:dyDescent="0.2">
      <c r="A63" s="148"/>
      <c r="B63" s="153">
        <v>39</v>
      </c>
      <c r="C63" s="153">
        <v>5</v>
      </c>
      <c r="D63" s="63">
        <v>13.826674000000001</v>
      </c>
      <c r="E63" s="63">
        <v>9.5896319999999999</v>
      </c>
      <c r="F63" s="63">
        <v>14.366980999999999</v>
      </c>
      <c r="G63" s="63">
        <v>8.9917279000000008</v>
      </c>
      <c r="H63" s="63">
        <v>12.390245999999999</v>
      </c>
      <c r="I63" s="148"/>
    </row>
    <row r="64" spans="1:16" x14ac:dyDescent="0.2">
      <c r="A64" s="148"/>
      <c r="B64" s="148"/>
      <c r="C64" s="148"/>
      <c r="D64" s="148"/>
      <c r="E64" s="148"/>
      <c r="F64" s="148"/>
      <c r="G64" s="148"/>
      <c r="H64" s="148"/>
      <c r="I64" s="148"/>
    </row>
    <row r="65" spans="1:12" x14ac:dyDescent="0.2">
      <c r="A65" s="148"/>
      <c r="B65" s="203" t="s">
        <v>72</v>
      </c>
      <c r="C65" s="204"/>
      <c r="D65" s="204"/>
      <c r="E65" s="204"/>
      <c r="F65" s="204"/>
      <c r="G65" s="204"/>
      <c r="H65" s="204"/>
      <c r="I65" s="148"/>
    </row>
    <row r="66" spans="1:12" x14ac:dyDescent="0.2">
      <c r="A66" s="148"/>
      <c r="B66" s="153" t="s">
        <v>3</v>
      </c>
      <c r="C66" s="149" t="s">
        <v>15</v>
      </c>
      <c r="D66" s="149" t="s">
        <v>12</v>
      </c>
      <c r="E66" s="149" t="s">
        <v>58</v>
      </c>
      <c r="F66" s="149" t="s">
        <v>59</v>
      </c>
      <c r="G66" s="149" t="s">
        <v>14</v>
      </c>
      <c r="H66" s="149" t="s">
        <v>67</v>
      </c>
      <c r="I66" s="148"/>
    </row>
    <row r="67" spans="1:12" x14ac:dyDescent="0.2">
      <c r="A67" s="148"/>
      <c r="B67" s="213">
        <v>15</v>
      </c>
      <c r="C67" s="213">
        <v>1</v>
      </c>
      <c r="D67" s="214">
        <f>D51*D59</f>
        <v>0.74811459999999985</v>
      </c>
      <c r="E67" s="214">
        <f t="shared" ref="E67:H67" si="6">E51*E59</f>
        <v>3.3161290000000001</v>
      </c>
      <c r="F67" s="214">
        <f t="shared" si="6"/>
        <v>2.9280575999999998</v>
      </c>
      <c r="G67" s="214">
        <f t="shared" si="6"/>
        <v>4.1065573999999998</v>
      </c>
      <c r="H67" s="214">
        <f t="shared" si="6"/>
        <v>0.59166669999999999</v>
      </c>
      <c r="I67" s="62"/>
    </row>
    <row r="68" spans="1:12" x14ac:dyDescent="0.2">
      <c r="A68" s="148"/>
      <c r="B68" s="117">
        <v>21</v>
      </c>
      <c r="C68" s="117">
        <v>2</v>
      </c>
      <c r="D68" s="215">
        <f t="shared" ref="D68:H68" si="7">D52*D60</f>
        <v>3.3014353999999999</v>
      </c>
      <c r="E68" s="215">
        <f t="shared" si="7"/>
        <v>5.2763533000000002</v>
      </c>
      <c r="F68" s="215">
        <f t="shared" si="7"/>
        <v>4.5319148</v>
      </c>
      <c r="G68" s="215">
        <f t="shared" si="7"/>
        <v>4.1065573999999998</v>
      </c>
      <c r="H68" s="215">
        <f t="shared" si="7"/>
        <v>0.59166669999999999</v>
      </c>
      <c r="I68" s="62"/>
    </row>
    <row r="69" spans="1:12" x14ac:dyDescent="0.2">
      <c r="A69" s="148"/>
      <c r="B69" s="117">
        <v>27</v>
      </c>
      <c r="C69" s="117">
        <v>3</v>
      </c>
      <c r="D69" s="215">
        <f t="shared" ref="D69:H69" si="8">D53*D61</f>
        <v>3.6965516999999997</v>
      </c>
      <c r="E69" s="215">
        <f t="shared" si="8"/>
        <v>4.9152317999999999</v>
      </c>
      <c r="F69" s="215">
        <f t="shared" si="8"/>
        <v>4.6458332999999996</v>
      </c>
      <c r="G69" s="215">
        <f t="shared" si="8"/>
        <v>4.1065573999999998</v>
      </c>
      <c r="H69" s="215">
        <f t="shared" si="8"/>
        <v>0.59166669999999999</v>
      </c>
      <c r="I69" s="62"/>
    </row>
    <row r="70" spans="1:12" x14ac:dyDescent="0.2">
      <c r="A70" s="148"/>
      <c r="B70" s="117">
        <v>33</v>
      </c>
      <c r="C70" s="117">
        <v>4</v>
      </c>
      <c r="D70" s="215">
        <f t="shared" ref="D70:H70" si="9">D54*D62</f>
        <v>4.6569342999999996</v>
      </c>
      <c r="E70" s="215">
        <f t="shared" si="9"/>
        <v>4.2605421999999997</v>
      </c>
      <c r="F70" s="215">
        <f t="shared" si="9"/>
        <v>4.3235294</v>
      </c>
      <c r="G70" s="215">
        <f t="shared" si="9"/>
        <v>4.1065573999999998</v>
      </c>
      <c r="H70" s="215">
        <f t="shared" si="9"/>
        <v>0.59166669999999999</v>
      </c>
      <c r="I70" s="62"/>
    </row>
    <row r="71" spans="1:12" x14ac:dyDescent="0.2">
      <c r="A71" s="148"/>
      <c r="B71" s="149">
        <v>39</v>
      </c>
      <c r="C71" s="149">
        <v>5</v>
      </c>
      <c r="D71" s="216">
        <f t="shared" ref="D71:H71" si="10">D55*D63</f>
        <v>3.65</v>
      </c>
      <c r="E71" s="216">
        <f t="shared" si="10"/>
        <v>4.5008881000000001</v>
      </c>
      <c r="F71" s="216">
        <f t="shared" si="10"/>
        <v>5.2302631999999996</v>
      </c>
      <c r="G71" s="216">
        <f t="shared" si="10"/>
        <v>4.1065573999999998</v>
      </c>
      <c r="H71" s="216">
        <f t="shared" si="10"/>
        <v>0.59166669999999999</v>
      </c>
      <c r="I71" s="62"/>
      <c r="J71" s="154"/>
    </row>
    <row r="72" spans="1:12" x14ac:dyDescent="0.2">
      <c r="A72" s="148"/>
      <c r="B72" s="148"/>
      <c r="C72" s="148"/>
      <c r="D72" s="148"/>
      <c r="E72" s="148"/>
      <c r="F72" s="207"/>
      <c r="G72" s="148"/>
      <c r="H72" s="148"/>
      <c r="I72" s="62"/>
    </row>
    <row r="73" spans="1:12" x14ac:dyDescent="0.2">
      <c r="B73" s="151" t="s">
        <v>106</v>
      </c>
      <c r="C73" s="152"/>
      <c r="D73" s="152"/>
      <c r="E73" s="152"/>
      <c r="F73" s="152"/>
      <c r="G73" s="152"/>
      <c r="H73" s="152"/>
    </row>
    <row r="74" spans="1:12" x14ac:dyDescent="0.2">
      <c r="B74" s="24" t="s">
        <v>3</v>
      </c>
      <c r="C74" s="24" t="s">
        <v>15</v>
      </c>
      <c r="D74" s="14" t="s">
        <v>12</v>
      </c>
      <c r="E74" s="14" t="s">
        <v>58</v>
      </c>
      <c r="F74" s="14" t="s">
        <v>59</v>
      </c>
      <c r="G74" s="14" t="s">
        <v>14</v>
      </c>
      <c r="H74" s="14" t="s">
        <v>67</v>
      </c>
    </row>
    <row r="75" spans="1:12" x14ac:dyDescent="0.2">
      <c r="B75" s="141" t="s">
        <v>104</v>
      </c>
      <c r="C75" s="15">
        <v>1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L75" s="160"/>
    </row>
    <row r="76" spans="1:12" x14ac:dyDescent="0.2">
      <c r="B76" s="142">
        <v>15</v>
      </c>
      <c r="C76" s="15">
        <v>2</v>
      </c>
      <c r="D76" s="15">
        <v>0</v>
      </c>
      <c r="E76" s="35">
        <f>Gamma.Poisson.Calc!F4</f>
        <v>0.73625879886176437</v>
      </c>
      <c r="F76" s="35">
        <f>Gamma.Poisson.Calc!F10</f>
        <v>0.13480072935660325</v>
      </c>
      <c r="G76" s="35">
        <f>Gamma.Poisson.Calc!$F$16</f>
        <v>0.88461143619751581</v>
      </c>
      <c r="H76" s="35">
        <f>Gamma.Poisson.Calc!$F$17</f>
        <v>0.65897805542207266</v>
      </c>
      <c r="K76" s="27"/>
      <c r="L76" s="160"/>
    </row>
    <row r="77" spans="1:12" x14ac:dyDescent="0.2">
      <c r="B77" s="142">
        <v>20</v>
      </c>
      <c r="C77" s="15">
        <v>3</v>
      </c>
      <c r="D77" s="15">
        <v>0</v>
      </c>
      <c r="E77" s="35">
        <f>Gamma.Poisson.Calc!F5</f>
        <v>0.94494929540366124</v>
      </c>
      <c r="F77" s="35">
        <f>Gamma.Poisson.Calc!F11</f>
        <v>0.22700587084148727</v>
      </c>
      <c r="G77" s="35">
        <f>Gamma.Poisson.Calc!$F$16</f>
        <v>0.88461143619751581</v>
      </c>
      <c r="H77" s="35">
        <f>Gamma.Poisson.Calc!$F$17</f>
        <v>0.65897805542207266</v>
      </c>
    </row>
    <row r="78" spans="1:12" x14ac:dyDescent="0.2">
      <c r="B78" s="142">
        <v>25</v>
      </c>
      <c r="C78" s="140">
        <v>4</v>
      </c>
      <c r="D78" s="15">
        <v>0</v>
      </c>
      <c r="E78" s="35">
        <f>Gamma.Poisson.Calc!F6</f>
        <v>1.031586940015186</v>
      </c>
      <c r="F78" s="35">
        <f>Gamma.Poisson.Calc!F12</f>
        <v>0.25412023230262121</v>
      </c>
      <c r="G78" s="35">
        <f>Gamma.Poisson.Calc!$F$16</f>
        <v>0.88461143619751581</v>
      </c>
      <c r="H78" s="35">
        <f>Gamma.Poisson.Calc!$F$17</f>
        <v>0.65897805542207266</v>
      </c>
    </row>
    <row r="79" spans="1:12" x14ac:dyDescent="0.2">
      <c r="B79" s="142">
        <v>30</v>
      </c>
      <c r="C79" s="140">
        <v>5</v>
      </c>
      <c r="D79" s="15">
        <v>0</v>
      </c>
      <c r="E79" s="35">
        <f>Gamma.Poisson.Calc!F7</f>
        <v>0.97314540059347177</v>
      </c>
      <c r="F79" s="35">
        <f>Gamma.Poisson.Calc!F13</f>
        <v>0.27981746525617091</v>
      </c>
      <c r="G79" s="35">
        <f>Gamma.Poisson.Calc!$F$16</f>
        <v>0.88461143619751581</v>
      </c>
      <c r="H79" s="35">
        <f>Gamma.Poisson.Calc!$F$17</f>
        <v>0.65897805542207266</v>
      </c>
    </row>
    <row r="80" spans="1:12" x14ac:dyDescent="0.2">
      <c r="B80" s="142">
        <v>35</v>
      </c>
      <c r="C80" s="140">
        <v>6</v>
      </c>
      <c r="D80" s="15">
        <v>0</v>
      </c>
      <c r="E80" s="35">
        <f>Gamma.Poisson.Calc!F8</f>
        <v>1.1427046263345195</v>
      </c>
      <c r="F80" s="35">
        <f>Gamma.Poisson.Calc!F14</f>
        <v>0.42750726744186052</v>
      </c>
      <c r="G80" s="35">
        <f>Gamma.Poisson.Calc!$F$16</f>
        <v>0.88461143619751581</v>
      </c>
      <c r="H80" s="35">
        <f>Gamma.Poisson.Calc!$F$17</f>
        <v>0.65897805542207266</v>
      </c>
    </row>
    <row r="81" spans="2:12" x14ac:dyDescent="0.2">
      <c r="B81" s="142">
        <v>40</v>
      </c>
      <c r="C81" s="140">
        <v>7</v>
      </c>
      <c r="D81" s="15">
        <v>0</v>
      </c>
      <c r="E81" s="35">
        <f>Gamma.Poisson.Calc!F9</f>
        <v>1.0832546724561074</v>
      </c>
      <c r="F81" s="35">
        <f>Gamma.Poisson.Calc!F15</f>
        <v>0.52062448644207071</v>
      </c>
      <c r="G81" s="35">
        <f>Gamma.Poisson.Calc!$F$16</f>
        <v>0.88461143619751581</v>
      </c>
      <c r="H81" s="35">
        <f>Gamma.Poisson.Calc!$F$17</f>
        <v>0.65897805542207266</v>
      </c>
    </row>
    <row r="83" spans="2:12" x14ac:dyDescent="0.2">
      <c r="B83" s="151" t="s">
        <v>107</v>
      </c>
      <c r="C83" s="152"/>
      <c r="D83" s="152"/>
      <c r="E83" s="152"/>
      <c r="F83" s="152"/>
      <c r="G83" s="152"/>
      <c r="H83" s="152"/>
      <c r="I83"/>
      <c r="J83"/>
      <c r="K83"/>
      <c r="L83"/>
    </row>
    <row r="84" spans="2:12" x14ac:dyDescent="0.2">
      <c r="B84" s="24" t="s">
        <v>3</v>
      </c>
      <c r="C84" s="24" t="s">
        <v>15</v>
      </c>
      <c r="D84" s="14" t="s">
        <v>12</v>
      </c>
      <c r="E84" s="14" t="s">
        <v>58</v>
      </c>
      <c r="F84" s="14" t="s">
        <v>59</v>
      </c>
      <c r="G84" s="14" t="s">
        <v>14</v>
      </c>
      <c r="H84" s="14" t="s">
        <v>67</v>
      </c>
      <c r="I84"/>
      <c r="J84"/>
      <c r="K84"/>
      <c r="L84"/>
    </row>
    <row r="85" spans="2:12" x14ac:dyDescent="0.2">
      <c r="B85" s="141" t="s">
        <v>104</v>
      </c>
      <c r="C85" s="15">
        <v>1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/>
      <c r="J85"/>
      <c r="K85"/>
      <c r="L85"/>
    </row>
    <row r="86" spans="2:12" x14ac:dyDescent="0.2">
      <c r="B86" s="142">
        <v>15</v>
      </c>
      <c r="C86" s="15">
        <v>2</v>
      </c>
      <c r="D86" s="15">
        <v>0</v>
      </c>
      <c r="E86" s="35">
        <f>Gamma.Poisson.Calc!E4</f>
        <v>6.6769999999999996</v>
      </c>
      <c r="F86" s="35">
        <f>Gamma.Poisson.Calc!E10</f>
        <v>7.6780000000000008</v>
      </c>
      <c r="G86" s="35">
        <f>Gamma.Poisson.Calc!$E$16</f>
        <v>9.7409999999999997</v>
      </c>
      <c r="H86" s="35">
        <f>Gamma.Poisson.Calc!$E$17</f>
        <v>6.2430000000000003</v>
      </c>
      <c r="I86"/>
      <c r="J86"/>
      <c r="K86"/>
      <c r="L86"/>
    </row>
    <row r="87" spans="2:12" x14ac:dyDescent="0.2">
      <c r="B87" s="142">
        <v>20</v>
      </c>
      <c r="C87" s="15">
        <v>3</v>
      </c>
      <c r="D87" s="15">
        <v>0</v>
      </c>
      <c r="E87" s="35">
        <f>Gamma.Poisson.Calc!E5</f>
        <v>7.593</v>
      </c>
      <c r="F87" s="35">
        <f>Gamma.Poisson.Calc!E11</f>
        <v>13.797000000000001</v>
      </c>
      <c r="G87" s="35">
        <f>Gamma.Poisson.Calc!$E$16</f>
        <v>9.7409999999999997</v>
      </c>
      <c r="H87" s="35">
        <f>Gamma.Poisson.Calc!$E$17</f>
        <v>6.2430000000000003</v>
      </c>
      <c r="I87"/>
      <c r="J87"/>
      <c r="K87"/>
      <c r="L87"/>
    </row>
    <row r="88" spans="2:12" x14ac:dyDescent="0.2">
      <c r="B88" s="142">
        <v>25</v>
      </c>
      <c r="C88" s="140">
        <v>4</v>
      </c>
      <c r="D88" s="15">
        <v>0</v>
      </c>
      <c r="E88" s="35">
        <f>Gamma.Poisson.Calc!E6</f>
        <v>6.585</v>
      </c>
      <c r="F88" s="35">
        <f>Gamma.Poisson.Calc!E12</f>
        <v>12.742000000000001</v>
      </c>
      <c r="G88" s="35">
        <f>Gamma.Poisson.Calc!$E$16</f>
        <v>9.7409999999999997</v>
      </c>
      <c r="H88" s="35">
        <f>Gamma.Poisson.Calc!$E$17</f>
        <v>6.2430000000000003</v>
      </c>
      <c r="I88"/>
      <c r="J88"/>
      <c r="K88"/>
      <c r="L88"/>
    </row>
    <row r="89" spans="2:12" x14ac:dyDescent="0.2">
      <c r="B89" s="142">
        <v>30</v>
      </c>
      <c r="C89" s="140">
        <v>5</v>
      </c>
      <c r="D89" s="15">
        <v>0</v>
      </c>
      <c r="E89" s="35">
        <f>Gamma.Poisson.Calc!E7</f>
        <v>6.74</v>
      </c>
      <c r="F89" s="35">
        <f>Gamma.Poisson.Calc!E13</f>
        <v>9.6419999999999995</v>
      </c>
      <c r="G89" s="35">
        <f>Gamma.Poisson.Calc!$E$16</f>
        <v>9.7409999999999997</v>
      </c>
      <c r="H89" s="35">
        <f>Gamma.Poisson.Calc!$E$17</f>
        <v>6.2430000000000003</v>
      </c>
      <c r="I89"/>
      <c r="J89"/>
      <c r="K89"/>
      <c r="L89"/>
    </row>
    <row r="90" spans="2:12" x14ac:dyDescent="0.2">
      <c r="B90" s="142">
        <v>35</v>
      </c>
      <c r="C90" s="140">
        <v>6</v>
      </c>
      <c r="D90" s="15">
        <v>0</v>
      </c>
      <c r="E90" s="35">
        <f>Gamma.Poisson.Calc!E8</f>
        <v>5.62</v>
      </c>
      <c r="F90" s="35">
        <f>Gamma.Poisson.Calc!E14</f>
        <v>5.5039999999999996</v>
      </c>
      <c r="G90" s="35">
        <f>Gamma.Poisson.Calc!$E$16</f>
        <v>9.7409999999999997</v>
      </c>
      <c r="H90" s="35">
        <f>Gamma.Poisson.Calc!$E$17</f>
        <v>6.2430000000000003</v>
      </c>
      <c r="I90"/>
      <c r="J90"/>
      <c r="K90"/>
      <c r="L90"/>
    </row>
    <row r="91" spans="2:12" x14ac:dyDescent="0.2">
      <c r="B91" s="142">
        <v>40</v>
      </c>
      <c r="C91" s="140">
        <v>7</v>
      </c>
      <c r="D91" s="15">
        <v>0</v>
      </c>
      <c r="E91" s="35">
        <f>Gamma.Poisson.Calc!E9</f>
        <v>5.2969999999999997</v>
      </c>
      <c r="F91" s="35">
        <f>Gamma.Poisson.Calc!E15</f>
        <v>6.085</v>
      </c>
      <c r="G91" s="35">
        <f>Gamma.Poisson.Calc!$E$16</f>
        <v>9.7409999999999997</v>
      </c>
      <c r="H91" s="35">
        <f>Gamma.Poisson.Calc!$E$17</f>
        <v>6.2430000000000003</v>
      </c>
      <c r="I91"/>
      <c r="J91"/>
      <c r="K91"/>
      <c r="L91"/>
    </row>
    <row r="92" spans="2:12" x14ac:dyDescent="0.2">
      <c r="I92"/>
      <c r="J92"/>
      <c r="K92"/>
      <c r="L92"/>
    </row>
    <row r="93" spans="2:12" x14ac:dyDescent="0.2">
      <c r="B93" s="151" t="s">
        <v>105</v>
      </c>
      <c r="C93" s="152"/>
      <c r="D93" s="152"/>
      <c r="E93" s="152"/>
      <c r="F93" s="152"/>
      <c r="G93" s="152"/>
      <c r="H93" s="152"/>
      <c r="I93"/>
      <c r="J93"/>
      <c r="K93"/>
      <c r="L93"/>
    </row>
    <row r="94" spans="2:12" x14ac:dyDescent="0.2">
      <c r="B94" s="24" t="s">
        <v>3</v>
      </c>
      <c r="C94" s="24" t="s">
        <v>15</v>
      </c>
      <c r="D94" s="14" t="s">
        <v>12</v>
      </c>
      <c r="E94" s="14" t="s">
        <v>58</v>
      </c>
      <c r="F94" s="14" t="s">
        <v>59</v>
      </c>
      <c r="G94" s="14" t="s">
        <v>14</v>
      </c>
      <c r="H94" s="14" t="s">
        <v>67</v>
      </c>
      <c r="I94"/>
      <c r="J94"/>
      <c r="K94"/>
      <c r="L94"/>
    </row>
    <row r="95" spans="2:12" x14ac:dyDescent="0.2">
      <c r="B95" s="141" t="s">
        <v>104</v>
      </c>
      <c r="C95" s="15">
        <v>1</v>
      </c>
      <c r="D95" s="15">
        <f>D75*D85</f>
        <v>0</v>
      </c>
      <c r="E95" s="15">
        <f t="shared" ref="E95:H95" si="11">E75*E85</f>
        <v>0</v>
      </c>
      <c r="F95" s="15">
        <f t="shared" si="11"/>
        <v>0</v>
      </c>
      <c r="G95" s="15">
        <f t="shared" si="11"/>
        <v>0</v>
      </c>
      <c r="H95" s="15">
        <f t="shared" si="11"/>
        <v>0</v>
      </c>
      <c r="I95"/>
      <c r="J95"/>
      <c r="K95"/>
      <c r="L95"/>
    </row>
    <row r="96" spans="2:12" x14ac:dyDescent="0.2">
      <c r="B96" s="142">
        <v>15</v>
      </c>
      <c r="C96" s="15">
        <v>2</v>
      </c>
      <c r="D96" s="15">
        <f t="shared" ref="D96:H96" si="12">D76*D86</f>
        <v>0</v>
      </c>
      <c r="E96" s="147">
        <f t="shared" si="12"/>
        <v>4.9160000000000004</v>
      </c>
      <c r="F96" s="147">
        <f t="shared" si="12"/>
        <v>1.0349999999999999</v>
      </c>
      <c r="G96" s="147">
        <f t="shared" si="12"/>
        <v>8.6170000000000009</v>
      </c>
      <c r="H96" s="147">
        <f t="shared" si="12"/>
        <v>4.1139999999999999</v>
      </c>
      <c r="I96" s="147">
        <f>MMULT(D96:H96,F25:F29)</f>
        <v>1.5399333120000003</v>
      </c>
      <c r="J96"/>
      <c r="K96"/>
      <c r="L96"/>
    </row>
    <row r="97" spans="2:12" x14ac:dyDescent="0.2">
      <c r="B97" s="142">
        <v>20</v>
      </c>
      <c r="C97" s="15">
        <v>3</v>
      </c>
      <c r="D97" s="15">
        <f t="shared" ref="D97:H97" si="13">D77*D87</f>
        <v>0</v>
      </c>
      <c r="E97" s="147">
        <f t="shared" si="13"/>
        <v>7.1749999999999998</v>
      </c>
      <c r="F97" s="147">
        <f t="shared" si="13"/>
        <v>3.1320000000000001</v>
      </c>
      <c r="G97" s="147">
        <f t="shared" si="13"/>
        <v>8.6170000000000009</v>
      </c>
      <c r="H97" s="147">
        <f t="shared" si="13"/>
        <v>4.1139999999999999</v>
      </c>
      <c r="I97" s="147">
        <f>MMULT(D97:H97,G25:G29)</f>
        <v>5.2284296550000002</v>
      </c>
      <c r="J97"/>
      <c r="K97"/>
      <c r="L97"/>
    </row>
    <row r="98" spans="2:12" x14ac:dyDescent="0.2">
      <c r="B98" s="142">
        <v>25</v>
      </c>
      <c r="C98" s="140">
        <v>4</v>
      </c>
      <c r="D98" s="15">
        <f t="shared" ref="D98:H98" si="14">D78*D88</f>
        <v>0</v>
      </c>
      <c r="E98" s="147">
        <f t="shared" si="14"/>
        <v>6.7930000000000001</v>
      </c>
      <c r="F98" s="147">
        <f t="shared" si="14"/>
        <v>3.2379999999999995</v>
      </c>
      <c r="G98" s="147">
        <f t="shared" si="14"/>
        <v>8.6170000000000009</v>
      </c>
      <c r="H98" s="147">
        <f t="shared" si="14"/>
        <v>4.1139999999999999</v>
      </c>
      <c r="I98" s="147">
        <f>MMULT(D98:H98,H25:H29)</f>
        <v>5.4643569539999994</v>
      </c>
      <c r="J98"/>
      <c r="K98"/>
      <c r="L98"/>
    </row>
    <row r="99" spans="2:12" x14ac:dyDescent="0.2">
      <c r="B99" s="142">
        <v>30</v>
      </c>
      <c r="C99" s="140">
        <v>5</v>
      </c>
      <c r="D99" s="15">
        <f t="shared" ref="D99:H99" si="15">D79*D89</f>
        <v>0</v>
      </c>
      <c r="E99" s="147">
        <f t="shared" si="15"/>
        <v>6.5590000000000002</v>
      </c>
      <c r="F99" s="147">
        <f t="shared" si="15"/>
        <v>2.6979999999999995</v>
      </c>
      <c r="G99" s="147">
        <f t="shared" si="15"/>
        <v>8.6170000000000009</v>
      </c>
      <c r="H99" s="147">
        <f t="shared" si="15"/>
        <v>4.1139999999999999</v>
      </c>
      <c r="I99" s="147">
        <f>MMULT(D99:H99,I25:I29)</f>
        <v>5.1087860980000004</v>
      </c>
      <c r="J99"/>
      <c r="K99"/>
      <c r="L99"/>
    </row>
    <row r="100" spans="2:12" x14ac:dyDescent="0.2">
      <c r="B100" s="142">
        <v>35</v>
      </c>
      <c r="C100" s="140">
        <v>6</v>
      </c>
      <c r="D100" s="15">
        <f t="shared" ref="D100:H100" si="16">D80*D90</f>
        <v>0</v>
      </c>
      <c r="E100" s="147">
        <f t="shared" si="16"/>
        <v>6.4219999999999997</v>
      </c>
      <c r="F100" s="147">
        <f t="shared" si="16"/>
        <v>2.3530000000000002</v>
      </c>
      <c r="G100" s="147">
        <f t="shared" si="16"/>
        <v>8.6170000000000009</v>
      </c>
      <c r="H100" s="147">
        <f t="shared" si="16"/>
        <v>4.1139999999999999</v>
      </c>
      <c r="I100" s="147">
        <f>MMULT(D100:H100,J25:J29)</f>
        <v>4.6884809479999987</v>
      </c>
      <c r="J100"/>
      <c r="K100"/>
      <c r="L100"/>
    </row>
    <row r="101" spans="2:12" x14ac:dyDescent="0.2">
      <c r="B101" s="142">
        <v>40</v>
      </c>
      <c r="C101" s="140">
        <v>7</v>
      </c>
      <c r="D101" s="15">
        <f t="shared" ref="D101:H101" si="17">D81*D91</f>
        <v>0</v>
      </c>
      <c r="E101" s="147">
        <f t="shared" si="17"/>
        <v>5.7380000000000004</v>
      </c>
      <c r="F101" s="147">
        <f t="shared" si="17"/>
        <v>3.1680000000000001</v>
      </c>
      <c r="G101" s="147">
        <f t="shared" si="17"/>
        <v>8.6170000000000009</v>
      </c>
      <c r="H101" s="147">
        <f t="shared" si="17"/>
        <v>4.1139999999999999</v>
      </c>
      <c r="I101" s="147">
        <f>MMULT(D101:H101,K25:K29)</f>
        <v>4.5338530000000006</v>
      </c>
      <c r="J101"/>
      <c r="K101"/>
      <c r="L101"/>
    </row>
    <row r="102" spans="2:12" x14ac:dyDescent="0.2">
      <c r="H102" s="27" t="s">
        <v>153</v>
      </c>
      <c r="I102" s="147">
        <f>SUMPRODUCT(I96:I101,D6:D11)/4</f>
        <v>1.1046141651696351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in">
                <anchor moveWithCells="1" sizeWithCells="1">
                  <from>
                    <xdr:col>9</xdr:col>
                    <xdr:colOff>292100</xdr:colOff>
                    <xdr:row>4</xdr:row>
                    <xdr:rowOff>165100</xdr:rowOff>
                  </from>
                  <to>
                    <xdr:col>11</xdr:col>
                    <xdr:colOff>368300</xdr:colOff>
                    <xdr:row>7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utcomes" enableFormatConditionsCalculation="0">
    <tabColor theme="5" tint="0.59999389629810485"/>
  </sheetPr>
  <dimension ref="A1:DN113"/>
  <sheetViews>
    <sheetView showGridLines="0" tabSelected="1" workbookViewId="0">
      <selection activeCell="K1" sqref="K1"/>
    </sheetView>
  </sheetViews>
  <sheetFormatPr baseColWidth="10" defaultColWidth="9" defaultRowHeight="15" x14ac:dyDescent="0.2"/>
  <cols>
    <col min="1" max="1" width="9" style="27"/>
    <col min="2" max="8" width="9" style="25"/>
    <col min="9" max="9" width="3.83203125" style="27" customWidth="1"/>
    <col min="10" max="10" width="8.1640625" style="27" customWidth="1"/>
    <col min="11" max="16" width="9" style="27"/>
    <col min="17" max="17" width="10.6640625" style="27" customWidth="1"/>
    <col min="18" max="19" width="10.1640625" style="27" customWidth="1"/>
    <col min="20" max="21" width="9" style="27"/>
    <col min="22" max="22" width="3" style="27" customWidth="1"/>
    <col min="23" max="26" width="9" style="27"/>
    <col min="27" max="28" width="11.1640625" style="27" customWidth="1"/>
    <col min="29" max="29" width="9" style="27"/>
    <col min="30" max="30" width="4.33203125" style="27" customWidth="1"/>
    <col min="31" max="39" width="9" style="27"/>
    <col min="40" max="40" width="4.83203125" style="27" customWidth="1"/>
    <col min="41" max="41" width="9" style="27"/>
    <col min="42" max="42" width="5" style="27" customWidth="1"/>
    <col min="43" max="50" width="9" style="27"/>
    <col min="51" max="51" width="4.33203125" style="27" customWidth="1"/>
    <col min="52" max="60" width="9" style="27"/>
    <col min="61" max="61" width="4.33203125" style="27" customWidth="1"/>
    <col min="62" max="62" width="12.1640625" style="27" customWidth="1"/>
    <col min="63" max="64" width="14.33203125" style="27" customWidth="1"/>
    <col min="65" max="65" width="15" style="27" customWidth="1"/>
    <col min="66" max="66" width="12.6640625" style="27" customWidth="1"/>
    <col min="67" max="67" width="6.83203125" style="27" customWidth="1"/>
    <col min="68" max="72" width="9" style="27"/>
    <col min="73" max="73" width="11.1640625" style="27" customWidth="1"/>
    <col min="74" max="84" width="9" style="27"/>
    <col min="85" max="85" width="4.33203125" style="27" customWidth="1"/>
    <col min="86" max="16384" width="9" style="27"/>
  </cols>
  <sheetData>
    <row r="1" spans="1:118" ht="38.25" customHeight="1" x14ac:dyDescent="0.2">
      <c r="B1" s="111" t="s">
        <v>16</v>
      </c>
      <c r="C1" s="111"/>
      <c r="K1" s="103" t="s">
        <v>52</v>
      </c>
      <c r="L1" s="103"/>
      <c r="M1" s="103"/>
      <c r="N1" s="103"/>
      <c r="O1" s="103"/>
      <c r="P1" s="103"/>
      <c r="Q1" s="103"/>
      <c r="R1" s="103"/>
      <c r="S1" s="103"/>
      <c r="T1" s="103"/>
      <c r="AF1" s="103" t="s">
        <v>91</v>
      </c>
      <c r="AG1" s="103"/>
      <c r="AH1" s="103"/>
      <c r="AI1" s="103"/>
      <c r="AJ1" s="103"/>
      <c r="AO1" s="114"/>
      <c r="AP1" s="123" t="s">
        <v>80</v>
      </c>
      <c r="AQ1" s="123"/>
      <c r="AR1" s="123"/>
      <c r="AS1" s="123"/>
      <c r="AT1" s="123"/>
      <c r="AU1" s="114"/>
      <c r="AV1" s="114"/>
      <c r="AW1" s="114"/>
      <c r="AX1" s="114"/>
      <c r="BA1" s="103" t="s">
        <v>129</v>
      </c>
      <c r="BB1" s="103"/>
      <c r="BC1" s="103"/>
      <c r="BD1" s="103"/>
      <c r="BE1" s="103"/>
      <c r="BP1" s="114"/>
      <c r="BQ1" s="123" t="s">
        <v>127</v>
      </c>
      <c r="BR1" s="123"/>
      <c r="BS1" s="123"/>
      <c r="BT1" s="123"/>
      <c r="BU1" s="123"/>
      <c r="BV1" s="123"/>
      <c r="BW1" s="114"/>
      <c r="BX1" s="114"/>
      <c r="BY1" s="123" t="s">
        <v>102</v>
      </c>
      <c r="BZ1" s="123"/>
      <c r="CA1" s="123"/>
      <c r="CB1" s="123"/>
      <c r="CC1" s="123"/>
      <c r="CD1" s="114"/>
      <c r="CE1" s="114"/>
      <c r="CF1" s="114"/>
      <c r="CI1" s="103" t="s">
        <v>102</v>
      </c>
      <c r="CJ1" s="103"/>
      <c r="CK1" s="103"/>
      <c r="CL1" s="103"/>
      <c r="CM1" s="103"/>
      <c r="CS1" s="222" t="s">
        <v>141</v>
      </c>
      <c r="CT1" s="222"/>
      <c r="CU1" s="222"/>
      <c r="CV1" s="222"/>
      <c r="CW1"/>
      <c r="CX1" s="222" t="s">
        <v>142</v>
      </c>
      <c r="CY1" s="222"/>
      <c r="CZ1" s="222"/>
      <c r="DA1" s="222"/>
      <c r="DE1" s="222" t="s">
        <v>143</v>
      </c>
      <c r="DF1" s="222"/>
      <c r="DG1" s="222"/>
      <c r="DH1" s="222"/>
      <c r="DJ1" s="222" t="s">
        <v>144</v>
      </c>
      <c r="DK1" s="222"/>
      <c r="DL1" s="222"/>
      <c r="DM1" s="222"/>
    </row>
    <row r="2" spans="1:118" ht="51.75" customHeight="1" x14ac:dyDescent="0.2">
      <c r="A2" s="103"/>
      <c r="B2" s="112" t="s">
        <v>49</v>
      </c>
      <c r="C2" s="24" t="s">
        <v>17</v>
      </c>
      <c r="D2" s="24" t="s">
        <v>18</v>
      </c>
      <c r="E2" s="24" t="s">
        <v>19</v>
      </c>
      <c r="F2" s="24" t="s">
        <v>46</v>
      </c>
      <c r="G2" s="24" t="s">
        <v>20</v>
      </c>
      <c r="H2" s="24" t="s">
        <v>21</v>
      </c>
      <c r="K2" s="113" t="s">
        <v>29</v>
      </c>
      <c r="L2" s="113" t="s">
        <v>30</v>
      </c>
      <c r="M2" s="113" t="s">
        <v>31</v>
      </c>
      <c r="N2" s="113" t="s">
        <v>32</v>
      </c>
      <c r="O2" s="113" t="s">
        <v>33</v>
      </c>
      <c r="P2" s="113" t="s">
        <v>34</v>
      </c>
      <c r="Q2" s="113" t="s">
        <v>35</v>
      </c>
      <c r="R2" s="113" t="s">
        <v>36</v>
      </c>
      <c r="S2" s="113" t="s">
        <v>37</v>
      </c>
      <c r="T2" s="113" t="s">
        <v>38</v>
      </c>
      <c r="W2" s="103"/>
      <c r="X2" s="129" t="str">
        <f>BR2</f>
        <v>Sexually Inactive</v>
      </c>
      <c r="Y2" s="129" t="str">
        <f>BS2</f>
        <v>Careful sex</v>
      </c>
      <c r="Z2" s="129" t="str">
        <f>BT2</f>
        <v>Unsafe Sex</v>
      </c>
      <c r="AA2" s="129" t="str">
        <f>BU2</f>
        <v>Seeking Pregnancy</v>
      </c>
      <c r="AB2" s="129" t="str">
        <f>BV2</f>
        <v>Pregnant</v>
      </c>
      <c r="AC2" s="129" t="s">
        <v>125</v>
      </c>
      <c r="AD2" s="117"/>
      <c r="AE2" s="114"/>
      <c r="AF2" s="115" t="str">
        <f t="shared" ref="AF2:AL2" si="0">B2</f>
        <v>10-14</v>
      </c>
      <c r="AG2" s="115" t="str">
        <f t="shared" si="0"/>
        <v>15-19</v>
      </c>
      <c r="AH2" s="115" t="str">
        <f t="shared" si="0"/>
        <v>20-24</v>
      </c>
      <c r="AI2" s="115" t="str">
        <f t="shared" si="0"/>
        <v>25-29</v>
      </c>
      <c r="AJ2" s="115" t="str">
        <f t="shared" si="0"/>
        <v>30-34</v>
      </c>
      <c r="AK2" s="115" t="str">
        <f t="shared" si="0"/>
        <v>35-39</v>
      </c>
      <c r="AL2" s="115" t="str">
        <f t="shared" si="0"/>
        <v>40-44</v>
      </c>
      <c r="AM2" s="51" t="s">
        <v>66</v>
      </c>
      <c r="AO2" s="114"/>
      <c r="AP2" s="115" t="s">
        <v>49</v>
      </c>
      <c r="AQ2" s="179" t="str">
        <f t="shared" ref="AQ2:AV2" si="1">AG2</f>
        <v>15-19</v>
      </c>
      <c r="AR2" s="179" t="str">
        <f t="shared" si="1"/>
        <v>20-24</v>
      </c>
      <c r="AS2" s="179" t="str">
        <f t="shared" si="1"/>
        <v>25-29</v>
      </c>
      <c r="AT2" s="179" t="str">
        <f t="shared" si="1"/>
        <v>30-34</v>
      </c>
      <c r="AU2" s="179" t="str">
        <f t="shared" si="1"/>
        <v>35-39</v>
      </c>
      <c r="AV2" s="179" t="str">
        <f t="shared" si="1"/>
        <v>40-44</v>
      </c>
      <c r="AW2" s="51" t="s">
        <v>66</v>
      </c>
      <c r="AX2" s="116" t="s">
        <v>128</v>
      </c>
      <c r="AY2" s="117"/>
      <c r="AZ2" s="114"/>
      <c r="BA2" s="115" t="s">
        <v>49</v>
      </c>
      <c r="BB2" s="179" t="str">
        <f>AQ2</f>
        <v>15-19</v>
      </c>
      <c r="BC2" s="179" t="str">
        <f t="shared" ref="BC2:BH2" si="2">AR2</f>
        <v>20-24</v>
      </c>
      <c r="BD2" s="179" t="str">
        <f t="shared" si="2"/>
        <v>25-29</v>
      </c>
      <c r="BE2" s="179" t="str">
        <f t="shared" si="2"/>
        <v>30-34</v>
      </c>
      <c r="BF2" s="179" t="str">
        <f t="shared" si="2"/>
        <v>35-39</v>
      </c>
      <c r="BG2" s="179" t="str">
        <f t="shared" si="2"/>
        <v>40-44</v>
      </c>
      <c r="BH2" s="179" t="str">
        <f t="shared" si="2"/>
        <v>Total</v>
      </c>
      <c r="BI2" s="117"/>
      <c r="BJ2" s="117"/>
      <c r="BK2" s="116" t="s">
        <v>131</v>
      </c>
      <c r="BL2" s="116" t="s">
        <v>63</v>
      </c>
      <c r="BM2" s="116" t="s">
        <v>113</v>
      </c>
      <c r="BN2" s="116" t="s">
        <v>132</v>
      </c>
      <c r="BP2" s="114"/>
      <c r="BQ2" s="123"/>
      <c r="BR2" s="218" t="str">
        <f t="array" ref="BR2:BV2">TRANSPOSE(Parameters!B16:B20)</f>
        <v>Sexually Inactive</v>
      </c>
      <c r="BS2" s="218" t="str">
        <v>Careful sex</v>
      </c>
      <c r="BT2" s="218" t="str">
        <v>Unsafe Sex</v>
      </c>
      <c r="BU2" s="218" t="str">
        <v>Seeking Pregnancy</v>
      </c>
      <c r="BV2" s="114" t="str">
        <v>Pregnant</v>
      </c>
      <c r="BW2" s="114"/>
      <c r="BX2" s="114"/>
      <c r="BY2" s="115" t="str">
        <f t="shared" ref="BY2:CE2" si="3">B2</f>
        <v>10-14</v>
      </c>
      <c r="BZ2" s="115" t="str">
        <f t="shared" si="3"/>
        <v>15-19</v>
      </c>
      <c r="CA2" s="115" t="str">
        <f t="shared" si="3"/>
        <v>20-24</v>
      </c>
      <c r="CB2" s="115" t="str">
        <f t="shared" si="3"/>
        <v>25-29</v>
      </c>
      <c r="CC2" s="115" t="str">
        <f t="shared" si="3"/>
        <v>30-34</v>
      </c>
      <c r="CD2" s="115" t="str">
        <f t="shared" si="3"/>
        <v>35-39</v>
      </c>
      <c r="CE2" s="115" t="str">
        <f t="shared" si="3"/>
        <v>40-44</v>
      </c>
      <c r="CF2" s="115" t="s">
        <v>66</v>
      </c>
      <c r="CG2" s="117"/>
      <c r="CH2" s="114"/>
      <c r="CI2" s="115" t="str">
        <f t="shared" ref="CI2:CO2" si="4">B2</f>
        <v>10-14</v>
      </c>
      <c r="CJ2" s="115" t="str">
        <f t="shared" si="4"/>
        <v>15-19</v>
      </c>
      <c r="CK2" s="115" t="str">
        <f t="shared" si="4"/>
        <v>20-24</v>
      </c>
      <c r="CL2" s="115" t="str">
        <f t="shared" si="4"/>
        <v>25-29</v>
      </c>
      <c r="CM2" s="115" t="str">
        <f t="shared" si="4"/>
        <v>30-34</v>
      </c>
      <c r="CN2" s="115" t="str">
        <f t="shared" si="4"/>
        <v>35-39</v>
      </c>
      <c r="CO2" s="115" t="str">
        <f t="shared" si="4"/>
        <v>40-44</v>
      </c>
      <c r="CP2" s="51" t="s">
        <v>66</v>
      </c>
      <c r="CR2" s="114"/>
      <c r="CS2" s="127">
        <v>2.5000000000000001E-2</v>
      </c>
      <c r="CT2" s="127">
        <v>0.05</v>
      </c>
      <c r="CU2" s="127">
        <v>0.1</v>
      </c>
      <c r="CV2" s="127">
        <v>0.12</v>
      </c>
      <c r="CW2"/>
      <c r="CX2" s="114"/>
      <c r="CY2" s="127">
        <v>2.5000000000000001E-2</v>
      </c>
      <c r="CZ2" s="127">
        <v>0.05</v>
      </c>
      <c r="DA2" s="127">
        <v>0.1</v>
      </c>
      <c r="DB2" s="127">
        <v>0.12</v>
      </c>
      <c r="DD2" s="114"/>
      <c r="DE2" s="127">
        <v>-2.5000000000000001E-2</v>
      </c>
      <c r="DF2" s="127">
        <v>-0.05</v>
      </c>
      <c r="DG2" s="127">
        <v>-0.1</v>
      </c>
      <c r="DH2" s="127">
        <v>-0.12</v>
      </c>
      <c r="DJ2" s="114"/>
      <c r="DK2" s="127">
        <v>-2.5000000000000001E-2</v>
      </c>
      <c r="DL2" s="127">
        <v>-0.05</v>
      </c>
      <c r="DM2" s="127">
        <v>-0.1</v>
      </c>
      <c r="DN2" s="127">
        <v>-0.12</v>
      </c>
    </row>
    <row r="3" spans="1:118" x14ac:dyDescent="0.2">
      <c r="A3" s="27" t="s">
        <v>41</v>
      </c>
      <c r="B3" s="118">
        <v>0</v>
      </c>
      <c r="C3" s="118">
        <v>24</v>
      </c>
      <c r="D3" s="118">
        <v>90</v>
      </c>
      <c r="E3" s="118">
        <v>108.3</v>
      </c>
      <c r="F3" s="118">
        <v>96.5</v>
      </c>
      <c r="G3" s="118">
        <v>45.9</v>
      </c>
      <c r="H3" s="118">
        <v>10.199999999999999</v>
      </c>
      <c r="J3" s="27" t="s">
        <v>41</v>
      </c>
      <c r="K3" s="119">
        <v>0.05</v>
      </c>
      <c r="L3" s="119">
        <v>6</v>
      </c>
      <c r="M3" s="119">
        <v>9</v>
      </c>
      <c r="N3" s="119">
        <v>9</v>
      </c>
      <c r="O3" s="119">
        <v>0.5</v>
      </c>
      <c r="P3" s="119">
        <v>18</v>
      </c>
      <c r="Q3" s="119">
        <v>0.5</v>
      </c>
      <c r="R3" s="119">
        <v>0.15</v>
      </c>
      <c r="S3" s="119">
        <v>22</v>
      </c>
      <c r="T3" s="27">
        <f>18.67</f>
        <v>18.670000000000002</v>
      </c>
      <c r="W3" s="27" t="s">
        <v>41</v>
      </c>
      <c r="X3" s="168">
        <f t="array" ref="X3:AC3">TRANSPOSE(Support!D59:D64)</f>
        <v>0.20968590980873839</v>
      </c>
      <c r="Y3" s="168">
        <v>0.38340059659589404</v>
      </c>
      <c r="Z3" s="168">
        <v>0.12247762765397438</v>
      </c>
      <c r="AA3" s="168">
        <v>4.2112651342340761E-2</v>
      </c>
      <c r="AB3" s="168">
        <v>4.2463590103526933E-2</v>
      </c>
      <c r="AC3" s="170">
        <v>0.19652570626425689</v>
      </c>
      <c r="AD3" s="75"/>
      <c r="AE3" s="114" t="s">
        <v>41</v>
      </c>
      <c r="AF3" s="114">
        <v>0</v>
      </c>
      <c r="AG3" s="122">
        <f t="array" ref="AG3:AM3">TRANSPOSE(Support!C4:C10)</f>
        <v>2.7805362462760674E-2</v>
      </c>
      <c r="AH3" s="134">
        <v>6.5263157894736842E-2</v>
      </c>
      <c r="AI3" s="134">
        <v>7.0057581573896355E-2</v>
      </c>
      <c r="AJ3" s="134">
        <v>5.33462657613967E-2</v>
      </c>
      <c r="AK3" s="134">
        <v>2.2909507445589918E-2</v>
      </c>
      <c r="AL3" s="134">
        <v>5.1413881748071976E-3</v>
      </c>
      <c r="AM3" s="134">
        <v>4.2598134131314906E-2</v>
      </c>
      <c r="AO3" s="114" t="s">
        <v>41</v>
      </c>
      <c r="AP3" s="114" t="s">
        <v>61</v>
      </c>
      <c r="AQ3" s="122">
        <f t="array" ref="AQ3:AW3">TRANSPOSE(Support!C47:C53)</f>
        <v>1.5495867768595042E-2</v>
      </c>
      <c r="AR3" s="134">
        <v>5.2508751458576426E-2</v>
      </c>
      <c r="AS3" s="134">
        <v>8.0890973036342323E-2</v>
      </c>
      <c r="AT3" s="134">
        <v>0.11869031377899045</v>
      </c>
      <c r="AU3" s="134">
        <v>0.10242085661080075</v>
      </c>
      <c r="AV3" s="134">
        <v>0.12972972972972974</v>
      </c>
      <c r="AW3" s="134">
        <v>7.387679481241316E-2</v>
      </c>
      <c r="AX3" s="134"/>
      <c r="AY3" s="75"/>
      <c r="AZ3" s="114" t="s">
        <v>41</v>
      </c>
      <c r="BA3" s="114" t="s">
        <v>61</v>
      </c>
      <c r="BB3" s="122"/>
      <c r="BC3" s="134"/>
      <c r="BD3" s="134"/>
      <c r="BE3" s="134"/>
      <c r="BF3" s="134"/>
      <c r="BG3" s="134"/>
      <c r="BH3" s="134"/>
      <c r="BI3" s="75"/>
      <c r="BJ3" s="114" t="s">
        <v>41</v>
      </c>
      <c r="BQ3" s="27" t="s">
        <v>41</v>
      </c>
      <c r="BR3" s="168">
        <f t="array" ref="BR3:BU3">TRANSPOSE(Support!C27:C30)</f>
        <v>0.38565400843881859</v>
      </c>
      <c r="BS3" s="168">
        <v>0.69142066420664205</v>
      </c>
      <c r="BT3" s="168">
        <v>0.59506531204644408</v>
      </c>
      <c r="BU3" s="168">
        <v>0.6333333333333333</v>
      </c>
      <c r="BV3" s="169"/>
      <c r="BX3" s="114" t="s">
        <v>41</v>
      </c>
      <c r="BY3" s="114"/>
      <c r="BZ3" s="122">
        <f t="array" ref="BZ3:CF3">TRANSPOSE(Support!C36:C42)</f>
        <v>0.34583333333333333</v>
      </c>
      <c r="CA3" s="134">
        <v>0.68632075471698117</v>
      </c>
      <c r="CB3" s="134">
        <v>0.67178276269185355</v>
      </c>
      <c r="CC3" s="134">
        <v>0.66208791208791207</v>
      </c>
      <c r="CD3" s="134">
        <v>0.61090225563909772</v>
      </c>
      <c r="CE3" s="134">
        <v>0.62125340599455037</v>
      </c>
      <c r="CF3" s="134">
        <v>0.58804297057449795</v>
      </c>
      <c r="CG3" s="75"/>
      <c r="CH3" s="114" t="s">
        <v>41</v>
      </c>
      <c r="CI3" s="114"/>
      <c r="CJ3" s="122">
        <f t="array" ref="CJ3:CP3">TRANSPOSE(Support!C16:C22)</f>
        <v>3.8580246913580245E-2</v>
      </c>
      <c r="CK3" s="134">
        <v>0.25752508361204013</v>
      </c>
      <c r="CL3" s="134">
        <v>0.37</v>
      </c>
      <c r="CM3" s="134">
        <v>0.45787545787545786</v>
      </c>
      <c r="CN3" s="134">
        <v>0.39366515837104071</v>
      </c>
      <c r="CO3" s="134">
        <v>0.40883977900552487</v>
      </c>
      <c r="CP3" s="134">
        <v>0.25962539021852238</v>
      </c>
      <c r="CR3" s="114" t="s">
        <v>41</v>
      </c>
      <c r="CS3" s="114"/>
      <c r="CT3" s="122"/>
      <c r="CU3" s="134"/>
      <c r="CV3" s="134"/>
      <c r="CW3"/>
      <c r="CX3" s="114" t="s">
        <v>41</v>
      </c>
      <c r="CY3" s="114"/>
      <c r="CZ3" s="122"/>
      <c r="DA3" s="134"/>
      <c r="DB3" s="134"/>
      <c r="DD3" s="114" t="s">
        <v>41</v>
      </c>
      <c r="DE3" s="114"/>
      <c r="DF3" s="122"/>
      <c r="DG3" s="134"/>
      <c r="DH3" s="134"/>
      <c r="DJ3" s="114" t="s">
        <v>41</v>
      </c>
      <c r="DK3" s="114"/>
      <c r="DL3" s="122"/>
      <c r="DM3" s="134"/>
      <c r="DN3" s="134"/>
    </row>
    <row r="4" spans="1:118" x14ac:dyDescent="0.2">
      <c r="A4" s="27" t="s">
        <v>89</v>
      </c>
      <c r="B4" s="118"/>
      <c r="C4" s="118"/>
      <c r="D4" s="118"/>
      <c r="E4" s="118"/>
      <c r="F4" s="118"/>
      <c r="G4" s="118"/>
      <c r="H4" s="118"/>
      <c r="J4" s="27" t="s">
        <v>89</v>
      </c>
      <c r="K4" s="119"/>
      <c r="L4" s="119"/>
      <c r="M4" s="119"/>
      <c r="N4" s="119"/>
      <c r="O4" s="119"/>
      <c r="P4" s="119"/>
      <c r="Q4" s="119"/>
      <c r="R4" s="119"/>
      <c r="S4" s="119"/>
      <c r="W4" s="27" t="s">
        <v>89</v>
      </c>
      <c r="X4" s="168"/>
      <c r="Y4" s="168"/>
      <c r="Z4" s="168"/>
      <c r="AA4" s="168"/>
      <c r="AB4" s="168"/>
      <c r="AC4" s="170"/>
      <c r="AD4" s="75"/>
      <c r="AE4" s="27" t="s">
        <v>89</v>
      </c>
      <c r="AF4" s="114">
        <v>0</v>
      </c>
      <c r="AG4" s="122">
        <f t="array" ref="AG4:AM5">TRANSPOSE(Support!H4:I10)</f>
        <v>1.765049529879963E-2</v>
      </c>
      <c r="AH4" s="134">
        <v>4.9557178956545087E-2</v>
      </c>
      <c r="AI4" s="134">
        <v>5.4559789454476926E-2</v>
      </c>
      <c r="AJ4" s="134">
        <v>3.9629038096783004E-2</v>
      </c>
      <c r="AK4" s="134">
        <v>1.2984833704640705E-2</v>
      </c>
      <c r="AL4" s="134">
        <v>1.1588939889002701E-4</v>
      </c>
      <c r="AM4" s="134">
        <v>3.7346697617918929E-2</v>
      </c>
      <c r="AO4" s="27" t="s">
        <v>89</v>
      </c>
      <c r="AP4" s="114"/>
      <c r="AQ4" s="122">
        <f t="array" ref="AQ4:AW5">TRANSPOSE(Support!H47:I53)</f>
        <v>7.7150161224530823E-3</v>
      </c>
      <c r="AR4" s="134">
        <v>3.7575267848299267E-2</v>
      </c>
      <c r="AS4" s="134">
        <v>6.2592825667315735E-2</v>
      </c>
      <c r="AT4" s="134">
        <v>9.5276723493427959E-2</v>
      </c>
      <c r="AU4" s="134">
        <v>7.6776516605667477E-2</v>
      </c>
      <c r="AV4" s="134">
        <v>9.5492859283070455E-2</v>
      </c>
      <c r="AW4" s="134">
        <v>6.6074988261070583E-2</v>
      </c>
      <c r="AX4" s="134"/>
      <c r="AY4" s="75"/>
      <c r="AZ4" s="27" t="s">
        <v>89</v>
      </c>
      <c r="BA4" s="114"/>
      <c r="BB4" s="122"/>
      <c r="BC4" s="134"/>
      <c r="BD4" s="134"/>
      <c r="BE4" s="134"/>
      <c r="BF4" s="134"/>
      <c r="BG4" s="134"/>
      <c r="BH4" s="134"/>
      <c r="BI4" s="75"/>
      <c r="BJ4" s="27" t="s">
        <v>89</v>
      </c>
      <c r="BQ4" s="27" t="s">
        <v>89</v>
      </c>
      <c r="BR4" s="168">
        <f t="array" ref="BR4:BU5">TRANSPOSE(Support!H27:I30)</f>
        <v>0.3579403184088592</v>
      </c>
      <c r="BS4" s="168">
        <v>0.67197722665676785</v>
      </c>
      <c r="BT4" s="168">
        <v>0.55841199460483781</v>
      </c>
      <c r="BU4" s="168">
        <v>0.57236639885526475</v>
      </c>
      <c r="BV4" s="169"/>
      <c r="BX4" s="27" t="s">
        <v>89</v>
      </c>
      <c r="BY4" s="114"/>
      <c r="BZ4" s="122">
        <f t="array" ref="BZ4:CF5">TRANSPOSE(Support!H36:I42)</f>
        <v>0.31574555608442667</v>
      </c>
      <c r="CA4" s="134">
        <v>0.65509185929958613</v>
      </c>
      <c r="CB4" s="134">
        <v>0.64015987638233274</v>
      </c>
      <c r="CC4" s="134">
        <v>0.62772878714345481</v>
      </c>
      <c r="CD4" s="134">
        <v>0.56947296514178947</v>
      </c>
      <c r="CE4" s="134">
        <v>0.5716257437019584</v>
      </c>
      <c r="CF4" s="134">
        <v>0.57330100984838606</v>
      </c>
      <c r="CG4" s="75"/>
      <c r="CH4" s="27" t="s">
        <v>89</v>
      </c>
      <c r="CI4" s="114"/>
      <c r="CJ4" s="122">
        <f t="array" ref="CJ4:CP5">TRANSPOSE(Support!H16:I22)</f>
        <v>2.3751665365335621E-2</v>
      </c>
      <c r="CK4" s="134">
        <v>0.20796144766602626</v>
      </c>
      <c r="CL4" s="134">
        <v>0.3153665532509678</v>
      </c>
      <c r="CM4" s="134">
        <v>0.39877511715323688</v>
      </c>
      <c r="CN4" s="134">
        <v>0.32925242840558355</v>
      </c>
      <c r="CO4" s="134">
        <v>0.33721917530474493</v>
      </c>
      <c r="CP4" s="134">
        <v>0.24002472825242951</v>
      </c>
      <c r="CR4" s="27" t="s">
        <v>89</v>
      </c>
      <c r="CS4" s="114"/>
      <c r="CT4" s="122"/>
      <c r="CU4" s="134"/>
      <c r="CV4" s="134"/>
      <c r="CW4"/>
      <c r="CX4" s="27" t="s">
        <v>89</v>
      </c>
      <c r="CY4" s="114"/>
      <c r="CZ4" s="122"/>
      <c r="DA4" s="134"/>
      <c r="DB4" s="134"/>
      <c r="DD4" s="27" t="s">
        <v>89</v>
      </c>
      <c r="DE4" s="114"/>
      <c r="DF4" s="122"/>
      <c r="DG4" s="134"/>
      <c r="DH4" s="134"/>
      <c r="DJ4" s="27" t="s">
        <v>89</v>
      </c>
      <c r="DK4" s="114"/>
      <c r="DL4" s="122"/>
      <c r="DM4" s="134"/>
      <c r="DN4" s="134"/>
    </row>
    <row r="5" spans="1:118" x14ac:dyDescent="0.2">
      <c r="A5" s="27" t="s">
        <v>90</v>
      </c>
      <c r="B5" s="118"/>
      <c r="C5" s="118"/>
      <c r="D5" s="118"/>
      <c r="E5" s="118"/>
      <c r="F5" s="118"/>
      <c r="G5" s="118"/>
      <c r="H5" s="118"/>
      <c r="J5" s="27" t="s">
        <v>90</v>
      </c>
      <c r="K5" s="119"/>
      <c r="L5" s="119"/>
      <c r="M5" s="119"/>
      <c r="N5" s="119"/>
      <c r="O5" s="119"/>
      <c r="P5" s="119"/>
      <c r="Q5" s="119"/>
      <c r="R5" s="119"/>
      <c r="S5" s="119"/>
      <c r="W5" s="27" t="s">
        <v>90</v>
      </c>
      <c r="X5" s="168"/>
      <c r="Y5" s="168"/>
      <c r="Z5" s="168"/>
      <c r="AA5" s="168"/>
      <c r="AB5" s="168"/>
      <c r="AC5" s="170"/>
      <c r="AD5" s="75"/>
      <c r="AE5" s="27" t="s">
        <v>90</v>
      </c>
      <c r="AF5" s="114">
        <v>0</v>
      </c>
      <c r="AG5" s="122">
        <v>3.7960229626721714E-2</v>
      </c>
      <c r="AH5" s="134">
        <v>8.0969136832928598E-2</v>
      </c>
      <c r="AI5" s="134">
        <v>8.5555373693315784E-2</v>
      </c>
      <c r="AJ5" s="134">
        <v>6.7063493426010395E-2</v>
      </c>
      <c r="AK5" s="134">
        <v>3.2834181186539135E-2</v>
      </c>
      <c r="AL5" s="134">
        <v>1.0166886950724367E-2</v>
      </c>
      <c r="AM5" s="134">
        <v>4.7849570644710883E-2</v>
      </c>
      <c r="AO5" s="27" t="s">
        <v>90</v>
      </c>
      <c r="AP5" s="114"/>
      <c r="AQ5" s="122">
        <v>2.3276719414737003E-2</v>
      </c>
      <c r="AR5" s="134">
        <v>6.7442235068853579E-2</v>
      </c>
      <c r="AS5" s="134">
        <v>9.9189120405368911E-2</v>
      </c>
      <c r="AT5" s="134">
        <v>0.14210390406455295</v>
      </c>
      <c r="AU5" s="134">
        <v>0.12806519661593402</v>
      </c>
      <c r="AV5" s="134">
        <v>0.16396660017638903</v>
      </c>
      <c r="AW5" s="134">
        <v>8.1678601363755737E-2</v>
      </c>
      <c r="AX5" s="134"/>
      <c r="AY5" s="75"/>
      <c r="AZ5" s="27" t="s">
        <v>90</v>
      </c>
      <c r="BA5" s="114"/>
      <c r="BB5" s="122"/>
      <c r="BC5" s="134"/>
      <c r="BD5" s="134"/>
      <c r="BE5" s="134"/>
      <c r="BF5" s="134"/>
      <c r="BG5" s="134"/>
      <c r="BH5" s="134"/>
      <c r="BI5" s="75"/>
      <c r="BJ5" s="27" t="s">
        <v>90</v>
      </c>
      <c r="BQ5" s="27" t="s">
        <v>90</v>
      </c>
      <c r="BR5" s="168">
        <v>0.41336769846877797</v>
      </c>
      <c r="BS5" s="168">
        <v>0.71086410175651626</v>
      </c>
      <c r="BT5" s="168">
        <v>0.63171862948805035</v>
      </c>
      <c r="BU5" s="168">
        <v>0.69430026781140186</v>
      </c>
      <c r="BV5" s="169"/>
      <c r="BX5" s="27" t="s">
        <v>90</v>
      </c>
      <c r="BY5" s="114"/>
      <c r="BZ5" s="122">
        <v>0.37592111058223998</v>
      </c>
      <c r="CA5" s="134">
        <v>0.71754965013437622</v>
      </c>
      <c r="CB5" s="134">
        <v>0.70340564900137437</v>
      </c>
      <c r="CC5" s="134">
        <v>0.69644703703236932</v>
      </c>
      <c r="CD5" s="134">
        <v>0.65233154613640598</v>
      </c>
      <c r="CE5" s="134">
        <v>0.67088106828714233</v>
      </c>
      <c r="CF5" s="134">
        <v>0.60278493130060984</v>
      </c>
      <c r="CG5" s="75"/>
      <c r="CH5" s="27" t="s">
        <v>90</v>
      </c>
      <c r="CI5" s="114"/>
      <c r="CJ5" s="122">
        <v>5.3408828461824868E-2</v>
      </c>
      <c r="CK5" s="134">
        <v>0.307088719558054</v>
      </c>
      <c r="CL5" s="134">
        <v>0.4246334467490322</v>
      </c>
      <c r="CM5" s="134">
        <v>0.51697579859767884</v>
      </c>
      <c r="CN5" s="134">
        <v>0.45807788833649787</v>
      </c>
      <c r="CO5" s="134">
        <v>0.48046038270630481</v>
      </c>
      <c r="CP5" s="134">
        <v>0.27922605218461527</v>
      </c>
      <c r="CR5" s="27" t="s">
        <v>90</v>
      </c>
      <c r="CS5" s="114"/>
      <c r="CT5" s="122"/>
      <c r="CU5" s="134"/>
      <c r="CV5" s="134"/>
      <c r="CW5"/>
      <c r="CX5" s="27" t="s">
        <v>90</v>
      </c>
      <c r="CY5" s="114"/>
      <c r="CZ5" s="122"/>
      <c r="DA5" s="134"/>
      <c r="DB5" s="134"/>
      <c r="DD5" s="27" t="s">
        <v>90</v>
      </c>
      <c r="DE5" s="114"/>
      <c r="DF5" s="122"/>
      <c r="DG5" s="134"/>
      <c r="DH5" s="134"/>
      <c r="DJ5" s="27" t="s">
        <v>90</v>
      </c>
      <c r="DK5" s="114"/>
      <c r="DL5" s="122"/>
      <c r="DM5" s="134"/>
      <c r="DN5" s="134"/>
    </row>
    <row r="6" spans="1:118" x14ac:dyDescent="0.2">
      <c r="A6" s="27" t="s">
        <v>119</v>
      </c>
      <c r="B6" s="118"/>
      <c r="C6" s="118"/>
      <c r="D6" s="118"/>
      <c r="E6" s="118"/>
      <c r="F6" s="118"/>
      <c r="G6" s="118"/>
      <c r="H6" s="118"/>
      <c r="J6" s="27" t="s">
        <v>119</v>
      </c>
      <c r="K6" s="119"/>
      <c r="L6" s="119"/>
      <c r="M6" s="119"/>
      <c r="N6" s="119"/>
      <c r="O6" s="119"/>
      <c r="P6" s="119"/>
      <c r="Q6" s="119"/>
      <c r="R6" s="119"/>
      <c r="S6" s="119"/>
      <c r="W6" s="27" t="s">
        <v>119</v>
      </c>
      <c r="X6" s="168"/>
      <c r="Y6" s="168"/>
      <c r="Z6" s="168"/>
      <c r="AA6" s="168"/>
      <c r="AB6" s="168"/>
      <c r="AC6" s="168"/>
      <c r="AD6" s="75"/>
      <c r="AE6" s="27" t="s">
        <v>119</v>
      </c>
      <c r="AF6" s="130"/>
      <c r="AG6" s="122">
        <f t="shared" ref="AG6:AL6" si="5">AG3-AG4</f>
        <v>1.0154867163961044E-2</v>
      </c>
      <c r="AH6" s="134">
        <f t="shared" si="5"/>
        <v>1.5705978938191756E-2</v>
      </c>
      <c r="AI6" s="134">
        <f t="shared" si="5"/>
        <v>1.5497792119419429E-2</v>
      </c>
      <c r="AJ6" s="134">
        <f t="shared" si="5"/>
        <v>1.3717227664613696E-2</v>
      </c>
      <c r="AK6" s="134">
        <f t="shared" si="5"/>
        <v>9.9246737409492136E-3</v>
      </c>
      <c r="AL6" s="134">
        <f t="shared" si="5"/>
        <v>5.0254987759171706E-3</v>
      </c>
      <c r="AM6" s="134">
        <f t="shared" ref="AM6" si="6">AM3-AM4</f>
        <v>5.2514365133959767E-3</v>
      </c>
      <c r="AO6" s="27" t="s">
        <v>119</v>
      </c>
      <c r="AP6" s="130"/>
      <c r="AQ6" s="122">
        <f t="shared" ref="AQ6:AW6" si="7">AQ3-AQ4</f>
        <v>7.7808516461419595E-3</v>
      </c>
      <c r="AR6" s="134">
        <f t="shared" si="7"/>
        <v>1.493348361027716E-2</v>
      </c>
      <c r="AS6" s="134">
        <f t="shared" si="7"/>
        <v>1.8298147369026588E-2</v>
      </c>
      <c r="AT6" s="134">
        <f t="shared" si="7"/>
        <v>2.3413590285562488E-2</v>
      </c>
      <c r="AU6" s="134">
        <f t="shared" si="7"/>
        <v>2.564434000513327E-2</v>
      </c>
      <c r="AV6" s="134">
        <f t="shared" si="7"/>
        <v>3.4236870446659282E-2</v>
      </c>
      <c r="AW6" s="134">
        <f t="shared" si="7"/>
        <v>7.8018065513425772E-3</v>
      </c>
      <c r="AX6" s="134"/>
      <c r="AY6" s="75"/>
      <c r="AZ6" s="27" t="s">
        <v>119</v>
      </c>
      <c r="BA6" s="130"/>
      <c r="BB6" s="122"/>
      <c r="BC6" s="134"/>
      <c r="BD6" s="134"/>
      <c r="BE6" s="134"/>
      <c r="BF6" s="134"/>
      <c r="BG6" s="134"/>
      <c r="BH6" s="134"/>
      <c r="BI6" s="75"/>
      <c r="BJ6" s="27" t="s">
        <v>119</v>
      </c>
      <c r="BQ6" s="27" t="s">
        <v>119</v>
      </c>
      <c r="BR6" s="168">
        <f>BR3-BR4</f>
        <v>2.7713690029959381E-2</v>
      </c>
      <c r="BS6" s="168">
        <f t="shared" ref="BS6:BV6" si="8">BS3-BS4</f>
        <v>1.944343754987421E-2</v>
      </c>
      <c r="BT6" s="168">
        <f t="shared" si="8"/>
        <v>3.665331744160627E-2</v>
      </c>
      <c r="BU6" s="168">
        <f t="shared" si="8"/>
        <v>6.0966934478068557E-2</v>
      </c>
      <c r="BV6" s="168">
        <f t="shared" si="8"/>
        <v>0</v>
      </c>
      <c r="BX6" s="27" t="s">
        <v>119</v>
      </c>
      <c r="BY6" s="130"/>
      <c r="BZ6" s="122">
        <f t="shared" ref="BZ6:CB6" si="9">BZ3-BZ4</f>
        <v>3.0087777248906655E-2</v>
      </c>
      <c r="CA6" s="134">
        <f t="shared" si="9"/>
        <v>3.1228895417395042E-2</v>
      </c>
      <c r="CB6" s="134">
        <f t="shared" si="9"/>
        <v>3.1622886309520815E-2</v>
      </c>
      <c r="CC6" s="134">
        <f t="shared" ref="CC6:CE6" si="10">CC3-CC4</f>
        <v>3.4359124944457253E-2</v>
      </c>
      <c r="CD6" s="134">
        <f t="shared" si="10"/>
        <v>4.1429290497308258E-2</v>
      </c>
      <c r="CE6" s="134">
        <f t="shared" si="10"/>
        <v>4.9627662292591967E-2</v>
      </c>
      <c r="CF6" s="134"/>
      <c r="CG6" s="75"/>
      <c r="CH6" s="27" t="s">
        <v>119</v>
      </c>
      <c r="CI6" s="130"/>
      <c r="CJ6" s="122">
        <f t="shared" ref="CJ6:CO6" si="11">CJ3-CJ4</f>
        <v>1.4828581548244624E-2</v>
      </c>
      <c r="CK6" s="134">
        <f t="shared" si="11"/>
        <v>4.9563635946013873E-2</v>
      </c>
      <c r="CL6" s="134">
        <f t="shared" si="11"/>
        <v>5.46334467490322E-2</v>
      </c>
      <c r="CM6" s="134">
        <f t="shared" si="11"/>
        <v>5.9100340722220979E-2</v>
      </c>
      <c r="CN6" s="134">
        <f t="shared" si="11"/>
        <v>6.4412729965457161E-2</v>
      </c>
      <c r="CO6" s="134">
        <f t="shared" si="11"/>
        <v>7.1620603700779939E-2</v>
      </c>
      <c r="CP6" s="134"/>
      <c r="CR6" s="27" t="s">
        <v>119</v>
      </c>
      <c r="CS6" s="130"/>
      <c r="CT6" s="122"/>
      <c r="CU6" s="134"/>
      <c r="CV6" s="134"/>
      <c r="CW6"/>
      <c r="CX6" s="27" t="s">
        <v>119</v>
      </c>
      <c r="CY6" s="130"/>
      <c r="CZ6" s="122"/>
      <c r="DA6" s="134"/>
      <c r="DB6" s="134"/>
      <c r="DD6" s="27" t="s">
        <v>119</v>
      </c>
      <c r="DE6" s="130"/>
      <c r="DF6" s="122"/>
      <c r="DG6" s="134"/>
      <c r="DH6" s="134"/>
      <c r="DJ6" s="27" t="s">
        <v>119</v>
      </c>
      <c r="DK6" s="130"/>
      <c r="DL6" s="122"/>
      <c r="DM6" s="134"/>
      <c r="DN6" s="134"/>
    </row>
    <row r="7" spans="1:118" x14ac:dyDescent="0.2">
      <c r="A7" s="27" t="s">
        <v>120</v>
      </c>
      <c r="B7" s="118"/>
      <c r="C7" s="118"/>
      <c r="D7" s="118"/>
      <c r="E7" s="118"/>
      <c r="F7" s="118"/>
      <c r="G7" s="118"/>
      <c r="H7" s="118"/>
      <c r="J7" s="27" t="s">
        <v>120</v>
      </c>
      <c r="K7" s="119"/>
      <c r="L7" s="119"/>
      <c r="M7" s="119"/>
      <c r="N7" s="119"/>
      <c r="O7" s="119"/>
      <c r="P7" s="119"/>
      <c r="Q7" s="119"/>
      <c r="R7" s="119"/>
      <c r="S7" s="119"/>
      <c r="W7" s="27" t="s">
        <v>120</v>
      </c>
      <c r="X7" s="168"/>
      <c r="Y7" s="168"/>
      <c r="Z7" s="168"/>
      <c r="AA7" s="168"/>
      <c r="AB7" s="168"/>
      <c r="AC7" s="168"/>
      <c r="AD7" s="75"/>
      <c r="AE7" s="27" t="s">
        <v>120</v>
      </c>
      <c r="AF7" s="130"/>
      <c r="AG7" s="122">
        <f t="shared" ref="AG7:AL7" si="12">AG5-AG3</f>
        <v>1.0154867163961041E-2</v>
      </c>
      <c r="AH7" s="134">
        <f t="shared" si="12"/>
        <v>1.5705978938191756E-2</v>
      </c>
      <c r="AI7" s="134">
        <f t="shared" si="12"/>
        <v>1.5497792119419429E-2</v>
      </c>
      <c r="AJ7" s="134">
        <f t="shared" si="12"/>
        <v>1.3717227664613696E-2</v>
      </c>
      <c r="AK7" s="134">
        <f t="shared" si="12"/>
        <v>9.9246737409492171E-3</v>
      </c>
      <c r="AL7" s="134">
        <f t="shared" si="12"/>
        <v>5.0254987759171697E-3</v>
      </c>
      <c r="AM7" s="134">
        <f t="shared" ref="AM7" si="13">AM5-AM3</f>
        <v>5.2514365133959767E-3</v>
      </c>
      <c r="AO7" s="27" t="s">
        <v>120</v>
      </c>
      <c r="AP7" s="130"/>
      <c r="AQ7" s="122">
        <f t="shared" ref="AQ7:AW7" si="14">AQ5-AQ3</f>
        <v>7.7808516461419612E-3</v>
      </c>
      <c r="AR7" s="134">
        <f t="shared" si="14"/>
        <v>1.4933483610277153E-2</v>
      </c>
      <c r="AS7" s="134">
        <f t="shared" si="14"/>
        <v>1.8298147369026588E-2</v>
      </c>
      <c r="AT7" s="134">
        <f t="shared" si="14"/>
        <v>2.3413590285562502E-2</v>
      </c>
      <c r="AU7" s="134">
        <f t="shared" si="14"/>
        <v>2.564434000513327E-2</v>
      </c>
      <c r="AV7" s="134">
        <f t="shared" si="14"/>
        <v>3.4236870446659295E-2</v>
      </c>
      <c r="AW7" s="134">
        <f t="shared" si="14"/>
        <v>7.8018065513425772E-3</v>
      </c>
      <c r="AX7" s="134"/>
      <c r="AY7" s="75"/>
      <c r="AZ7" s="27" t="s">
        <v>120</v>
      </c>
      <c r="BA7" s="130"/>
      <c r="BB7" s="122"/>
      <c r="BC7" s="134"/>
      <c r="BD7" s="134"/>
      <c r="BE7" s="134"/>
      <c r="BF7" s="134"/>
      <c r="BG7" s="134"/>
      <c r="BH7" s="134"/>
      <c r="BI7" s="75"/>
      <c r="BJ7" s="27" t="s">
        <v>120</v>
      </c>
      <c r="BQ7" s="27" t="s">
        <v>120</v>
      </c>
      <c r="BR7" s="168">
        <f>BR5-BR3</f>
        <v>2.7713690029959381E-2</v>
      </c>
      <c r="BS7" s="168">
        <f t="shared" ref="BS7:BV7" si="15">BS5-BS3</f>
        <v>1.944343754987421E-2</v>
      </c>
      <c r="BT7" s="168">
        <f t="shared" si="15"/>
        <v>3.665331744160627E-2</v>
      </c>
      <c r="BU7" s="168">
        <f t="shared" si="15"/>
        <v>6.0966934478068557E-2</v>
      </c>
      <c r="BV7" s="168">
        <f t="shared" si="15"/>
        <v>0</v>
      </c>
      <c r="BX7" s="27" t="s">
        <v>120</v>
      </c>
      <c r="BY7" s="130"/>
      <c r="BZ7" s="122">
        <f t="shared" ref="BZ7:CB7" si="16">BZ5-BZ3</f>
        <v>3.0087777248906655E-2</v>
      </c>
      <c r="CA7" s="134">
        <f t="shared" si="16"/>
        <v>3.1228895417395042E-2</v>
      </c>
      <c r="CB7" s="134">
        <f t="shared" si="16"/>
        <v>3.1622886309520815E-2</v>
      </c>
      <c r="CC7" s="134">
        <f t="shared" ref="CC7:CE7" si="17">CC5-CC3</f>
        <v>3.4359124944457253E-2</v>
      </c>
      <c r="CD7" s="134">
        <f t="shared" si="17"/>
        <v>4.1429290497308258E-2</v>
      </c>
      <c r="CE7" s="134">
        <f t="shared" si="17"/>
        <v>4.9627662292591967E-2</v>
      </c>
      <c r="CF7" s="134"/>
      <c r="CG7" s="75"/>
      <c r="CH7" s="27" t="s">
        <v>120</v>
      </c>
      <c r="CI7" s="130"/>
      <c r="CJ7" s="122">
        <f t="shared" ref="CJ7:CO7" si="18">CJ5-CJ3</f>
        <v>1.4828581548244624E-2</v>
      </c>
      <c r="CK7" s="134">
        <f t="shared" si="18"/>
        <v>4.9563635946013873E-2</v>
      </c>
      <c r="CL7" s="134">
        <f t="shared" si="18"/>
        <v>5.46334467490322E-2</v>
      </c>
      <c r="CM7" s="134">
        <f t="shared" si="18"/>
        <v>5.9100340722220979E-2</v>
      </c>
      <c r="CN7" s="134">
        <f t="shared" si="18"/>
        <v>6.4412729965457161E-2</v>
      </c>
      <c r="CO7" s="134">
        <f t="shared" si="18"/>
        <v>7.1620603700779939E-2</v>
      </c>
      <c r="CP7" s="134"/>
      <c r="CR7" s="27" t="s">
        <v>120</v>
      </c>
      <c r="CS7" s="130"/>
      <c r="CT7" s="122"/>
      <c r="CU7" s="134"/>
      <c r="CV7" s="134"/>
      <c r="CW7"/>
      <c r="CX7" s="27" t="s">
        <v>120</v>
      </c>
      <c r="CY7" s="130"/>
      <c r="CZ7" s="122"/>
      <c r="DA7" s="134"/>
      <c r="DB7" s="134"/>
      <c r="DD7" s="27" t="s">
        <v>120</v>
      </c>
      <c r="DE7" s="130"/>
      <c r="DF7" s="122"/>
      <c r="DG7" s="134"/>
      <c r="DH7" s="134"/>
      <c r="DJ7" s="27" t="s">
        <v>120</v>
      </c>
      <c r="DK7" s="130"/>
      <c r="DL7" s="122"/>
      <c r="DM7" s="134"/>
      <c r="DN7" s="134"/>
    </row>
    <row r="8" spans="1:118" x14ac:dyDescent="0.2">
      <c r="A8" s="27" t="s">
        <v>42</v>
      </c>
      <c r="B8" s="118">
        <f>MEDIAN(B14:B1007)</f>
        <v>0</v>
      </c>
      <c r="C8" s="120">
        <f t="shared" ref="C8:H8" si="19">MEDIAN(C14:C1007)</f>
        <v>27</v>
      </c>
      <c r="D8" s="120">
        <f t="shared" si="19"/>
        <v>71</v>
      </c>
      <c r="E8" s="120">
        <f t="shared" si="19"/>
        <v>82</v>
      </c>
      <c r="F8" s="120">
        <f t="shared" si="19"/>
        <v>68</v>
      </c>
      <c r="G8" s="120">
        <f t="shared" si="19"/>
        <v>33</v>
      </c>
      <c r="H8" s="120">
        <f t="shared" si="19"/>
        <v>13</v>
      </c>
      <c r="J8" s="27" t="s">
        <v>42</v>
      </c>
      <c r="K8" s="27">
        <f>MEDIAN(K14:K1007)</f>
        <v>0</v>
      </c>
      <c r="L8" s="27">
        <f t="shared" ref="L8:T8" si="20">MEDIAN(L14:L1007)</f>
        <v>6</v>
      </c>
      <c r="M8" s="27">
        <f t="shared" si="20"/>
        <v>10</v>
      </c>
      <c r="N8" s="27">
        <f t="shared" si="20"/>
        <v>9</v>
      </c>
      <c r="O8" s="27">
        <f t="shared" si="20"/>
        <v>0</v>
      </c>
      <c r="P8" s="27">
        <f t="shared" si="20"/>
        <v>20</v>
      </c>
      <c r="Q8" s="27">
        <f t="shared" si="20"/>
        <v>0</v>
      </c>
      <c r="R8" s="27">
        <f t="shared" si="20"/>
        <v>0</v>
      </c>
      <c r="S8" s="27">
        <f t="shared" si="20"/>
        <v>24</v>
      </c>
      <c r="T8" s="27">
        <f t="shared" si="20"/>
        <v>23</v>
      </c>
      <c r="W8" s="27" t="s">
        <v>42</v>
      </c>
      <c r="X8" s="170">
        <f>MEDIAN(X14:X1007)</f>
        <v>0.20960000000000001</v>
      </c>
      <c r="Y8" s="170">
        <f t="shared" ref="Y8:AA8" si="21">MEDIAN(Y14:Y1007)</f>
        <v>0.37119999999999997</v>
      </c>
      <c r="Z8" s="170">
        <f t="shared" si="21"/>
        <v>0.13629999999999998</v>
      </c>
      <c r="AA8" s="170">
        <f t="shared" si="21"/>
        <v>3.2399999999999998E-2</v>
      </c>
      <c r="AB8" s="170">
        <f t="shared" ref="AB8:AC8" si="22">MEDIAN(AB14:AB1007)</f>
        <v>4.3200000000000002E-2</v>
      </c>
      <c r="AC8" s="170">
        <f t="shared" si="22"/>
        <v>0.20629999999999998</v>
      </c>
      <c r="AD8" s="79"/>
      <c r="AE8" s="114" t="s">
        <v>42</v>
      </c>
      <c r="AF8" s="114">
        <f>MEDIAN(AF14:AF1007)</f>
        <v>0</v>
      </c>
      <c r="AG8" s="83">
        <f t="shared" ref="AG8:AL8" si="23">MEDIAN(AG14:AG1007)</f>
        <v>2.2327167781713238E-2</v>
      </c>
      <c r="AH8" s="83">
        <f t="shared" si="23"/>
        <v>6.2198039444509273E-2</v>
      </c>
      <c r="AI8" s="83">
        <f t="shared" si="23"/>
        <v>6.4130510551170306E-2</v>
      </c>
      <c r="AJ8" s="83">
        <f t="shared" si="23"/>
        <v>5.4872625866747057E-2</v>
      </c>
      <c r="AK8" s="83">
        <f t="shared" si="23"/>
        <v>1.9467951784499081E-2</v>
      </c>
      <c r="AL8" s="83">
        <f t="shared" si="23"/>
        <v>7.8114676614386928E-3</v>
      </c>
      <c r="AM8" s="83"/>
      <c r="AO8" s="114" t="s">
        <v>42</v>
      </c>
      <c r="AP8" s="114">
        <f>MEDIAN(AP14:AP1007)</f>
        <v>0</v>
      </c>
      <c r="AQ8" s="83">
        <f t="shared" ref="AQ8:AV8" si="24">MEDIAN(AQ14:AQ1007)</f>
        <v>2.1118012422360249E-2</v>
      </c>
      <c r="AR8" s="83">
        <f t="shared" si="24"/>
        <v>6.6499041874071643E-2</v>
      </c>
      <c r="AS8" s="83">
        <f t="shared" si="24"/>
        <v>9.2307692307692313E-2</v>
      </c>
      <c r="AT8" s="83">
        <f t="shared" si="24"/>
        <v>9.0138692393793213E-2</v>
      </c>
      <c r="AU8" s="83">
        <f t="shared" si="24"/>
        <v>9.6081748592792171E-2</v>
      </c>
      <c r="AV8" s="83">
        <f t="shared" si="24"/>
        <v>0.11009355509355509</v>
      </c>
      <c r="AW8" s="78">
        <f t="shared" ref="AW8" si="25">MEDIAN(AW14:AW1007)</f>
        <v>7.5297413143771585E-2</v>
      </c>
      <c r="AX8" s="78">
        <f t="shared" ref="AX8" si="26">MEDIAN(AX14:AX1007)</f>
        <v>200</v>
      </c>
      <c r="AY8" s="79"/>
      <c r="AZ8" s="114" t="s">
        <v>42</v>
      </c>
      <c r="BA8" s="114">
        <f>MEDIAN(BA14:BA1007)</f>
        <v>0</v>
      </c>
      <c r="BB8" s="83">
        <f t="shared" ref="BB8:BG8" si="27">MEDIAN(BB14:BB1007)</f>
        <v>0.57836257309941519</v>
      </c>
      <c r="BC8" s="83">
        <f t="shared" si="27"/>
        <v>0.67071428571428571</v>
      </c>
      <c r="BD8" s="83">
        <f t="shared" si="27"/>
        <v>0.70572100313479624</v>
      </c>
      <c r="BE8" s="83">
        <f t="shared" si="27"/>
        <v>0.676056338028169</v>
      </c>
      <c r="BF8" s="83">
        <f t="shared" si="27"/>
        <v>0.6</v>
      </c>
      <c r="BG8" s="83">
        <f t="shared" si="27"/>
        <v>0.36363636363636365</v>
      </c>
      <c r="BH8" s="83">
        <f>MEDIAN(BH14:BH1007)</f>
        <v>0.6464964005353977</v>
      </c>
      <c r="BI8" s="79"/>
      <c r="BJ8" s="114" t="s">
        <v>42</v>
      </c>
      <c r="BK8" s="83">
        <f>MEDIAN(BK14:BK1007)</f>
        <v>4.1352943903624151E-2</v>
      </c>
      <c r="BL8" s="83">
        <f t="shared" ref="BL8:BN8" si="28">MEDIAN(BL14:BL1007)</f>
        <v>5.9356902636841381E-2</v>
      </c>
      <c r="BM8" s="83">
        <f t="shared" si="28"/>
        <v>7.9672972016498728E-2</v>
      </c>
      <c r="BN8" s="83">
        <f t="shared" si="28"/>
        <v>0.817873810707204</v>
      </c>
      <c r="BQ8" s="27" t="s">
        <v>42</v>
      </c>
      <c r="BR8" s="170">
        <f>MEDIAN(BR14:BR1007)</f>
        <v>0.38828159591770528</v>
      </c>
      <c r="BS8" s="170">
        <f t="shared" ref="BS8:BU8" si="29">MEDIAN(BS14:BS1007)</f>
        <v>0.68341241270527775</v>
      </c>
      <c r="BT8" s="170">
        <f t="shared" si="29"/>
        <v>0.62294535642489335</v>
      </c>
      <c r="BU8" s="170">
        <f t="shared" si="29"/>
        <v>0.66979863116667326</v>
      </c>
      <c r="BV8" s="170">
        <f t="shared" ref="BV8" si="30">MEDIAN(BV14:BV1007)</f>
        <v>0</v>
      </c>
      <c r="BX8" s="114" t="s">
        <v>42</v>
      </c>
      <c r="BY8" s="114">
        <f>MEDIAN(BY14:BY1007)</f>
        <v>0</v>
      </c>
      <c r="BZ8" s="83">
        <f t="shared" ref="BZ8:CE8" si="31">MEDIAN(BZ14:BZ1007)</f>
        <v>0.35903741931555233</v>
      </c>
      <c r="CA8" s="83">
        <f t="shared" si="31"/>
        <v>0.67189080291018233</v>
      </c>
      <c r="CB8" s="83">
        <f t="shared" si="31"/>
        <v>0.69269644133859176</v>
      </c>
      <c r="CC8" s="83">
        <f t="shared" si="31"/>
        <v>0.64871666035155928</v>
      </c>
      <c r="CD8" s="83">
        <f t="shared" si="31"/>
        <v>0.63271819784060779</v>
      </c>
      <c r="CE8" s="83">
        <f t="shared" si="31"/>
        <v>0.64502425587536072</v>
      </c>
      <c r="CF8" s="83"/>
      <c r="CG8" s="79"/>
      <c r="CH8" s="114" t="s">
        <v>42</v>
      </c>
      <c r="CI8" s="114">
        <f>MEDIAN(CI14:CI1007)</f>
        <v>0</v>
      </c>
      <c r="CJ8" s="83">
        <f t="shared" ref="CJ8:CO8" si="32">MEDIAN(CJ14:CJ1007)</f>
        <v>4.8192802175966304E-2</v>
      </c>
      <c r="CK8" s="83">
        <f t="shared" si="32"/>
        <v>0.2519367588932806</v>
      </c>
      <c r="CL8" s="83">
        <f t="shared" si="32"/>
        <v>0.38461761409746109</v>
      </c>
      <c r="CM8" s="83">
        <f t="shared" si="32"/>
        <v>0.36701860231271999</v>
      </c>
      <c r="CN8" s="83">
        <f t="shared" si="32"/>
        <v>0.37671290019814369</v>
      </c>
      <c r="CO8" s="83">
        <f t="shared" si="32"/>
        <v>0.40369834020274031</v>
      </c>
      <c r="CP8" s="83"/>
      <c r="CR8" s="114" t="s">
        <v>42</v>
      </c>
      <c r="CS8"/>
      <c r="CT8"/>
      <c r="CU8"/>
      <c r="CV8"/>
      <c r="CW8"/>
      <c r="CX8" s="114" t="s">
        <v>42</v>
      </c>
      <c r="CY8"/>
      <c r="CZ8"/>
      <c r="DA8"/>
      <c r="DB8"/>
      <c r="DD8" s="114" t="s">
        <v>42</v>
      </c>
      <c r="DE8" s="161"/>
      <c r="DF8" s="161"/>
      <c r="DG8" s="161"/>
      <c r="DH8" s="161"/>
      <c r="DJ8" s="114" t="s">
        <v>42</v>
      </c>
      <c r="DK8" s="161"/>
      <c r="DL8" s="161"/>
      <c r="DM8" s="161"/>
      <c r="DN8" s="161"/>
    </row>
    <row r="9" spans="1:118" x14ac:dyDescent="0.2">
      <c r="A9" s="27" t="s">
        <v>43</v>
      </c>
      <c r="B9" s="118">
        <f>_xlfn.PERCENTILE.INC(B14:B1007,alpha/2)</f>
        <v>0</v>
      </c>
      <c r="C9" s="120">
        <f t="shared" ref="C9:H9" si="33">_xlfn.PERCENTILE.INC(C14:C1007,alpha/2)</f>
        <v>18.475000000000001</v>
      </c>
      <c r="D9" s="120">
        <f t="shared" si="33"/>
        <v>62</v>
      </c>
      <c r="E9" s="120">
        <f t="shared" si="33"/>
        <v>58.424999999999997</v>
      </c>
      <c r="F9" s="120">
        <f t="shared" si="33"/>
        <v>53.475000000000001</v>
      </c>
      <c r="G9" s="120">
        <f t="shared" si="33"/>
        <v>14.95</v>
      </c>
      <c r="H9" s="120">
        <f t="shared" si="33"/>
        <v>6</v>
      </c>
      <c r="J9" s="27" t="s">
        <v>43</v>
      </c>
      <c r="K9" s="27">
        <f t="shared" ref="K9:T9" si="34">_xlfn.PERCENTILE.INC(K14:K1007,alpha/2)</f>
        <v>0</v>
      </c>
      <c r="L9" s="27">
        <f t="shared" si="34"/>
        <v>2.4750000000000001</v>
      </c>
      <c r="M9" s="27">
        <f t="shared" si="34"/>
        <v>8</v>
      </c>
      <c r="N9" s="27">
        <f t="shared" si="34"/>
        <v>2.4250000000000003</v>
      </c>
      <c r="O9" s="27">
        <f t="shared" si="34"/>
        <v>0</v>
      </c>
      <c r="P9" s="27">
        <f t="shared" si="34"/>
        <v>16</v>
      </c>
      <c r="Q9" s="27">
        <f t="shared" si="34"/>
        <v>0</v>
      </c>
      <c r="R9" s="27">
        <f t="shared" si="34"/>
        <v>0</v>
      </c>
      <c r="S9" s="27">
        <f t="shared" si="34"/>
        <v>16.475000000000001</v>
      </c>
      <c r="T9" s="27">
        <f t="shared" si="34"/>
        <v>12.95</v>
      </c>
      <c r="W9" s="27" t="s">
        <v>43</v>
      </c>
      <c r="X9" s="170">
        <f>_xlfn.PERCENTILE.INC(X14:X1007,alpha/2)</f>
        <v>0.2026</v>
      </c>
      <c r="Y9" s="170">
        <f t="shared" ref="Y9:AA9" si="35">_xlfn.PERCENTILE.INC(Y14:Y1007,alpha/2)</f>
        <v>0.36258000000000001</v>
      </c>
      <c r="Z9" s="170">
        <f t="shared" si="35"/>
        <v>0.13047500000000001</v>
      </c>
      <c r="AA9" s="170">
        <f t="shared" si="35"/>
        <v>2.9180000000000001E-2</v>
      </c>
      <c r="AB9" s="170">
        <f t="shared" ref="AB9:AC9" si="36">_xlfn.PERCENTILE.INC(AB14:AB1007,alpha/2)</f>
        <v>3.8199999999999998E-2</v>
      </c>
      <c r="AC9" s="170">
        <f t="shared" si="36"/>
        <v>0.195655</v>
      </c>
      <c r="AD9" s="121"/>
      <c r="AE9" s="114" t="s">
        <v>43</v>
      </c>
      <c r="AF9" s="114">
        <f>_xlfn.PERCENTILE.INC(AF14:AF1007,alpha/2)</f>
        <v>0</v>
      </c>
      <c r="AG9" s="122">
        <f t="shared" ref="AG9:AL9" si="37">_xlfn.PERCENTILE.INC(AG14:AG1007,alpha/2)</f>
        <v>1.6346845468110341E-2</v>
      </c>
      <c r="AH9" s="122">
        <f t="shared" si="37"/>
        <v>4.968083458475149E-2</v>
      </c>
      <c r="AI9" s="122">
        <f t="shared" si="37"/>
        <v>5.035177595628415E-2</v>
      </c>
      <c r="AJ9" s="122">
        <f t="shared" si="37"/>
        <v>4.3882517765324397E-2</v>
      </c>
      <c r="AK9" s="122">
        <f t="shared" si="37"/>
        <v>1.0463369480783906E-2</v>
      </c>
      <c r="AL9" s="122">
        <f t="shared" si="37"/>
        <v>6.9241982507288642E-4</v>
      </c>
      <c r="AM9" s="122"/>
      <c r="AO9" s="114" t="s">
        <v>43</v>
      </c>
      <c r="AP9" s="114">
        <f>_xlfn.PERCENTILE.INC(AP14:AP1007,alpha/2)</f>
        <v>0</v>
      </c>
      <c r="AQ9" s="122">
        <f t="shared" ref="AQ9:AV9" si="38">_xlfn.PERCENTILE.INC(AQ14:AQ1007,alpha/2)</f>
        <v>1.1844181860229638E-2</v>
      </c>
      <c r="AR9" s="122">
        <f t="shared" si="38"/>
        <v>5.2324231808092425E-2</v>
      </c>
      <c r="AS9" s="122">
        <f t="shared" si="38"/>
        <v>7.2878472252870918E-2</v>
      </c>
      <c r="AT9" s="122">
        <f t="shared" si="38"/>
        <v>7.5818258470029126E-2</v>
      </c>
      <c r="AU9" s="122">
        <f t="shared" si="38"/>
        <v>7.5829368067917291E-2</v>
      </c>
      <c r="AV9" s="122">
        <f t="shared" si="38"/>
        <v>9.2895299145299148E-2</v>
      </c>
      <c r="AW9" s="121">
        <f t="shared" ref="AW9" si="39">_xlfn.PERCENTILE.INC(AW14:AW1007,alpha/2)</f>
        <v>6.8798284692849793E-2</v>
      </c>
      <c r="AX9" s="121">
        <f t="shared" ref="AX9" si="40">_xlfn.PERCENTILE.INC(AX14:AX1007,alpha/2)</f>
        <v>178.47499999999999</v>
      </c>
      <c r="AY9" s="121"/>
      <c r="AZ9" s="114" t="s">
        <v>43</v>
      </c>
      <c r="BA9" s="114">
        <f>_xlfn.PERCENTILE.INC(BA14:BA1007,alpha/2)</f>
        <v>0</v>
      </c>
      <c r="BB9" s="122">
        <f t="shared" ref="BB9:BG9" si="41">_xlfn.PERCENTILE.INC(BB14:BB1007,alpha/2)</f>
        <v>0.4375</v>
      </c>
      <c r="BC9" s="122">
        <f t="shared" si="41"/>
        <v>0.60079871389200779</v>
      </c>
      <c r="BD9" s="122">
        <f t="shared" si="41"/>
        <v>0.62599078341013825</v>
      </c>
      <c r="BE9" s="122">
        <f t="shared" si="41"/>
        <v>0.59149295215405995</v>
      </c>
      <c r="BF9" s="122">
        <f t="shared" si="41"/>
        <v>0.46948160535117062</v>
      </c>
      <c r="BG9" s="122">
        <f t="shared" si="41"/>
        <v>0.12962184873949578</v>
      </c>
      <c r="BH9" s="122">
        <f>_xlfn.PERCENTILE.INC(BH14:BH1007,alpha/2)</f>
        <v>0.61118382631479262</v>
      </c>
      <c r="BI9" s="121"/>
      <c r="BJ9" s="114" t="s">
        <v>43</v>
      </c>
      <c r="BK9" s="122">
        <f t="shared" ref="BK9" si="42">_xlfn.PERCENTILE.INC(BK14:BK1007,alpha/2)</f>
        <v>2.4335497541740452E-2</v>
      </c>
      <c r="BL9" s="122">
        <f t="shared" ref="BL9:BN9" si="43">_xlfn.PERCENTILE.INC(BL14:BL1007,alpha/2)</f>
        <v>4.168269368948415E-2</v>
      </c>
      <c r="BM9" s="122">
        <f t="shared" si="43"/>
        <v>5.8539411991992606E-2</v>
      </c>
      <c r="BN9" s="122">
        <f t="shared" si="43"/>
        <v>0.78638602202620345</v>
      </c>
      <c r="BQ9" s="27" t="s">
        <v>43</v>
      </c>
      <c r="BR9" s="170">
        <f>_xlfn.PERCENTILE.INC(BR14:BR1007,alpha/2)</f>
        <v>0.37040683962264154</v>
      </c>
      <c r="BS9" s="170">
        <f t="shared" ref="BS9:BU9" si="44">_xlfn.PERCENTILE.INC(BS14:BS1007,alpha/2)</f>
        <v>0.66782228792650633</v>
      </c>
      <c r="BT9" s="170">
        <f t="shared" si="44"/>
        <v>0.58374306740614335</v>
      </c>
      <c r="BU9" s="170">
        <f t="shared" si="44"/>
        <v>0.58625068362045396</v>
      </c>
      <c r="BV9" s="170">
        <f t="shared" ref="BV9" si="45">_xlfn.PERCENTILE.INC(BV14:BV1007,alpha/2)</f>
        <v>0</v>
      </c>
      <c r="BX9" s="114" t="s">
        <v>43</v>
      </c>
      <c r="BY9" s="114">
        <f>_xlfn.PERCENTILE.INC(BY14:BY1007,alpha/2)</f>
        <v>0</v>
      </c>
      <c r="BZ9" s="122">
        <f t="shared" ref="BZ9:CE9" si="46">_xlfn.PERCENTILE.INC(BZ14:BZ1007,alpha/2)</f>
        <v>0.33570386458331836</v>
      </c>
      <c r="CA9" s="122">
        <f t="shared" si="46"/>
        <v>0.63323549763579756</v>
      </c>
      <c r="CB9" s="122">
        <f t="shared" si="46"/>
        <v>0.65978242181103652</v>
      </c>
      <c r="CC9" s="122">
        <f t="shared" si="46"/>
        <v>0.6168575364029909</v>
      </c>
      <c r="CD9" s="122">
        <f t="shared" si="46"/>
        <v>0.58319116922809511</v>
      </c>
      <c r="CE9" s="122">
        <f t="shared" si="46"/>
        <v>0.58973154542048067</v>
      </c>
      <c r="CF9" s="122"/>
      <c r="CG9" s="121"/>
      <c r="CH9" s="114" t="s">
        <v>43</v>
      </c>
      <c r="CI9" s="114">
        <f>_xlfn.PERCENTILE.INC(CI14:CI1007,alpha/2)</f>
        <v>0</v>
      </c>
      <c r="CJ9" s="122">
        <f t="shared" ref="CJ9:CO9" si="47">_xlfn.PERCENTILE.INC(CJ14:CJ1007,alpha/2)</f>
        <v>3.5709562961504876E-2</v>
      </c>
      <c r="CK9" s="122">
        <f t="shared" si="47"/>
        <v>0.20072243346007607</v>
      </c>
      <c r="CL9" s="122">
        <f t="shared" si="47"/>
        <v>0.3210739178283199</v>
      </c>
      <c r="CM9" s="122">
        <f t="shared" si="47"/>
        <v>0.31329389788293899</v>
      </c>
      <c r="CN9" s="122">
        <f t="shared" si="47"/>
        <v>0.31961405529953918</v>
      </c>
      <c r="CO9" s="122">
        <f t="shared" si="47"/>
        <v>0.35704368932038832</v>
      </c>
      <c r="CP9" s="122"/>
      <c r="CR9" s="114" t="s">
        <v>43</v>
      </c>
      <c r="CS9"/>
      <c r="CT9"/>
      <c r="CU9"/>
      <c r="CV9"/>
      <c r="CW9"/>
      <c r="CX9" s="114" t="s">
        <v>43</v>
      </c>
      <c r="CY9"/>
      <c r="CZ9"/>
      <c r="DA9"/>
      <c r="DB9"/>
      <c r="DD9" s="114" t="s">
        <v>43</v>
      </c>
      <c r="DE9" s="161"/>
      <c r="DF9" s="161"/>
      <c r="DG9" s="161"/>
      <c r="DH9" s="161"/>
      <c r="DJ9" s="114" t="s">
        <v>43</v>
      </c>
      <c r="DK9" s="161"/>
      <c r="DL9" s="161"/>
      <c r="DM9" s="161"/>
      <c r="DN9" s="161"/>
    </row>
    <row r="10" spans="1:118" x14ac:dyDescent="0.2">
      <c r="A10" s="27" t="s">
        <v>44</v>
      </c>
      <c r="B10" s="118">
        <f>_xlfn.PERCENTILE.INC(B14:B1007,1-alpha/2)</f>
        <v>0</v>
      </c>
      <c r="C10" s="120">
        <f t="shared" ref="C10:H10" si="48">_xlfn.PERCENTILE.INC(C14:C1007,1-alpha/2)</f>
        <v>36</v>
      </c>
      <c r="D10" s="120">
        <f t="shared" si="48"/>
        <v>87</v>
      </c>
      <c r="E10" s="120">
        <f t="shared" si="48"/>
        <v>96.049999999999983</v>
      </c>
      <c r="F10" s="120">
        <f t="shared" si="48"/>
        <v>92.574999999999974</v>
      </c>
      <c r="G10" s="120">
        <f t="shared" si="48"/>
        <v>45.524999999999991</v>
      </c>
      <c r="H10" s="120">
        <f t="shared" si="48"/>
        <v>19</v>
      </c>
      <c r="J10" s="27" t="s">
        <v>44</v>
      </c>
      <c r="K10" s="27">
        <f t="shared" ref="K10:T10" si="49">_xlfn.PERCENTILE.INC(K14:K1007,1-alpha/2)</f>
        <v>4.5249999999999915</v>
      </c>
      <c r="L10" s="27">
        <f t="shared" si="49"/>
        <v>10</v>
      </c>
      <c r="M10" s="27">
        <f t="shared" si="49"/>
        <v>12</v>
      </c>
      <c r="N10" s="27">
        <f t="shared" si="49"/>
        <v>13</v>
      </c>
      <c r="O10" s="27">
        <f t="shared" si="49"/>
        <v>0</v>
      </c>
      <c r="P10" s="27">
        <f t="shared" si="49"/>
        <v>24</v>
      </c>
      <c r="Q10" s="27">
        <f t="shared" si="49"/>
        <v>1</v>
      </c>
      <c r="R10" s="27">
        <f t="shared" si="49"/>
        <v>0</v>
      </c>
      <c r="S10" s="27">
        <f t="shared" si="49"/>
        <v>30.524999999999991</v>
      </c>
      <c r="T10" s="27">
        <f t="shared" si="49"/>
        <v>38</v>
      </c>
      <c r="W10" s="27" t="s">
        <v>44</v>
      </c>
      <c r="X10" s="170">
        <f>_xlfn.PERCENTILE.INC(X14:X1007,1-alpha/2)</f>
        <v>0.218505</v>
      </c>
      <c r="Y10" s="170">
        <f t="shared" ref="Y10:AA10" si="50">_xlfn.PERCENTILE.INC(Y14:Y1007,1-alpha/2)</f>
        <v>0.38200000000000001</v>
      </c>
      <c r="Z10" s="170">
        <f t="shared" si="50"/>
        <v>0.14490500000000001</v>
      </c>
      <c r="AA10" s="170">
        <f t="shared" si="50"/>
        <v>3.6799999999999999E-2</v>
      </c>
      <c r="AB10" s="170">
        <f t="shared" ref="AB10:AC10" si="51">_xlfn.PERCENTILE.INC(AB14:AB1007,1-alpha/2)</f>
        <v>4.7504999999999999E-2</v>
      </c>
      <c r="AC10" s="170">
        <f t="shared" si="51"/>
        <v>0.21531500000000001</v>
      </c>
      <c r="AD10" s="121"/>
      <c r="AE10" s="114" t="s">
        <v>44</v>
      </c>
      <c r="AF10" s="114">
        <f>_xlfn.PERCENTILE.INC(AF14:AF1007,1-alpha/2)</f>
        <v>0</v>
      </c>
      <c r="AG10" s="122">
        <f t="shared" ref="AG10:AL10" si="52">_xlfn.PERCENTILE.INC(AG14:AG1007,1-alpha/2)</f>
        <v>2.8469159702808961E-2</v>
      </c>
      <c r="AH10" s="122">
        <f t="shared" si="52"/>
        <v>7.4444140197152245E-2</v>
      </c>
      <c r="AI10" s="122">
        <f t="shared" si="52"/>
        <v>7.961288541283193E-2</v>
      </c>
      <c r="AJ10" s="122">
        <f t="shared" si="52"/>
        <v>6.744245954138757E-2</v>
      </c>
      <c r="AK10" s="122">
        <f t="shared" si="52"/>
        <v>2.8702840063861437E-2</v>
      </c>
      <c r="AL10" s="122">
        <f t="shared" si="52"/>
        <v>1.4609745165834293E-2</v>
      </c>
      <c r="AM10" s="122"/>
      <c r="AO10" s="114" t="s">
        <v>44</v>
      </c>
      <c r="AP10" s="114">
        <f>_xlfn.PERCENTILE.INC(AP14:AP1007,1-alpha/2)</f>
        <v>0</v>
      </c>
      <c r="AQ10" s="122">
        <f t="shared" ref="AQ10:AV10" si="53">_xlfn.PERCENTILE.INC(AQ14:AQ1007,1-alpha/2)</f>
        <v>0.03</v>
      </c>
      <c r="AR10" s="122">
        <f t="shared" si="53"/>
        <v>9.572508305647838E-2</v>
      </c>
      <c r="AS10" s="122">
        <f t="shared" si="53"/>
        <v>0.11390162083167263</v>
      </c>
      <c r="AT10" s="122">
        <f t="shared" si="53"/>
        <v>0.10963202462786489</v>
      </c>
      <c r="AU10" s="122">
        <f t="shared" si="53"/>
        <v>0.12181361364624076</v>
      </c>
      <c r="AV10" s="122">
        <f t="shared" si="53"/>
        <v>0.13479381987813838</v>
      </c>
      <c r="AW10" s="121">
        <f t="shared" ref="AW10" si="54">_xlfn.PERCENTILE.INC(AW14:AW1007,1-alpha/2)</f>
        <v>8.7515989772081443E-2</v>
      </c>
      <c r="AX10" s="121">
        <f t="shared" ref="AX10" si="55">_xlfn.PERCENTILE.INC(AX14:AX1007,1-alpha/2)</f>
        <v>225.52499999999998</v>
      </c>
      <c r="AY10" s="121"/>
      <c r="AZ10" s="114" t="s">
        <v>44</v>
      </c>
      <c r="BA10" s="114">
        <f>_xlfn.PERCENTILE.INC(BA14:BA1007,1-alpha/2)</f>
        <v>0</v>
      </c>
      <c r="BB10" s="122">
        <f t="shared" ref="BB10:BG10" si="56">_xlfn.PERCENTILE.INC(BB14:BB1007,1-alpha/2)</f>
        <v>0.70141891891891894</v>
      </c>
      <c r="BC10" s="122">
        <f t="shared" si="56"/>
        <v>0.77118902439024384</v>
      </c>
      <c r="BD10" s="122">
        <f t="shared" si="56"/>
        <v>0.79006481481481483</v>
      </c>
      <c r="BE10" s="122">
        <f t="shared" si="56"/>
        <v>0.74289215686274512</v>
      </c>
      <c r="BF10" s="122">
        <f t="shared" si="56"/>
        <v>0.75185185185185166</v>
      </c>
      <c r="BG10" s="122">
        <f t="shared" si="56"/>
        <v>0.5625</v>
      </c>
      <c r="BH10" s="122">
        <f>_xlfn.PERCENTILE.INC(BH14:BH1007,1-alpha/2)</f>
        <v>0.69126965761939763</v>
      </c>
      <c r="BI10" s="121"/>
      <c r="BJ10" s="114" t="s">
        <v>44</v>
      </c>
      <c r="BK10" s="122">
        <f t="shared" ref="BK10" si="57">_xlfn.PERCENTILE.INC(BK14:BK1007,1-alpha/2)</f>
        <v>6.6800128893305319E-2</v>
      </c>
      <c r="BL10" s="122">
        <f t="shared" ref="BL10:BN10" si="58">_xlfn.PERCENTILE.INC(BL14:BL1007,1-alpha/2)</f>
        <v>8.2859830577111687E-2</v>
      </c>
      <c r="BM10" s="122">
        <f t="shared" si="58"/>
        <v>9.8118105008082823E-2</v>
      </c>
      <c r="BN10" s="122">
        <f t="shared" si="58"/>
        <v>0.84879152184717643</v>
      </c>
      <c r="BQ10" s="27" t="s">
        <v>44</v>
      </c>
      <c r="BR10" s="170">
        <f>_xlfn.PERCENTILE.INC(BR14:BR1007,1-alpha/2)</f>
        <v>0.41496990525652089</v>
      </c>
      <c r="BS10" s="170">
        <f t="shared" ref="BS10:BU10" si="59">_xlfn.PERCENTILE.INC(BS14:BS1007,1-alpha/2)</f>
        <v>0.70623824094099119</v>
      </c>
      <c r="BT10" s="170">
        <f t="shared" si="59"/>
        <v>0.65632835101253617</v>
      </c>
      <c r="BU10" s="170">
        <f t="shared" si="59"/>
        <v>0.73565623854332152</v>
      </c>
      <c r="BV10" s="170">
        <f t="shared" ref="BV10" si="60">_xlfn.PERCENTILE.INC(BV14:BV1007,1-alpha/2)</f>
        <v>0</v>
      </c>
      <c r="BX10" s="114" t="s">
        <v>44</v>
      </c>
      <c r="BY10" s="114">
        <f>_xlfn.PERCENTILE.INC(BY14:BY1007,1-alpha/2)</f>
        <v>0</v>
      </c>
      <c r="BZ10" s="122">
        <f t="shared" ref="BZ10:CE10" si="61">_xlfn.PERCENTILE.INC(BZ14:BZ1007,1-alpha/2)</f>
        <v>0.38976872659176032</v>
      </c>
      <c r="CA10" s="122">
        <f t="shared" si="61"/>
        <v>0.69657601913477529</v>
      </c>
      <c r="CB10" s="122">
        <f t="shared" si="61"/>
        <v>0.71611371379897781</v>
      </c>
      <c r="CC10" s="122">
        <f t="shared" si="61"/>
        <v>0.68155157432017988</v>
      </c>
      <c r="CD10" s="122">
        <f t="shared" si="61"/>
        <v>0.67913636363636365</v>
      </c>
      <c r="CE10" s="122">
        <f t="shared" si="61"/>
        <v>0.69422447245855867</v>
      </c>
      <c r="CF10" s="122"/>
      <c r="CG10" s="121"/>
      <c r="CH10" s="114" t="s">
        <v>44</v>
      </c>
      <c r="CI10" s="114">
        <f>_xlfn.PERCENTILE.INC(CI14:CI1007,1-alpha/2)</f>
        <v>0</v>
      </c>
      <c r="CJ10" s="122">
        <f t="shared" ref="CJ10:CO10" si="62">_xlfn.PERCENTILE.INC(CJ14:CJ1007,1-alpha/2)</f>
        <v>5.8888544303797467E-2</v>
      </c>
      <c r="CK10" s="122">
        <f t="shared" si="62"/>
        <v>0.31379116737682472</v>
      </c>
      <c r="CL10" s="122">
        <f t="shared" si="62"/>
        <v>0.43214066339066343</v>
      </c>
      <c r="CM10" s="122">
        <f t="shared" si="62"/>
        <v>0.44192364170337733</v>
      </c>
      <c r="CN10" s="122">
        <f t="shared" si="62"/>
        <v>0.42927236315086781</v>
      </c>
      <c r="CO10" s="122">
        <f t="shared" si="62"/>
        <v>0.45486502733804707</v>
      </c>
      <c r="CP10" s="122"/>
      <c r="CR10" s="114" t="s">
        <v>44</v>
      </c>
      <c r="CS10"/>
      <c r="CT10"/>
      <c r="CU10"/>
      <c r="CV10"/>
      <c r="CW10"/>
      <c r="CX10" s="114" t="s">
        <v>44</v>
      </c>
      <c r="CY10"/>
      <c r="CZ10"/>
      <c r="DA10"/>
      <c r="DB10"/>
      <c r="DD10" s="114" t="s">
        <v>44</v>
      </c>
      <c r="DE10" s="161"/>
      <c r="DF10" s="161"/>
      <c r="DG10" s="161"/>
      <c r="DH10" s="161"/>
      <c r="DJ10" s="114" t="s">
        <v>44</v>
      </c>
      <c r="DK10" s="161"/>
      <c r="DL10" s="161"/>
      <c r="DM10" s="161"/>
      <c r="DN10" s="161"/>
    </row>
    <row r="11" spans="1:118" x14ac:dyDescent="0.2">
      <c r="A11" s="27" t="s">
        <v>50</v>
      </c>
      <c r="B11" s="118">
        <f>B8-B9</f>
        <v>0</v>
      </c>
      <c r="C11" s="120">
        <f t="shared" ref="C11:H11" si="63">C8-C9</f>
        <v>8.5249999999999986</v>
      </c>
      <c r="D11" s="120">
        <f t="shared" si="63"/>
        <v>9</v>
      </c>
      <c r="E11" s="120">
        <f t="shared" si="63"/>
        <v>23.575000000000003</v>
      </c>
      <c r="F11" s="120">
        <f t="shared" si="63"/>
        <v>14.524999999999999</v>
      </c>
      <c r="G11" s="120">
        <f t="shared" si="63"/>
        <v>18.05</v>
      </c>
      <c r="H11" s="120">
        <f t="shared" si="63"/>
        <v>7</v>
      </c>
      <c r="J11" s="27" t="s">
        <v>50</v>
      </c>
      <c r="K11" s="27">
        <f>K8-K9</f>
        <v>0</v>
      </c>
      <c r="L11" s="27">
        <f t="shared" ref="L11:T11" si="64">L8-L9</f>
        <v>3.5249999999999999</v>
      </c>
      <c r="M11" s="27">
        <f t="shared" si="64"/>
        <v>2</v>
      </c>
      <c r="N11" s="27">
        <f t="shared" si="64"/>
        <v>6.5749999999999993</v>
      </c>
      <c r="O11" s="27">
        <f t="shared" si="64"/>
        <v>0</v>
      </c>
      <c r="P11" s="27">
        <f t="shared" si="64"/>
        <v>4</v>
      </c>
      <c r="Q11" s="27">
        <f t="shared" si="64"/>
        <v>0</v>
      </c>
      <c r="R11" s="27">
        <f t="shared" si="64"/>
        <v>0</v>
      </c>
      <c r="S11" s="27">
        <f t="shared" si="64"/>
        <v>7.5249999999999986</v>
      </c>
      <c r="T11" s="27">
        <f t="shared" si="64"/>
        <v>10.050000000000001</v>
      </c>
      <c r="W11" s="27" t="s">
        <v>50</v>
      </c>
      <c r="X11" s="170">
        <f>X8-X9</f>
        <v>7.0000000000000062E-3</v>
      </c>
      <c r="Y11" s="170">
        <f t="shared" ref="Y11:AA11" si="65">Y8-Y9</f>
        <v>8.619999999999961E-3</v>
      </c>
      <c r="Z11" s="170">
        <f t="shared" si="65"/>
        <v>5.8249999999999691E-3</v>
      </c>
      <c r="AA11" s="170">
        <f t="shared" si="65"/>
        <v>3.2199999999999972E-3</v>
      </c>
      <c r="AB11" s="170">
        <f t="shared" ref="AB11:AC11" si="66">AB8-AB9</f>
        <v>5.0000000000000044E-3</v>
      </c>
      <c r="AC11" s="170">
        <f t="shared" si="66"/>
        <v>1.0644999999999988E-2</v>
      </c>
      <c r="AD11" s="121"/>
      <c r="AE11" s="114" t="s">
        <v>50</v>
      </c>
      <c r="AF11" s="114">
        <f>AF8-AF9</f>
        <v>0</v>
      </c>
      <c r="AG11" s="122">
        <f t="shared" ref="AG11:AL11" si="67">AG8-AG9</f>
        <v>5.9803223136028968E-3</v>
      </c>
      <c r="AH11" s="122">
        <f t="shared" si="67"/>
        <v>1.2517204859757783E-2</v>
      </c>
      <c r="AI11" s="122">
        <f t="shared" si="67"/>
        <v>1.3778734594886155E-2</v>
      </c>
      <c r="AJ11" s="122">
        <f t="shared" si="67"/>
        <v>1.099010810142266E-2</v>
      </c>
      <c r="AK11" s="122">
        <f t="shared" si="67"/>
        <v>9.0045823037151751E-3</v>
      </c>
      <c r="AL11" s="122">
        <f t="shared" si="67"/>
        <v>7.1190478363658063E-3</v>
      </c>
      <c r="AM11" s="122"/>
      <c r="AO11" s="114" t="s">
        <v>50</v>
      </c>
      <c r="AP11" s="114">
        <f>AP8-AP9</f>
        <v>0</v>
      </c>
      <c r="AQ11" s="122">
        <f t="shared" ref="AQ11:AV11" si="68">AQ8-AQ9</f>
        <v>9.2738305621306114E-3</v>
      </c>
      <c r="AR11" s="122">
        <f t="shared" si="68"/>
        <v>1.4174810065979218E-2</v>
      </c>
      <c r="AS11" s="122">
        <f t="shared" si="68"/>
        <v>1.9429220054821394E-2</v>
      </c>
      <c r="AT11" s="122">
        <f t="shared" si="68"/>
        <v>1.4320433923764087E-2</v>
      </c>
      <c r="AU11" s="122">
        <f t="shared" si="68"/>
        <v>2.025238052487488E-2</v>
      </c>
      <c r="AV11" s="122">
        <f t="shared" si="68"/>
        <v>1.7198255948255942E-2</v>
      </c>
      <c r="AW11" s="121">
        <f t="shared" ref="AW11" si="69">AW8-AW9</f>
        <v>6.4991284509217928E-3</v>
      </c>
      <c r="AX11" s="121">
        <f t="shared" ref="AX11" si="70">AX8-AX9</f>
        <v>21.525000000000006</v>
      </c>
      <c r="AY11" s="121"/>
      <c r="AZ11" s="114" t="s">
        <v>50</v>
      </c>
      <c r="BA11" s="114">
        <f>BA8-BA9</f>
        <v>0</v>
      </c>
      <c r="BB11" s="122">
        <f t="shared" ref="BB11:BH11" si="71">BB8-BB9</f>
        <v>0.14086257309941519</v>
      </c>
      <c r="BC11" s="122">
        <f t="shared" si="71"/>
        <v>6.9915571822277922E-2</v>
      </c>
      <c r="BD11" s="122">
        <f t="shared" si="71"/>
        <v>7.9730219724657991E-2</v>
      </c>
      <c r="BE11" s="122">
        <f t="shared" si="71"/>
        <v>8.4563385874109054E-2</v>
      </c>
      <c r="BF11" s="122">
        <f t="shared" si="71"/>
        <v>0.13051839464882936</v>
      </c>
      <c r="BG11" s="122">
        <f t="shared" si="71"/>
        <v>0.23401451489686786</v>
      </c>
      <c r="BH11" s="122">
        <f t="shared" si="71"/>
        <v>3.5312574220605075E-2</v>
      </c>
      <c r="BI11" s="121"/>
      <c r="BJ11" s="114" t="s">
        <v>50</v>
      </c>
      <c r="BK11" s="122">
        <f t="shared" ref="BK11" si="72">BK8-BK9</f>
        <v>1.7017446361883699E-2</v>
      </c>
      <c r="BL11" s="122">
        <f t="shared" ref="BL11:BN11" si="73">BL8-BL9</f>
        <v>1.7674208947357231E-2</v>
      </c>
      <c r="BM11" s="122">
        <f t="shared" si="73"/>
        <v>2.1133560024506122E-2</v>
      </c>
      <c r="BN11" s="122">
        <f t="shared" si="73"/>
        <v>3.148778868100055E-2</v>
      </c>
      <c r="BQ11" s="27" t="s">
        <v>50</v>
      </c>
      <c r="BR11" s="170">
        <f>BR8-BR9</f>
        <v>1.7874756295063743E-2</v>
      </c>
      <c r="BS11" s="170">
        <f t="shared" ref="BS11:BU11" si="74">BS8-BS9</f>
        <v>1.5590124778771419E-2</v>
      </c>
      <c r="BT11" s="170">
        <f t="shared" si="74"/>
        <v>3.9202289018750003E-2</v>
      </c>
      <c r="BU11" s="170">
        <f t="shared" si="74"/>
        <v>8.3547947546219303E-2</v>
      </c>
      <c r="BV11" s="170">
        <f t="shared" ref="BV11" si="75">BV8-BV9</f>
        <v>0</v>
      </c>
      <c r="BX11" s="114" t="s">
        <v>50</v>
      </c>
      <c r="BY11" s="114">
        <f>BY8-BY9</f>
        <v>0</v>
      </c>
      <c r="BZ11" s="122">
        <f t="shared" ref="BZ11:CE11" si="76">BZ8-BZ9</f>
        <v>2.3333554732233974E-2</v>
      </c>
      <c r="CA11" s="122">
        <f t="shared" si="76"/>
        <v>3.8655305274384766E-2</v>
      </c>
      <c r="CB11" s="122">
        <f t="shared" si="76"/>
        <v>3.2914019527555238E-2</v>
      </c>
      <c r="CC11" s="122">
        <f t="shared" si="76"/>
        <v>3.185912394856838E-2</v>
      </c>
      <c r="CD11" s="122">
        <f t="shared" si="76"/>
        <v>4.952702861251268E-2</v>
      </c>
      <c r="CE11" s="122">
        <f t="shared" si="76"/>
        <v>5.5292710454880045E-2</v>
      </c>
      <c r="CF11" s="122"/>
      <c r="CG11" s="121"/>
      <c r="CH11" s="114" t="s">
        <v>50</v>
      </c>
      <c r="CI11" s="114">
        <f>CI8-CI9</f>
        <v>0</v>
      </c>
      <c r="CJ11" s="122">
        <f t="shared" ref="CJ11:CO11" si="77">CJ8-CJ9</f>
        <v>1.2483239214461428E-2</v>
      </c>
      <c r="CK11" s="122">
        <f t="shared" si="77"/>
        <v>5.1214325433204533E-2</v>
      </c>
      <c r="CL11" s="122">
        <f t="shared" si="77"/>
        <v>6.3543696269141192E-2</v>
      </c>
      <c r="CM11" s="122">
        <f t="shared" si="77"/>
        <v>5.3724704429781001E-2</v>
      </c>
      <c r="CN11" s="122">
        <f t="shared" si="77"/>
        <v>5.7098844898604506E-2</v>
      </c>
      <c r="CO11" s="122">
        <f t="shared" si="77"/>
        <v>4.6654650882351989E-2</v>
      </c>
      <c r="CP11" s="122"/>
      <c r="CR11" s="114" t="s">
        <v>50</v>
      </c>
      <c r="CS11"/>
      <c r="CT11"/>
      <c r="CU11"/>
      <c r="CV11"/>
      <c r="CW11"/>
      <c r="CX11" s="114" t="s">
        <v>50</v>
      </c>
      <c r="CY11"/>
      <c r="CZ11"/>
      <c r="DA11"/>
      <c r="DB11"/>
      <c r="DD11" s="114" t="s">
        <v>50</v>
      </c>
      <c r="DE11" s="161"/>
      <c r="DF11" s="161"/>
      <c r="DG11" s="161"/>
      <c r="DH11" s="161"/>
      <c r="DJ11" s="114" t="s">
        <v>50</v>
      </c>
      <c r="DK11" s="161"/>
      <c r="DL11" s="161"/>
      <c r="DM11" s="161"/>
      <c r="DN11" s="161"/>
    </row>
    <row r="12" spans="1:118" x14ac:dyDescent="0.2">
      <c r="A12" s="103" t="s">
        <v>51</v>
      </c>
      <c r="B12" s="124">
        <f>B10-B8</f>
        <v>0</v>
      </c>
      <c r="C12" s="125">
        <f t="shared" ref="C12:H12" si="78">C10-C8</f>
        <v>9</v>
      </c>
      <c r="D12" s="125">
        <f t="shared" si="78"/>
        <v>16</v>
      </c>
      <c r="E12" s="125">
        <f t="shared" si="78"/>
        <v>14.049999999999983</v>
      </c>
      <c r="F12" s="125">
        <f t="shared" si="78"/>
        <v>24.574999999999974</v>
      </c>
      <c r="G12" s="125">
        <f t="shared" si="78"/>
        <v>12.524999999999991</v>
      </c>
      <c r="H12" s="125">
        <f t="shared" si="78"/>
        <v>6</v>
      </c>
      <c r="J12" s="103" t="s">
        <v>51</v>
      </c>
      <c r="K12" s="27">
        <f>K10-K8</f>
        <v>4.5249999999999915</v>
      </c>
      <c r="L12" s="27">
        <f t="shared" ref="L12:T12" si="79">L10-L8</f>
        <v>4</v>
      </c>
      <c r="M12" s="27">
        <f t="shared" si="79"/>
        <v>2</v>
      </c>
      <c r="N12" s="27">
        <f t="shared" si="79"/>
        <v>4</v>
      </c>
      <c r="O12" s="27">
        <f t="shared" si="79"/>
        <v>0</v>
      </c>
      <c r="P12" s="27">
        <f t="shared" si="79"/>
        <v>4</v>
      </c>
      <c r="Q12" s="27">
        <f t="shared" si="79"/>
        <v>1</v>
      </c>
      <c r="R12" s="27">
        <f t="shared" si="79"/>
        <v>0</v>
      </c>
      <c r="S12" s="27">
        <f t="shared" si="79"/>
        <v>6.5249999999999915</v>
      </c>
      <c r="T12" s="27">
        <f t="shared" si="79"/>
        <v>15</v>
      </c>
      <c r="W12" s="103" t="s">
        <v>51</v>
      </c>
      <c r="X12" s="171">
        <f>X10-X8</f>
        <v>8.9049999999999963E-3</v>
      </c>
      <c r="Y12" s="171">
        <f t="shared" ref="Y12:AA12" si="80">Y10-Y8</f>
        <v>1.0800000000000032E-2</v>
      </c>
      <c r="Z12" s="171">
        <f t="shared" si="80"/>
        <v>8.6050000000000293E-3</v>
      </c>
      <c r="AA12" s="171">
        <f t="shared" si="80"/>
        <v>4.4000000000000011E-3</v>
      </c>
      <c r="AB12" s="171">
        <f t="shared" ref="AB12:AC12" si="81">AB10-AB8</f>
        <v>4.3049999999999963E-3</v>
      </c>
      <c r="AC12" s="171">
        <f t="shared" si="81"/>
        <v>9.015000000000023E-3</v>
      </c>
      <c r="AD12" s="128"/>
      <c r="AE12" s="123" t="s">
        <v>51</v>
      </c>
      <c r="AF12" s="123">
        <f>AF10-AF8</f>
        <v>0</v>
      </c>
      <c r="AG12" s="127">
        <f t="shared" ref="AG12:AL12" si="82">AG10-AG8</f>
        <v>6.1419919210957234E-3</v>
      </c>
      <c r="AH12" s="127">
        <f t="shared" si="82"/>
        <v>1.2246100752642972E-2</v>
      </c>
      <c r="AI12" s="127">
        <f t="shared" si="82"/>
        <v>1.5482374861661624E-2</v>
      </c>
      <c r="AJ12" s="127">
        <f t="shared" si="82"/>
        <v>1.2569833674640513E-2</v>
      </c>
      <c r="AK12" s="127">
        <f t="shared" si="82"/>
        <v>9.2348882793623563E-3</v>
      </c>
      <c r="AL12" s="127">
        <f t="shared" si="82"/>
        <v>6.7982775043956001E-3</v>
      </c>
      <c r="AM12" s="127"/>
      <c r="AO12" s="123" t="s">
        <v>51</v>
      </c>
      <c r="AP12" s="123">
        <f>AP10-AP8</f>
        <v>0</v>
      </c>
      <c r="AQ12" s="127">
        <f t="shared" ref="AQ12:AV12" si="83">AQ10-AQ8</f>
        <v>8.8819875776397494E-3</v>
      </c>
      <c r="AR12" s="127">
        <f t="shared" si="83"/>
        <v>2.9226041182406737E-2</v>
      </c>
      <c r="AS12" s="127">
        <f t="shared" si="83"/>
        <v>2.1593928523980316E-2</v>
      </c>
      <c r="AT12" s="127">
        <f t="shared" si="83"/>
        <v>1.9493332234071681E-2</v>
      </c>
      <c r="AU12" s="127">
        <f t="shared" si="83"/>
        <v>2.5731865053448585E-2</v>
      </c>
      <c r="AV12" s="127">
        <f t="shared" si="83"/>
        <v>2.4700264784583287E-2</v>
      </c>
      <c r="AW12" s="126">
        <f t="shared" ref="AW12" si="84">AW10-AW8</f>
        <v>1.2218576628309857E-2</v>
      </c>
      <c r="AX12" s="126">
        <f t="shared" ref="AX12" si="85">AX10-AX8</f>
        <v>25.524999999999977</v>
      </c>
      <c r="AY12" s="128"/>
      <c r="AZ12" s="123" t="s">
        <v>51</v>
      </c>
      <c r="BA12" s="123">
        <f>BA10-BA8</f>
        <v>0</v>
      </c>
      <c r="BB12" s="127">
        <f t="shared" ref="BB12:BH12" si="86">BB10-BB8</f>
        <v>0.12305634581950375</v>
      </c>
      <c r="BC12" s="127">
        <f t="shared" si="86"/>
        <v>0.10047473867595813</v>
      </c>
      <c r="BD12" s="127">
        <f t="shared" si="86"/>
        <v>8.4343811680018588E-2</v>
      </c>
      <c r="BE12" s="127">
        <f t="shared" si="86"/>
        <v>6.6835818834576122E-2</v>
      </c>
      <c r="BF12" s="127">
        <f t="shared" si="86"/>
        <v>0.15185185185185168</v>
      </c>
      <c r="BG12" s="127">
        <f t="shared" si="86"/>
        <v>0.19886363636363635</v>
      </c>
      <c r="BH12" s="127">
        <f t="shared" si="86"/>
        <v>4.4773257083999929E-2</v>
      </c>
      <c r="BI12" s="128"/>
      <c r="BJ12" s="123" t="s">
        <v>51</v>
      </c>
      <c r="BK12" s="127">
        <f t="shared" ref="BK12" si="87">BK10-BK8</f>
        <v>2.5447184989681168E-2</v>
      </c>
      <c r="BL12" s="127">
        <f t="shared" ref="BL12:BN12" si="88">BL10-BL8</f>
        <v>2.3502927940270306E-2</v>
      </c>
      <c r="BM12" s="127">
        <f t="shared" si="88"/>
        <v>1.8445132991584096E-2</v>
      </c>
      <c r="BN12" s="127">
        <f t="shared" si="88"/>
        <v>3.0917711139972437E-2</v>
      </c>
      <c r="BQ12" s="103" t="s">
        <v>51</v>
      </c>
      <c r="BR12" s="171">
        <f>BR10-BR8</f>
        <v>2.6688309338815608E-2</v>
      </c>
      <c r="BS12" s="171">
        <f t="shared" ref="BS12:BU12" si="89">BS10-BS8</f>
        <v>2.2825828235713441E-2</v>
      </c>
      <c r="BT12" s="171">
        <f t="shared" si="89"/>
        <v>3.3382994587642822E-2</v>
      </c>
      <c r="BU12" s="171">
        <f t="shared" si="89"/>
        <v>6.5857607376648253E-2</v>
      </c>
      <c r="BV12" s="171">
        <f t="shared" ref="BV12" si="90">BV10-BV8</f>
        <v>0</v>
      </c>
      <c r="BX12" s="123" t="s">
        <v>51</v>
      </c>
      <c r="BY12" s="123">
        <f>BY10-BY8</f>
        <v>0</v>
      </c>
      <c r="BZ12" s="127">
        <f t="shared" ref="BZ12:CE12" si="91">BZ10-BZ8</f>
        <v>3.0731307276207986E-2</v>
      </c>
      <c r="CA12" s="127">
        <f t="shared" si="91"/>
        <v>2.4685216224592965E-2</v>
      </c>
      <c r="CB12" s="127">
        <f t="shared" si="91"/>
        <v>2.3417272460386052E-2</v>
      </c>
      <c r="CC12" s="127">
        <f t="shared" si="91"/>
        <v>3.2834913968620594E-2</v>
      </c>
      <c r="CD12" s="127">
        <f t="shared" si="91"/>
        <v>4.6418165795755861E-2</v>
      </c>
      <c r="CE12" s="127">
        <f t="shared" si="91"/>
        <v>4.9200216583197953E-2</v>
      </c>
      <c r="CF12" s="127"/>
      <c r="CG12" s="128"/>
      <c r="CH12" s="123" t="s">
        <v>51</v>
      </c>
      <c r="CI12" s="123">
        <f>CI10-CI8</f>
        <v>0</v>
      </c>
      <c r="CJ12" s="127">
        <f t="shared" ref="CJ12:CO12" si="92">CJ10-CJ8</f>
        <v>1.0695742127831163E-2</v>
      </c>
      <c r="CK12" s="127">
        <f t="shared" si="92"/>
        <v>6.1854408483544121E-2</v>
      </c>
      <c r="CL12" s="127">
        <f t="shared" si="92"/>
        <v>4.7523049293202335E-2</v>
      </c>
      <c r="CM12" s="127">
        <f t="shared" si="92"/>
        <v>7.4905039390657346E-2</v>
      </c>
      <c r="CN12" s="127">
        <f t="shared" si="92"/>
        <v>5.2559462952724123E-2</v>
      </c>
      <c r="CO12" s="127">
        <f t="shared" si="92"/>
        <v>5.1166687135306754E-2</v>
      </c>
      <c r="CP12" s="127"/>
      <c r="CR12" s="123" t="s">
        <v>51</v>
      </c>
      <c r="CS12"/>
      <c r="CT12"/>
      <c r="CU12"/>
      <c r="CV12"/>
      <c r="CW12"/>
      <c r="CX12" s="123" t="s">
        <v>51</v>
      </c>
      <c r="CY12"/>
      <c r="CZ12"/>
      <c r="DA12"/>
      <c r="DB12"/>
      <c r="DD12" s="123" t="s">
        <v>51</v>
      </c>
      <c r="DE12" s="161"/>
      <c r="DF12" s="161"/>
      <c r="DG12" s="161"/>
      <c r="DH12" s="161"/>
      <c r="DJ12" s="123" t="s">
        <v>51</v>
      </c>
      <c r="DK12" s="161"/>
      <c r="DL12" s="161"/>
      <c r="DM12" s="161"/>
      <c r="DN12" s="161"/>
    </row>
    <row r="13" spans="1:118" x14ac:dyDescent="0.2">
      <c r="B13" s="118"/>
      <c r="C13" s="120"/>
      <c r="D13" s="120"/>
      <c r="E13" s="120"/>
      <c r="F13" s="120"/>
      <c r="G13" s="120"/>
      <c r="H13" s="120"/>
    </row>
    <row r="14" spans="1:118" x14ac:dyDescent="0.2">
      <c r="B14" s="25">
        <v>0</v>
      </c>
      <c r="C14" s="25">
        <v>30</v>
      </c>
      <c r="D14" s="25">
        <v>67</v>
      </c>
      <c r="E14" s="25">
        <v>84</v>
      </c>
      <c r="F14" s="25">
        <v>74</v>
      </c>
      <c r="G14" s="25">
        <v>35</v>
      </c>
      <c r="H14" s="25">
        <v>12</v>
      </c>
      <c r="K14" s="27">
        <v>0</v>
      </c>
      <c r="L14" s="27">
        <v>9</v>
      </c>
      <c r="M14" s="27">
        <v>10</v>
      </c>
      <c r="N14" s="27">
        <v>7</v>
      </c>
      <c r="O14" s="27">
        <v>0</v>
      </c>
      <c r="P14" s="27">
        <v>24</v>
      </c>
      <c r="Q14" s="27">
        <v>0</v>
      </c>
      <c r="R14" s="27">
        <v>0</v>
      </c>
      <c r="S14" s="27">
        <v>26</v>
      </c>
      <c r="T14" s="27">
        <v>19</v>
      </c>
      <c r="U14" s="27">
        <v>0</v>
      </c>
      <c r="X14" s="27">
        <v>0.2036</v>
      </c>
      <c r="Y14" s="27">
        <v>0.37259999999999999</v>
      </c>
      <c r="Z14" s="27">
        <v>0.1368</v>
      </c>
      <c r="AA14" s="27">
        <v>3.2000000000000001E-2</v>
      </c>
      <c r="AB14" s="27">
        <v>4.2599999999999999E-2</v>
      </c>
      <c r="AC14" s="27">
        <v>0.21240000000000001</v>
      </c>
      <c r="AF14" s="27">
        <v>0</v>
      </c>
      <c r="AG14" s="27">
        <v>2.6255707762557076E-2</v>
      </c>
      <c r="AH14" s="27">
        <v>6.1371841155234655E-2</v>
      </c>
      <c r="AI14" s="27">
        <v>5.4809843400447429E-2</v>
      </c>
      <c r="AJ14" s="27">
        <v>6.2699256110520726E-2</v>
      </c>
      <c r="AK14" s="27">
        <v>1.0430247718383311E-2</v>
      </c>
      <c r="AL14" s="27">
        <v>7.2358900144717797E-3</v>
      </c>
      <c r="AP14" s="27">
        <v>0</v>
      </c>
      <c r="AQ14" s="27">
        <v>1.8987341772151899E-2</v>
      </c>
      <c r="AR14" s="27">
        <v>6.7911714770797965E-2</v>
      </c>
      <c r="AS14" s="27">
        <v>9.7103918228279393E-2</v>
      </c>
      <c r="AT14" s="27">
        <v>9.5477386934673364E-2</v>
      </c>
      <c r="AU14" s="27">
        <v>9.1240875912408759E-2</v>
      </c>
      <c r="AV14" s="27">
        <v>0.11320754716981132</v>
      </c>
      <c r="AW14" s="27">
        <v>7.6086956521739135E-2</v>
      </c>
      <c r="AX14" s="27">
        <v>195</v>
      </c>
      <c r="BA14" s="27">
        <v>0</v>
      </c>
      <c r="BB14" s="27">
        <v>0.58536585365853655</v>
      </c>
      <c r="BC14" s="27">
        <v>0.61458333333333337</v>
      </c>
      <c r="BD14" s="27">
        <v>0.54166666666666663</v>
      </c>
      <c r="BE14" s="27">
        <v>0.74444444444444446</v>
      </c>
      <c r="BF14" s="27">
        <v>0.3888888888888889</v>
      </c>
      <c r="BG14" s="27">
        <v>0.27777777777777779</v>
      </c>
      <c r="BH14" s="27">
        <v>0.59610027855153203</v>
      </c>
      <c r="BK14" s="27">
        <v>3.2202995877391581E-2</v>
      </c>
      <c r="BL14" s="27">
        <v>5.0494098724388967E-2</v>
      </c>
      <c r="BM14" s="27">
        <v>9.2161172150535001E-2</v>
      </c>
      <c r="BN14" s="27">
        <v>0.82514173324768447</v>
      </c>
      <c r="BR14" s="27">
        <v>0.37083333333333335</v>
      </c>
      <c r="BS14" s="27">
        <v>0.71443907675791729</v>
      </c>
      <c r="BT14" s="27">
        <v>0.65289256198347112</v>
      </c>
      <c r="BU14" s="27">
        <v>0.67500000000000004</v>
      </c>
      <c r="BV14" s="27">
        <v>0</v>
      </c>
      <c r="BY14" s="27">
        <v>0</v>
      </c>
      <c r="BZ14" s="27">
        <v>0.34556962025316457</v>
      </c>
      <c r="CA14" s="27">
        <v>0.68760611205432942</v>
      </c>
      <c r="CB14" s="27">
        <v>0.7018739352640545</v>
      </c>
      <c r="CC14" s="27">
        <v>0.68509212730318259</v>
      </c>
      <c r="CD14" s="27">
        <v>0.6970802919708029</v>
      </c>
      <c r="CE14" s="27">
        <v>0.64779874213836475</v>
      </c>
      <c r="CI14" s="27">
        <v>0</v>
      </c>
      <c r="CJ14" s="27">
        <v>4.6548956661316213E-2</v>
      </c>
      <c r="CK14" s="27">
        <v>0.24691358024691357</v>
      </c>
      <c r="CL14" s="27">
        <v>0.43119266055045874</v>
      </c>
      <c r="CM14" s="27">
        <v>0.35526315789473684</v>
      </c>
      <c r="CN14" s="27">
        <v>0.31797235023041476</v>
      </c>
      <c r="CO14" s="27">
        <v>0.3888888888888889</v>
      </c>
    </row>
    <row r="15" spans="1:118" x14ac:dyDescent="0.2">
      <c r="B15" s="25">
        <v>0</v>
      </c>
      <c r="C15" s="25">
        <v>33</v>
      </c>
      <c r="D15" s="25">
        <v>78</v>
      </c>
      <c r="E15" s="25">
        <v>95</v>
      </c>
      <c r="F15" s="25">
        <v>74</v>
      </c>
      <c r="G15" s="25">
        <v>36</v>
      </c>
      <c r="H15" s="25">
        <v>13</v>
      </c>
      <c r="K15" s="27">
        <v>0</v>
      </c>
      <c r="L15" s="27">
        <v>5</v>
      </c>
      <c r="M15" s="27">
        <v>9</v>
      </c>
      <c r="N15" s="27">
        <v>8</v>
      </c>
      <c r="O15" s="27">
        <v>0</v>
      </c>
      <c r="P15" s="27">
        <v>21</v>
      </c>
      <c r="Q15" s="27">
        <v>1</v>
      </c>
      <c r="R15" s="27">
        <v>0</v>
      </c>
      <c r="S15" s="27">
        <v>19</v>
      </c>
      <c r="T15" s="27">
        <v>27</v>
      </c>
      <c r="U15" s="27">
        <v>0</v>
      </c>
      <c r="X15" s="27">
        <v>0.20599999999999999</v>
      </c>
      <c r="Y15" s="27">
        <v>0.38240000000000002</v>
      </c>
      <c r="Z15" s="27">
        <v>0.13220000000000001</v>
      </c>
      <c r="AA15" s="27">
        <v>3.3399999999999999E-2</v>
      </c>
      <c r="AB15" s="27">
        <v>0.04</v>
      </c>
      <c r="AC15" s="27">
        <v>0.20599999999999999</v>
      </c>
      <c r="AF15" s="27">
        <v>0</v>
      </c>
      <c r="AG15" s="27">
        <v>2.4390243902439025E-2</v>
      </c>
      <c r="AH15" s="27">
        <v>5.7761732851985562E-2</v>
      </c>
      <c r="AI15" s="27">
        <v>5.8100558659217878E-2</v>
      </c>
      <c r="AJ15" s="27">
        <v>4.7565118912797279E-2</v>
      </c>
      <c r="AK15" s="27">
        <v>1.2804097311139564E-2</v>
      </c>
      <c r="AL15" s="27">
        <v>5.6497175141242938E-3</v>
      </c>
      <c r="AP15" s="27">
        <v>0</v>
      </c>
      <c r="AQ15" s="27">
        <v>2.4509803921568627E-2</v>
      </c>
      <c r="AR15" s="27">
        <v>6.156405990016639E-2</v>
      </c>
      <c r="AS15" s="27">
        <v>9.949409780775717E-2</v>
      </c>
      <c r="AT15" s="27">
        <v>8.9965397923875437E-2</v>
      </c>
      <c r="AU15" s="27">
        <v>9.6428571428571433E-2</v>
      </c>
      <c r="AV15" s="27">
        <v>0.11264822134387352</v>
      </c>
      <c r="AW15" s="27">
        <v>7.6354679802955669E-2</v>
      </c>
      <c r="AX15" s="27">
        <v>178</v>
      </c>
      <c r="BA15" s="27">
        <v>0</v>
      </c>
      <c r="BB15" s="27">
        <v>0.61904761904761907</v>
      </c>
      <c r="BC15" s="27">
        <v>0.6179775280898876</v>
      </c>
      <c r="BD15" s="27">
        <v>0.68085106382978722</v>
      </c>
      <c r="BE15" s="27">
        <v>0.68</v>
      </c>
      <c r="BF15" s="27">
        <v>0.6</v>
      </c>
      <c r="BG15" s="27">
        <v>0.27777777777777779</v>
      </c>
      <c r="BH15" s="27">
        <v>0.62973760932944611</v>
      </c>
      <c r="BK15" s="27">
        <v>3.2674810809874895E-2</v>
      </c>
      <c r="BL15" s="27">
        <v>5.3487974192394094E-2</v>
      </c>
      <c r="BM15" s="27">
        <v>5.7238286217233134E-2</v>
      </c>
      <c r="BN15" s="27">
        <v>0.85659892878049781</v>
      </c>
      <c r="BR15" s="27">
        <v>0.37538461538461537</v>
      </c>
      <c r="BS15" s="27">
        <v>0.69246861924686187</v>
      </c>
      <c r="BT15" s="27">
        <v>0.61</v>
      </c>
      <c r="BU15" s="27">
        <v>0.6467065868263473</v>
      </c>
      <c r="BV15" s="27">
        <v>0</v>
      </c>
      <c r="BY15" s="27">
        <v>0</v>
      </c>
      <c r="BZ15" s="27">
        <v>0.35906862745098039</v>
      </c>
      <c r="CA15" s="27">
        <v>0.68219633943427616</v>
      </c>
      <c r="CB15" s="27">
        <v>0.6998313659359191</v>
      </c>
      <c r="CC15" s="27">
        <v>0.66608996539792387</v>
      </c>
      <c r="CD15" s="27">
        <v>0.62321428571428572</v>
      </c>
      <c r="CE15" s="27">
        <v>0.61660079051383399</v>
      </c>
      <c r="CI15" s="27">
        <v>0</v>
      </c>
      <c r="CJ15" s="27">
        <v>5.6692913385826771E-2</v>
      </c>
      <c r="CK15" s="27">
        <v>0.27058823529411763</v>
      </c>
      <c r="CL15" s="27">
        <v>0.36</v>
      </c>
      <c r="CM15" s="27">
        <v>0.38709677419354838</v>
      </c>
      <c r="CN15" s="27">
        <v>0.41964285714285715</v>
      </c>
      <c r="CO15" s="27">
        <v>0.43386243386243384</v>
      </c>
    </row>
    <row r="16" spans="1:118" x14ac:dyDescent="0.2">
      <c r="B16" s="25">
        <v>0</v>
      </c>
      <c r="C16" s="25">
        <v>26</v>
      </c>
      <c r="D16" s="25">
        <v>71</v>
      </c>
      <c r="E16" s="25">
        <v>86</v>
      </c>
      <c r="F16" s="25">
        <v>67</v>
      </c>
      <c r="G16" s="25">
        <v>28</v>
      </c>
      <c r="H16" s="25">
        <v>10</v>
      </c>
      <c r="K16" s="27">
        <v>0</v>
      </c>
      <c r="L16" s="27">
        <v>4</v>
      </c>
      <c r="M16" s="27">
        <v>11</v>
      </c>
      <c r="N16" s="27">
        <v>9</v>
      </c>
      <c r="O16" s="27">
        <v>0</v>
      </c>
      <c r="P16" s="27">
        <v>20</v>
      </c>
      <c r="Q16" s="27">
        <v>1</v>
      </c>
      <c r="R16" s="27">
        <v>0</v>
      </c>
      <c r="S16" s="27">
        <v>23</v>
      </c>
      <c r="T16" s="27">
        <v>27</v>
      </c>
      <c r="U16" s="27">
        <v>0</v>
      </c>
      <c r="X16" s="27">
        <v>0.20619999999999999</v>
      </c>
      <c r="Y16" s="27">
        <v>0.37219999999999998</v>
      </c>
      <c r="Z16" s="27">
        <v>0.1414</v>
      </c>
      <c r="AA16" s="27">
        <v>3.4000000000000002E-2</v>
      </c>
      <c r="AB16" s="27">
        <v>4.3400000000000001E-2</v>
      </c>
      <c r="AC16" s="27">
        <v>0.20280000000000001</v>
      </c>
      <c r="AF16" s="27">
        <v>0</v>
      </c>
      <c r="AG16" s="27">
        <v>2.7939464493597205E-2</v>
      </c>
      <c r="AH16" s="27">
        <v>5.9808612440191387E-2</v>
      </c>
      <c r="AI16" s="27">
        <v>6.1702127659574467E-2</v>
      </c>
      <c r="AJ16" s="27">
        <v>4.5258620689655173E-2</v>
      </c>
      <c r="AK16" s="27">
        <v>2.7522935779816515E-2</v>
      </c>
      <c r="AL16" s="27">
        <v>8.9020771513353119E-3</v>
      </c>
      <c r="AP16" s="27">
        <v>0</v>
      </c>
      <c r="AQ16" s="27">
        <v>2.600780234070221E-2</v>
      </c>
      <c r="AR16" s="27">
        <v>7.3578595317725759E-2</v>
      </c>
      <c r="AS16" s="27">
        <v>6.9354838709677416E-2</v>
      </c>
      <c r="AT16" s="27">
        <v>9.0460526315789477E-2</v>
      </c>
      <c r="AU16" s="27">
        <v>0.10905730129390019</v>
      </c>
      <c r="AV16" s="27">
        <v>0.10126582278481013</v>
      </c>
      <c r="AW16" s="27">
        <v>7.4515235457063705E-2</v>
      </c>
      <c r="AX16" s="27">
        <v>201</v>
      </c>
      <c r="BA16" s="27">
        <v>0</v>
      </c>
      <c r="BB16" s="27">
        <v>0.66666666666666663</v>
      </c>
      <c r="BC16" s="27">
        <v>0.6428571428571429</v>
      </c>
      <c r="BD16" s="27">
        <v>0.68141592920353977</v>
      </c>
      <c r="BE16" s="27">
        <v>0.6428571428571429</v>
      </c>
      <c r="BF16" s="27">
        <v>0.58333333333333337</v>
      </c>
      <c r="BG16" s="27">
        <v>0.5</v>
      </c>
      <c r="BH16" s="27">
        <v>0.6450704225352113</v>
      </c>
      <c r="BK16" s="27">
        <v>4.3570806712208705E-2</v>
      </c>
      <c r="BL16" s="27">
        <v>4.8395254697019927E-2</v>
      </c>
      <c r="BM16" s="27">
        <v>6.5773919684487689E-2</v>
      </c>
      <c r="BN16" s="27">
        <v>0.84226001890628366</v>
      </c>
      <c r="BR16" s="27">
        <v>0.37002096436058701</v>
      </c>
      <c r="BS16" s="27">
        <v>0.67168189145620638</v>
      </c>
      <c r="BT16" s="27">
        <v>0.59840000000000004</v>
      </c>
      <c r="BU16" s="27">
        <v>0.62941176470588234</v>
      </c>
      <c r="BV16" s="27">
        <v>0</v>
      </c>
      <c r="BY16" s="27">
        <v>0</v>
      </c>
      <c r="BZ16" s="27">
        <v>0.35370611183355005</v>
      </c>
      <c r="CA16" s="27">
        <v>0.63210702341137126</v>
      </c>
      <c r="CB16" s="27">
        <v>0.6596774193548387</v>
      </c>
      <c r="CC16" s="27">
        <v>0.64802631578947367</v>
      </c>
      <c r="CD16" s="27">
        <v>0.60073937153419599</v>
      </c>
      <c r="CE16" s="27">
        <v>0.64556962025316456</v>
      </c>
      <c r="CI16" s="27">
        <v>0</v>
      </c>
      <c r="CJ16" s="27">
        <v>5.2545155993431854E-2</v>
      </c>
      <c r="CK16" s="27">
        <v>0.26356589147286824</v>
      </c>
      <c r="CL16" s="27">
        <v>0.37991266375545851</v>
      </c>
      <c r="CM16" s="27">
        <v>0.36956521739130432</v>
      </c>
      <c r="CN16" s="27">
        <v>0.41921397379912662</v>
      </c>
      <c r="CO16" s="27">
        <v>0.40306122448979592</v>
      </c>
    </row>
    <row r="17" spans="2:93" x14ac:dyDescent="0.2">
      <c r="B17" s="25">
        <v>0</v>
      </c>
      <c r="C17" s="25">
        <v>22</v>
      </c>
      <c r="D17" s="25">
        <v>60</v>
      </c>
      <c r="E17" s="25">
        <v>61</v>
      </c>
      <c r="F17" s="25">
        <v>61</v>
      </c>
      <c r="G17" s="25">
        <v>31</v>
      </c>
      <c r="H17" s="25">
        <v>10</v>
      </c>
      <c r="K17" s="27">
        <v>0</v>
      </c>
      <c r="L17" s="27">
        <v>8</v>
      </c>
      <c r="M17" s="27">
        <v>11</v>
      </c>
      <c r="N17" s="27">
        <v>7</v>
      </c>
      <c r="O17" s="27">
        <v>0</v>
      </c>
      <c r="P17" s="27">
        <v>23</v>
      </c>
      <c r="Q17" s="27">
        <v>1</v>
      </c>
      <c r="R17" s="27">
        <v>0</v>
      </c>
      <c r="S17" s="27">
        <v>17</v>
      </c>
      <c r="T17" s="27">
        <v>12</v>
      </c>
      <c r="U17" s="27">
        <v>0</v>
      </c>
      <c r="X17" s="27">
        <v>0.21859999999999999</v>
      </c>
      <c r="Y17" s="27">
        <v>0.3674</v>
      </c>
      <c r="Z17" s="27">
        <v>0.13639999999999999</v>
      </c>
      <c r="AA17" s="27">
        <v>3.44E-2</v>
      </c>
      <c r="AB17" s="27">
        <v>4.1000000000000002E-2</v>
      </c>
      <c r="AC17" s="27">
        <v>0.20219999999999999</v>
      </c>
      <c r="AF17" s="27">
        <v>0</v>
      </c>
      <c r="AG17" s="27">
        <v>2.5879917184265012E-2</v>
      </c>
      <c r="AH17" s="27">
        <v>5.6192660550458719E-2</v>
      </c>
      <c r="AI17" s="27">
        <v>5.7303370786516851E-2</v>
      </c>
      <c r="AJ17" s="27">
        <v>5.4906542056074766E-2</v>
      </c>
      <c r="AK17" s="27">
        <v>1.6666666666666666E-2</v>
      </c>
      <c r="AL17" s="27">
        <v>7.1839080459770114E-3</v>
      </c>
      <c r="AP17" s="27">
        <v>0</v>
      </c>
      <c r="AQ17" s="27">
        <v>1.7261219792865361E-2</v>
      </c>
      <c r="AR17" s="27">
        <v>7.03125E-2</v>
      </c>
      <c r="AS17" s="27">
        <v>0.10380622837370242</v>
      </c>
      <c r="AT17" s="27">
        <v>6.6549912434325745E-2</v>
      </c>
      <c r="AU17" s="27">
        <v>9.3625498007968128E-2</v>
      </c>
      <c r="AV17" s="27">
        <v>0.12195121951219512</v>
      </c>
      <c r="AW17" s="27">
        <v>7.2562979189485219E-2</v>
      </c>
      <c r="AX17" s="27">
        <v>189</v>
      </c>
      <c r="BA17" s="27">
        <v>0</v>
      </c>
      <c r="BB17" s="27">
        <v>0.52083333333333337</v>
      </c>
      <c r="BC17" s="27">
        <v>0.66666666666666663</v>
      </c>
      <c r="BD17" s="27">
        <v>0.63953488372093026</v>
      </c>
      <c r="BE17" s="27">
        <v>0.64473684210526316</v>
      </c>
      <c r="BF17" s="27">
        <v>0.55000000000000004</v>
      </c>
      <c r="BG17" s="27">
        <v>0.46666666666666667</v>
      </c>
      <c r="BH17" s="27">
        <v>0.61746987951807231</v>
      </c>
      <c r="BK17" s="27">
        <v>3.2873707149977546E-2</v>
      </c>
      <c r="BL17" s="27">
        <v>6.5532539028155687E-2</v>
      </c>
      <c r="BM17" s="27">
        <v>7.9817579516017839E-2</v>
      </c>
      <c r="BN17" s="27">
        <v>0.82177617430584893</v>
      </c>
      <c r="BR17" s="27">
        <v>0.35762876579203112</v>
      </c>
      <c r="BS17" s="27">
        <v>0.67283614589003815</v>
      </c>
      <c r="BT17" s="27">
        <v>0.61400651465798051</v>
      </c>
      <c r="BU17" s="27">
        <v>0.59883720930232553</v>
      </c>
      <c r="BV17" s="27">
        <v>0</v>
      </c>
      <c r="BY17" s="27">
        <v>0</v>
      </c>
      <c r="BZ17" s="27">
        <v>0.33601841196777904</v>
      </c>
      <c r="CA17" s="27">
        <v>0.65312499999999996</v>
      </c>
      <c r="CB17" s="27">
        <v>0.69204152249134943</v>
      </c>
      <c r="CC17" s="27">
        <v>0.58669001751313488</v>
      </c>
      <c r="CD17" s="27">
        <v>0.63346613545816732</v>
      </c>
      <c r="CE17" s="27">
        <v>0.65243902439024393</v>
      </c>
      <c r="CI17" s="27">
        <v>0</v>
      </c>
      <c r="CJ17" s="27">
        <v>4.2151162790697673E-2</v>
      </c>
      <c r="CK17" s="27">
        <v>0.24731182795698925</v>
      </c>
      <c r="CL17" s="27">
        <v>0.40948275862068967</v>
      </c>
      <c r="CM17" s="27">
        <v>0.34449760765550241</v>
      </c>
      <c r="CN17" s="27">
        <v>0.38536585365853659</v>
      </c>
      <c r="CO17" s="27">
        <v>0.4354066985645933</v>
      </c>
    </row>
    <row r="18" spans="2:93" x14ac:dyDescent="0.2">
      <c r="B18" s="25">
        <v>0</v>
      </c>
      <c r="C18" s="25">
        <v>29</v>
      </c>
      <c r="D18" s="25">
        <v>68</v>
      </c>
      <c r="E18" s="25">
        <v>83</v>
      </c>
      <c r="F18" s="25">
        <v>75</v>
      </c>
      <c r="G18" s="25">
        <v>37</v>
      </c>
      <c r="H18" s="25">
        <v>6</v>
      </c>
      <c r="K18" s="27">
        <v>0</v>
      </c>
      <c r="L18" s="27">
        <v>5</v>
      </c>
      <c r="M18" s="27">
        <v>10</v>
      </c>
      <c r="N18" s="27">
        <v>11</v>
      </c>
      <c r="O18" s="27">
        <v>0</v>
      </c>
      <c r="P18" s="27">
        <v>17</v>
      </c>
      <c r="Q18" s="27">
        <v>1</v>
      </c>
      <c r="R18" s="27">
        <v>0</v>
      </c>
      <c r="S18" s="27">
        <v>27</v>
      </c>
      <c r="T18" s="27">
        <v>12</v>
      </c>
      <c r="U18" s="27">
        <v>0</v>
      </c>
      <c r="X18" s="27">
        <v>0.19439999999999999</v>
      </c>
      <c r="Y18" s="27">
        <v>0.37819999999999998</v>
      </c>
      <c r="Z18" s="27">
        <v>0.14380000000000001</v>
      </c>
      <c r="AA18" s="27">
        <v>3.2800000000000003E-2</v>
      </c>
      <c r="AB18" s="27">
        <v>3.9399999999999998E-2</v>
      </c>
      <c r="AC18" s="27">
        <v>0.2114</v>
      </c>
      <c r="AF18" s="27">
        <v>0</v>
      </c>
      <c r="AG18" s="27">
        <v>1.3315579227696404E-2</v>
      </c>
      <c r="AH18" s="27">
        <v>6.0024009603841535E-2</v>
      </c>
      <c r="AI18" s="27">
        <v>5.9475806451612906E-2</v>
      </c>
      <c r="AJ18" s="27">
        <v>5.0454086781029264E-2</v>
      </c>
      <c r="AK18" s="27">
        <v>1.0217113665389528E-2</v>
      </c>
      <c r="AL18" s="27">
        <v>1.3846153846153847E-2</v>
      </c>
      <c r="AP18" s="27">
        <v>0</v>
      </c>
      <c r="AQ18" s="27">
        <v>2.0437956204379562E-2</v>
      </c>
      <c r="AR18" s="27">
        <v>6.4144736842105268E-2</v>
      </c>
      <c r="AS18" s="27">
        <v>0.1015625</v>
      </c>
      <c r="AT18" s="27">
        <v>0.1035548686244204</v>
      </c>
      <c r="AU18" s="27">
        <v>0.11130742049469965</v>
      </c>
      <c r="AV18" s="27">
        <v>0.11956521739130435</v>
      </c>
      <c r="AW18" s="27">
        <v>8.402662229617304E-2</v>
      </c>
      <c r="AX18" s="27">
        <v>186</v>
      </c>
      <c r="BA18" s="27">
        <v>0</v>
      </c>
      <c r="BB18" s="27">
        <v>0.47368421052631576</v>
      </c>
      <c r="BC18" s="27">
        <v>0.68131868131868134</v>
      </c>
      <c r="BD18" s="27">
        <v>0.79</v>
      </c>
      <c r="BE18" s="27">
        <v>0.68085106382978722</v>
      </c>
      <c r="BF18" s="27">
        <v>0.47826086956521741</v>
      </c>
      <c r="BG18" s="27">
        <v>0.5625</v>
      </c>
      <c r="BH18" s="27">
        <v>0.68221574344023328</v>
      </c>
      <c r="BK18" s="27">
        <v>5.4751833951188329E-2</v>
      </c>
      <c r="BL18" s="27">
        <v>5.5567127540806172E-2</v>
      </c>
      <c r="BM18" s="27">
        <v>8.3330985610388694E-2</v>
      </c>
      <c r="BN18" s="27">
        <v>0.80635005289761685</v>
      </c>
      <c r="BR18" s="27">
        <v>0.38588754134509373</v>
      </c>
      <c r="BS18" s="27">
        <v>0.67530407191961928</v>
      </c>
      <c r="BT18" s="27">
        <v>0.66614906832298137</v>
      </c>
      <c r="BU18" s="27">
        <v>0.65853658536585369</v>
      </c>
      <c r="BV18" s="27">
        <v>0</v>
      </c>
      <c r="BY18" s="27">
        <v>0</v>
      </c>
      <c r="BZ18" s="27">
        <v>0.36350364963503651</v>
      </c>
      <c r="CA18" s="27">
        <v>0.62171052631578949</v>
      </c>
      <c r="CB18" s="27">
        <v>0.6953125</v>
      </c>
      <c r="CC18" s="27">
        <v>0.652241112828439</v>
      </c>
      <c r="CD18" s="27">
        <v>0.6590106007067138</v>
      </c>
      <c r="CE18" s="27">
        <v>0.64565217391304353</v>
      </c>
      <c r="CI18" s="27">
        <v>0</v>
      </c>
      <c r="CJ18" s="27">
        <v>4.3396226415094337E-2</v>
      </c>
      <c r="CK18" s="27">
        <v>0.23507462686567165</v>
      </c>
      <c r="CL18" s="27">
        <v>0.40816326530612246</v>
      </c>
      <c r="CM18" s="27">
        <v>0.37686567164179102</v>
      </c>
      <c r="CN18" s="27">
        <v>0.37280701754385964</v>
      </c>
      <c r="CO18" s="27">
        <v>0.4101123595505618</v>
      </c>
    </row>
    <row r="19" spans="2:93" x14ac:dyDescent="0.2">
      <c r="B19" s="25">
        <v>0</v>
      </c>
      <c r="C19" s="25">
        <v>29</v>
      </c>
      <c r="D19" s="25">
        <v>66</v>
      </c>
      <c r="E19" s="25">
        <v>81</v>
      </c>
      <c r="F19" s="25">
        <v>65</v>
      </c>
      <c r="G19" s="25">
        <v>33</v>
      </c>
      <c r="H19" s="25">
        <v>12</v>
      </c>
      <c r="K19" s="27">
        <v>0</v>
      </c>
      <c r="L19" s="27">
        <v>6</v>
      </c>
      <c r="M19" s="27">
        <v>10</v>
      </c>
      <c r="N19" s="27">
        <v>9</v>
      </c>
      <c r="O19" s="27">
        <v>0</v>
      </c>
      <c r="P19" s="27">
        <v>20</v>
      </c>
      <c r="Q19" s="27">
        <v>1</v>
      </c>
      <c r="R19" s="27">
        <v>0</v>
      </c>
      <c r="S19" s="27">
        <v>27</v>
      </c>
      <c r="T19" s="27">
        <v>21</v>
      </c>
      <c r="U19" s="27">
        <v>0</v>
      </c>
      <c r="X19" s="27">
        <v>0.2218</v>
      </c>
      <c r="Y19" s="27">
        <v>0.3654</v>
      </c>
      <c r="Z19" s="27">
        <v>0.13400000000000001</v>
      </c>
      <c r="AA19" s="27">
        <v>3.1399999999999997E-2</v>
      </c>
      <c r="AB19" s="27">
        <v>4.5400000000000003E-2</v>
      </c>
      <c r="AC19" s="27">
        <v>0.20200000000000001</v>
      </c>
      <c r="AF19" s="27">
        <v>0</v>
      </c>
      <c r="AG19" s="27">
        <v>2.4539877300613498E-2</v>
      </c>
      <c r="AH19" s="27">
        <v>6.70807453416149E-2</v>
      </c>
      <c r="AI19" s="27">
        <v>6.8711656441717797E-2</v>
      </c>
      <c r="AJ19" s="27">
        <v>6.5819861431870672E-2</v>
      </c>
      <c r="AK19" s="27">
        <v>1.9108280254777069E-2</v>
      </c>
      <c r="AL19" s="27">
        <v>7.989347536617843E-3</v>
      </c>
      <c r="AP19" s="27">
        <v>0</v>
      </c>
      <c r="AQ19" s="27">
        <v>2.2598870056497175E-2</v>
      </c>
      <c r="AR19" s="27">
        <v>6.655290102389079E-2</v>
      </c>
      <c r="AS19" s="27">
        <v>8.2375478927203066E-2</v>
      </c>
      <c r="AT19" s="27">
        <v>8.7971274685816878E-2</v>
      </c>
      <c r="AU19" s="27">
        <v>7.8504672897196259E-2</v>
      </c>
      <c r="AV19" s="27">
        <v>0.11764705882352941</v>
      </c>
      <c r="AW19" s="27">
        <v>7.0818407274731335E-2</v>
      </c>
      <c r="AX19" s="27">
        <v>212</v>
      </c>
      <c r="BA19" s="27">
        <v>0</v>
      </c>
      <c r="BB19" s="27">
        <v>0.54</v>
      </c>
      <c r="BC19" s="27">
        <v>0.64772727272727271</v>
      </c>
      <c r="BD19" s="27">
        <v>0.76829268292682928</v>
      </c>
      <c r="BE19" s="27">
        <v>0.68674698795180722</v>
      </c>
      <c r="BF19" s="27">
        <v>0.5714285714285714</v>
      </c>
      <c r="BG19" s="27">
        <v>0.375</v>
      </c>
      <c r="BH19" s="27">
        <v>0.65129682997118155</v>
      </c>
      <c r="BK19" s="27">
        <v>3.9675873440549313E-2</v>
      </c>
      <c r="BL19" s="27">
        <v>4.1970199414902182E-2</v>
      </c>
      <c r="BM19" s="27">
        <v>0.10254665718396945</v>
      </c>
      <c r="BN19" s="27">
        <v>0.81580726996057895</v>
      </c>
      <c r="BR19" s="27">
        <v>0.38979788257940329</v>
      </c>
      <c r="BS19" s="27">
        <v>0.67870826491516145</v>
      </c>
      <c r="BT19" s="27">
        <v>0.63696369636963701</v>
      </c>
      <c r="BU19" s="27">
        <v>0.66878980891719741</v>
      </c>
      <c r="BV19" s="27">
        <v>0</v>
      </c>
      <c r="BY19" s="27">
        <v>0</v>
      </c>
      <c r="BZ19" s="27">
        <v>0.36384180790960452</v>
      </c>
      <c r="CA19" s="27">
        <v>0.68941979522184305</v>
      </c>
      <c r="CB19" s="27">
        <v>0.68390804597701149</v>
      </c>
      <c r="CC19" s="27">
        <v>0.64452423698384198</v>
      </c>
      <c r="CD19" s="27">
        <v>0.63925233644859814</v>
      </c>
      <c r="CE19" s="27">
        <v>0.6470588235294118</v>
      </c>
      <c r="CI19" s="27">
        <v>0</v>
      </c>
      <c r="CJ19" s="27">
        <v>5.6195965417867436E-2</v>
      </c>
      <c r="CK19" s="27">
        <v>0.22007722007722008</v>
      </c>
      <c r="CL19" s="27">
        <v>0.37967914438502676</v>
      </c>
      <c r="CM19" s="27">
        <v>0.37788018433179721</v>
      </c>
      <c r="CN19" s="27">
        <v>0.33495145631067963</v>
      </c>
      <c r="CO19" s="27">
        <v>0.36929460580912865</v>
      </c>
    </row>
    <row r="20" spans="2:93" x14ac:dyDescent="0.2">
      <c r="B20" s="25">
        <v>0</v>
      </c>
      <c r="C20" s="25">
        <v>21</v>
      </c>
      <c r="D20" s="25">
        <v>86</v>
      </c>
      <c r="E20" s="25">
        <v>87</v>
      </c>
      <c r="F20" s="25">
        <v>68</v>
      </c>
      <c r="G20" s="25">
        <v>46</v>
      </c>
      <c r="H20" s="25">
        <v>16</v>
      </c>
      <c r="K20" s="27">
        <v>5</v>
      </c>
      <c r="L20" s="27">
        <v>7</v>
      </c>
      <c r="M20" s="27">
        <v>12</v>
      </c>
      <c r="N20" s="27">
        <v>13</v>
      </c>
      <c r="O20" s="27">
        <v>0</v>
      </c>
      <c r="P20" s="27">
        <v>22</v>
      </c>
      <c r="Q20" s="27">
        <v>0</v>
      </c>
      <c r="R20" s="27">
        <v>0</v>
      </c>
      <c r="S20" s="27">
        <v>18</v>
      </c>
      <c r="T20" s="27">
        <v>32</v>
      </c>
      <c r="U20" s="27">
        <v>0</v>
      </c>
      <c r="X20" s="27">
        <v>0.20580000000000001</v>
      </c>
      <c r="Y20" s="27">
        <v>0.37219999999999998</v>
      </c>
      <c r="Z20" s="27">
        <v>0.14080000000000001</v>
      </c>
      <c r="AA20" s="27">
        <v>3.3799999999999997E-2</v>
      </c>
      <c r="AB20" s="27">
        <v>4.7199999999999999E-2</v>
      </c>
      <c r="AC20" s="27">
        <v>0.20019999999999999</v>
      </c>
      <c r="AF20" s="27">
        <v>0</v>
      </c>
      <c r="AG20" s="27">
        <v>2.4110218140068886E-2</v>
      </c>
      <c r="AH20" s="27">
        <v>5.9428571428571428E-2</v>
      </c>
      <c r="AI20" s="27">
        <v>7.9617834394904455E-2</v>
      </c>
      <c r="AJ20" s="27">
        <v>5.1422319474835887E-2</v>
      </c>
      <c r="AK20" s="27">
        <v>2.1794871794871794E-2</v>
      </c>
      <c r="AL20" s="27">
        <v>3.2362459546925568E-3</v>
      </c>
      <c r="AP20" s="27">
        <v>0</v>
      </c>
      <c r="AQ20" s="27">
        <v>2.4050632911392405E-2</v>
      </c>
      <c r="AR20" s="27">
        <v>8.3596214511041003E-2</v>
      </c>
      <c r="AS20" s="27">
        <v>8.1125827814569534E-2</v>
      </c>
      <c r="AT20" s="27">
        <v>0.10033444816053512</v>
      </c>
      <c r="AU20" s="27">
        <v>0.11030741410488246</v>
      </c>
      <c r="AV20" s="27">
        <v>0.12442396313364056</v>
      </c>
      <c r="AW20" s="27">
        <v>8.1926376972045398E-2</v>
      </c>
      <c r="AX20" s="27">
        <v>214</v>
      </c>
      <c r="BA20" s="27">
        <v>0</v>
      </c>
      <c r="BB20" s="27">
        <v>0.6216216216216216</v>
      </c>
      <c r="BC20" s="27">
        <v>0.62745098039215685</v>
      </c>
      <c r="BD20" s="27">
        <v>0.7068965517241379</v>
      </c>
      <c r="BE20" s="27">
        <v>0.66666666666666663</v>
      </c>
      <c r="BF20" s="27">
        <v>0.58064516129032262</v>
      </c>
      <c r="BG20" s="27">
        <v>0.15</v>
      </c>
      <c r="BH20" s="27">
        <v>0.63020833333333337</v>
      </c>
      <c r="BK20" s="27">
        <v>2.8301954617924074E-2</v>
      </c>
      <c r="BL20" s="27">
        <v>5.5599836315560633E-2</v>
      </c>
      <c r="BM20" s="27">
        <v>8.2979639278725301E-2</v>
      </c>
      <c r="BN20" s="27">
        <v>0.83311856978778998</v>
      </c>
      <c r="BR20" s="27">
        <v>0.37358101135190919</v>
      </c>
      <c r="BS20" s="27">
        <v>0.707146695325094</v>
      </c>
      <c r="BT20" s="27">
        <v>0.63517915309446249</v>
      </c>
      <c r="BU20" s="27">
        <v>0.70414201183431957</v>
      </c>
      <c r="BV20" s="27">
        <v>0</v>
      </c>
      <c r="BY20" s="27">
        <v>0</v>
      </c>
      <c r="BZ20" s="27">
        <v>0.36835443037974686</v>
      </c>
      <c r="CA20" s="27">
        <v>0.70662460567823349</v>
      </c>
      <c r="CB20" s="27">
        <v>0.68543046357615889</v>
      </c>
      <c r="CC20" s="27">
        <v>0.66555183946488294</v>
      </c>
      <c r="CD20" s="27">
        <v>0.62567811934900541</v>
      </c>
      <c r="CE20" s="27">
        <v>0.66820276497695852</v>
      </c>
      <c r="CI20" s="27">
        <v>0</v>
      </c>
      <c r="CJ20" s="27">
        <v>4.6548956661316213E-2</v>
      </c>
      <c r="CK20" s="27">
        <v>0.27598566308243727</v>
      </c>
      <c r="CL20" s="27">
        <v>0.34934497816593885</v>
      </c>
      <c r="CM20" s="27">
        <v>0.375</v>
      </c>
      <c r="CN20" s="27">
        <v>0.45106382978723403</v>
      </c>
      <c r="CO20" s="27">
        <v>0.43209876543209874</v>
      </c>
    </row>
    <row r="21" spans="2:93" x14ac:dyDescent="0.2">
      <c r="B21" s="25">
        <v>0</v>
      </c>
      <c r="C21" s="25">
        <v>29</v>
      </c>
      <c r="D21" s="25">
        <v>79</v>
      </c>
      <c r="E21" s="25">
        <v>100</v>
      </c>
      <c r="F21" s="25">
        <v>69</v>
      </c>
      <c r="G21" s="25">
        <v>30</v>
      </c>
      <c r="H21" s="25">
        <v>8</v>
      </c>
      <c r="K21" s="27">
        <v>0</v>
      </c>
      <c r="L21" s="27">
        <v>5</v>
      </c>
      <c r="M21" s="27">
        <v>9</v>
      </c>
      <c r="N21" s="27">
        <v>11</v>
      </c>
      <c r="O21" s="27">
        <v>0</v>
      </c>
      <c r="P21" s="27">
        <v>22</v>
      </c>
      <c r="Q21" s="27">
        <v>0</v>
      </c>
      <c r="R21" s="27">
        <v>0</v>
      </c>
      <c r="S21" s="27">
        <v>25</v>
      </c>
      <c r="T21" s="27">
        <v>27</v>
      </c>
      <c r="U21" s="27">
        <v>0</v>
      </c>
      <c r="X21" s="27">
        <v>0.2026</v>
      </c>
      <c r="Y21" s="27">
        <v>0.37980000000000003</v>
      </c>
      <c r="Z21" s="27">
        <v>0.13900000000000001</v>
      </c>
      <c r="AA21" s="27">
        <v>3.1E-2</v>
      </c>
      <c r="AB21" s="27">
        <v>4.1799999999999997E-2</v>
      </c>
      <c r="AC21" s="27">
        <v>0.20580000000000001</v>
      </c>
      <c r="AF21" s="27">
        <v>0</v>
      </c>
      <c r="AG21" s="27">
        <v>1.9473081328751432E-2</v>
      </c>
      <c r="AH21" s="27">
        <v>6.2195121951219512E-2</v>
      </c>
      <c r="AI21" s="27">
        <v>6.5126050420168072E-2</v>
      </c>
      <c r="AJ21" s="27">
        <v>5.0790067720090294E-2</v>
      </c>
      <c r="AK21" s="27">
        <v>1.8421052631578946E-2</v>
      </c>
      <c r="AL21" s="27">
        <v>9.8730606488011286E-3</v>
      </c>
      <c r="AP21" s="27">
        <v>0</v>
      </c>
      <c r="AQ21" s="27">
        <v>2.2784810126582278E-2</v>
      </c>
      <c r="AR21" s="27">
        <v>7.2041166380789029E-2</v>
      </c>
      <c r="AS21" s="27">
        <v>9.1639871382636656E-2</v>
      </c>
      <c r="AT21" s="27">
        <v>0.1048252911813644</v>
      </c>
      <c r="AU21" s="27">
        <v>0.11444652908067542</v>
      </c>
      <c r="AV21" s="27">
        <v>0.1191919191919192</v>
      </c>
      <c r="AW21" s="27">
        <v>8.2781456953642391E-2</v>
      </c>
      <c r="AX21" s="27">
        <v>196</v>
      </c>
      <c r="BA21" s="27">
        <v>0</v>
      </c>
      <c r="BB21" s="27">
        <v>0.55813953488372092</v>
      </c>
      <c r="BC21" s="27">
        <v>0.73972602739726023</v>
      </c>
      <c r="BD21" s="27">
        <v>0.71296296296296291</v>
      </c>
      <c r="BE21" s="27">
        <v>0.65853658536585369</v>
      </c>
      <c r="BF21" s="27">
        <v>0.62962962962962965</v>
      </c>
      <c r="BG21" s="27">
        <v>0.5</v>
      </c>
      <c r="BH21" s="27">
        <v>0.67146974063400577</v>
      </c>
      <c r="BK21" s="27">
        <v>3.8752001976546255E-2</v>
      </c>
      <c r="BL21" s="27">
        <v>6.1858696933283427E-2</v>
      </c>
      <c r="BM21" s="27">
        <v>8.7026142924606475E-2</v>
      </c>
      <c r="BN21" s="27">
        <v>0.81236315816556381</v>
      </c>
      <c r="BR21" s="27">
        <v>0.38719832109129065</v>
      </c>
      <c r="BS21" s="27">
        <v>0.68299104791995791</v>
      </c>
      <c r="BT21" s="27">
        <v>0.62722852512155591</v>
      </c>
      <c r="BU21" s="27">
        <v>0.70967741935483875</v>
      </c>
      <c r="BV21" s="27">
        <v>0</v>
      </c>
      <c r="BY21" s="27">
        <v>0</v>
      </c>
      <c r="BZ21" s="27">
        <v>0.38607594936708861</v>
      </c>
      <c r="CA21" s="27">
        <v>0.67581475128644941</v>
      </c>
      <c r="CB21" s="27">
        <v>0.68810289389067525</v>
      </c>
      <c r="CC21" s="27">
        <v>0.62562396006655574</v>
      </c>
      <c r="CD21" s="27">
        <v>0.63414634146341464</v>
      </c>
      <c r="CE21" s="27">
        <v>0.65050505050505047</v>
      </c>
      <c r="CI21" s="27">
        <v>0</v>
      </c>
      <c r="CJ21" s="27">
        <v>4.8231511254019289E-2</v>
      </c>
      <c r="CK21" s="27">
        <v>0.25702811244979917</v>
      </c>
      <c r="CL21" s="27">
        <v>0.39814814814814814</v>
      </c>
      <c r="CM21" s="27">
        <v>0.43859649122807015</v>
      </c>
      <c r="CN21" s="27">
        <v>0.39819004524886875</v>
      </c>
      <c r="CO21" s="27">
        <v>0.40306122448979592</v>
      </c>
    </row>
    <row r="22" spans="2:93" x14ac:dyDescent="0.2">
      <c r="B22" s="25">
        <v>0</v>
      </c>
      <c r="C22" s="25">
        <v>29</v>
      </c>
      <c r="D22" s="25">
        <v>63</v>
      </c>
      <c r="E22" s="25">
        <v>64</v>
      </c>
      <c r="F22" s="25">
        <v>58</v>
      </c>
      <c r="G22" s="25">
        <v>32</v>
      </c>
      <c r="H22" s="25">
        <v>18</v>
      </c>
      <c r="K22" s="27">
        <v>0</v>
      </c>
      <c r="L22" s="27">
        <v>4</v>
      </c>
      <c r="M22" s="27">
        <v>9</v>
      </c>
      <c r="N22" s="27">
        <v>12</v>
      </c>
      <c r="O22" s="27">
        <v>0</v>
      </c>
      <c r="P22" s="27">
        <v>21</v>
      </c>
      <c r="Q22" s="27">
        <v>0</v>
      </c>
      <c r="R22" s="27">
        <v>0</v>
      </c>
      <c r="S22" s="27">
        <v>20</v>
      </c>
      <c r="T22" s="27">
        <v>27</v>
      </c>
      <c r="U22" s="27">
        <v>0</v>
      </c>
      <c r="X22" s="27">
        <v>0.2112</v>
      </c>
      <c r="Y22" s="27">
        <v>0.36880000000000002</v>
      </c>
      <c r="Z22" s="27">
        <v>0.13700000000000001</v>
      </c>
      <c r="AA22" s="27">
        <v>3.2399999999999998E-2</v>
      </c>
      <c r="AB22" s="27">
        <v>4.24E-2</v>
      </c>
      <c r="AC22" s="27">
        <v>0.2082</v>
      </c>
      <c r="AF22" s="27">
        <v>0</v>
      </c>
      <c r="AG22" s="27">
        <v>2.0948180815876516E-2</v>
      </c>
      <c r="AH22" s="27">
        <v>5.9808612440191387E-2</v>
      </c>
      <c r="AI22" s="27">
        <v>6.7702552719200892E-2</v>
      </c>
      <c r="AJ22" s="27">
        <v>5.3763440860215055E-2</v>
      </c>
      <c r="AK22" s="27">
        <v>1.7127799736495388E-2</v>
      </c>
      <c r="AL22" s="27">
        <v>7.4962518740629685E-3</v>
      </c>
      <c r="AP22" s="27">
        <v>0</v>
      </c>
      <c r="AQ22" s="27">
        <v>2.7980535279805353E-2</v>
      </c>
      <c r="AR22" s="27">
        <v>6.1688311688311688E-2</v>
      </c>
      <c r="AS22" s="27">
        <v>8.188153310104529E-2</v>
      </c>
      <c r="AT22" s="27">
        <v>7.7557755775577553E-2</v>
      </c>
      <c r="AU22" s="27">
        <v>0.1111111111111111</v>
      </c>
      <c r="AV22" s="27">
        <v>0.1</v>
      </c>
      <c r="AW22" s="27">
        <v>7.2119369991710411E-2</v>
      </c>
      <c r="AX22" s="27">
        <v>198</v>
      </c>
      <c r="BA22" s="27">
        <v>0</v>
      </c>
      <c r="BB22" s="27">
        <v>0.57894736842105265</v>
      </c>
      <c r="BC22" s="27">
        <v>0.68831168831168832</v>
      </c>
      <c r="BD22" s="27">
        <v>0.64835164835164838</v>
      </c>
      <c r="BE22" s="27">
        <v>0.66265060240963858</v>
      </c>
      <c r="BF22" s="27">
        <v>0.54545454545454541</v>
      </c>
      <c r="BG22" s="27">
        <v>0.33333333333333331</v>
      </c>
      <c r="BH22" s="27">
        <v>0.63190184049079756</v>
      </c>
      <c r="BK22" s="27">
        <v>4.52889960047562E-2</v>
      </c>
      <c r="BL22" s="27">
        <v>7.282671791336523E-2</v>
      </c>
      <c r="BM22" s="27">
        <v>9.4023656729205901E-2</v>
      </c>
      <c r="BN22" s="27">
        <v>0.78786062935267265</v>
      </c>
      <c r="BR22" s="27">
        <v>0.38508064516129031</v>
      </c>
      <c r="BS22" s="27">
        <v>0.68926247288503251</v>
      </c>
      <c r="BT22" s="27">
        <v>0.60386473429951693</v>
      </c>
      <c r="BU22" s="27">
        <v>0.65432098765432101</v>
      </c>
      <c r="BV22" s="27">
        <v>0</v>
      </c>
      <c r="BY22" s="27">
        <v>0</v>
      </c>
      <c r="BZ22" s="27">
        <v>0.34063260340632601</v>
      </c>
      <c r="CA22" s="27">
        <v>0.65746753246753242</v>
      </c>
      <c r="CB22" s="27">
        <v>0.69860627177700352</v>
      </c>
      <c r="CC22" s="27">
        <v>0.67986798679867988</v>
      </c>
      <c r="CD22" s="27">
        <v>0.65348399246704336</v>
      </c>
      <c r="CE22" s="27">
        <v>0.61489361702127665</v>
      </c>
      <c r="CI22" s="27">
        <v>0</v>
      </c>
      <c r="CJ22" s="27">
        <v>4.8062015503875968E-2</v>
      </c>
      <c r="CK22" s="27">
        <v>0.22592592592592592</v>
      </c>
      <c r="CL22" s="27">
        <v>0.37128712871287128</v>
      </c>
      <c r="CM22" s="27">
        <v>0.31896551724137934</v>
      </c>
      <c r="CN22" s="27">
        <v>0.40350877192982454</v>
      </c>
      <c r="CO22" s="27">
        <v>0.38383838383838381</v>
      </c>
    </row>
    <row r="23" spans="2:93" x14ac:dyDescent="0.2">
      <c r="B23" s="25">
        <v>0</v>
      </c>
      <c r="C23" s="25">
        <v>34</v>
      </c>
      <c r="D23" s="25">
        <v>64</v>
      </c>
      <c r="E23" s="25">
        <v>81</v>
      </c>
      <c r="F23" s="25">
        <v>67</v>
      </c>
      <c r="G23" s="25">
        <v>19</v>
      </c>
      <c r="H23" s="25">
        <v>12</v>
      </c>
      <c r="K23" s="27">
        <v>0</v>
      </c>
      <c r="L23" s="27">
        <v>9</v>
      </c>
      <c r="M23" s="27">
        <v>11</v>
      </c>
      <c r="N23" s="27">
        <v>5</v>
      </c>
      <c r="O23" s="27">
        <v>0</v>
      </c>
      <c r="P23" s="27">
        <v>20</v>
      </c>
      <c r="Q23" s="27">
        <v>0</v>
      </c>
      <c r="R23" s="27">
        <v>0</v>
      </c>
      <c r="S23" s="27">
        <v>30</v>
      </c>
      <c r="T23" s="27">
        <v>32</v>
      </c>
      <c r="U23" s="27">
        <v>0</v>
      </c>
      <c r="X23" s="27">
        <v>0.21840000000000001</v>
      </c>
      <c r="Y23" s="27">
        <v>0.36759999999999998</v>
      </c>
      <c r="Z23" s="27">
        <v>0.13500000000000001</v>
      </c>
      <c r="AA23" s="27">
        <v>3.0800000000000001E-2</v>
      </c>
      <c r="AB23" s="27">
        <v>4.4600000000000001E-2</v>
      </c>
      <c r="AC23" s="27">
        <v>0.2036</v>
      </c>
      <c r="AF23" s="27">
        <v>0</v>
      </c>
      <c r="AG23" s="27">
        <v>2.0902090209020903E-2</v>
      </c>
      <c r="AH23" s="27">
        <v>6.2962962962962957E-2</v>
      </c>
      <c r="AI23" s="27">
        <v>6.2567421790722763E-2</v>
      </c>
      <c r="AJ23" s="27">
        <v>5.4838709677419356E-2</v>
      </c>
      <c r="AK23" s="27">
        <v>2.4556616643929059E-2</v>
      </c>
      <c r="AL23" s="27">
        <v>2.8943560057887118E-3</v>
      </c>
      <c r="AP23" s="27">
        <v>0</v>
      </c>
      <c r="AQ23" s="27">
        <v>2.5547445255474453E-2</v>
      </c>
      <c r="AR23" s="27">
        <v>8.1455805892547667E-2</v>
      </c>
      <c r="AS23" s="27">
        <v>8.9830508474576271E-2</v>
      </c>
      <c r="AT23" s="27">
        <v>7.9734219269102985E-2</v>
      </c>
      <c r="AU23" s="27">
        <v>7.7071290944123308E-2</v>
      </c>
      <c r="AV23" s="27">
        <v>8.7824351297405193E-2</v>
      </c>
      <c r="AW23" s="27">
        <v>7.0063694267515922E-2</v>
      </c>
      <c r="AX23" s="27">
        <v>199</v>
      </c>
      <c r="BA23" s="27">
        <v>0</v>
      </c>
      <c r="BB23" s="27">
        <v>0.57777777777777772</v>
      </c>
      <c r="BC23" s="27">
        <v>0.63541666666666663</v>
      </c>
      <c r="BD23" s="27">
        <v>0.74489795918367352</v>
      </c>
      <c r="BE23" s="27">
        <v>0.67441860465116277</v>
      </c>
      <c r="BF23" s="27">
        <v>0.65384615384615385</v>
      </c>
      <c r="BG23" s="27">
        <v>0.2</v>
      </c>
      <c r="BH23" s="27">
        <v>0.65027322404371579</v>
      </c>
      <c r="BK23" s="27">
        <v>5.656209122533775E-2</v>
      </c>
      <c r="BL23" s="27">
        <v>7.2661672638048846E-2</v>
      </c>
      <c r="BM23" s="27">
        <v>7.0689954986456791E-2</v>
      </c>
      <c r="BN23" s="27">
        <v>0.80008628115015668</v>
      </c>
      <c r="BR23" s="27">
        <v>0.39882697947214074</v>
      </c>
      <c r="BS23" s="27">
        <v>0.68607181719260069</v>
      </c>
      <c r="BT23" s="27">
        <v>0.59060402684563762</v>
      </c>
      <c r="BU23" s="27">
        <v>0.64935064935064934</v>
      </c>
      <c r="BV23" s="27">
        <v>0</v>
      </c>
      <c r="BY23" s="27">
        <v>0</v>
      </c>
      <c r="BZ23" s="27">
        <v>0.37591240875912407</v>
      </c>
      <c r="CA23" s="27">
        <v>0.66377816291161174</v>
      </c>
      <c r="CB23" s="27">
        <v>0.68135593220338986</v>
      </c>
      <c r="CC23" s="27">
        <v>0.64617940199335544</v>
      </c>
      <c r="CD23" s="27">
        <v>0.61078998073217727</v>
      </c>
      <c r="CE23" s="27">
        <v>0.64071856287425155</v>
      </c>
      <c r="CI23" s="27">
        <v>0</v>
      </c>
      <c r="CJ23" s="27">
        <v>5.7187017001545597E-2</v>
      </c>
      <c r="CK23" s="27">
        <v>0.28235294117647058</v>
      </c>
      <c r="CL23" s="27">
        <v>0.38297872340425532</v>
      </c>
      <c r="CM23" s="27">
        <v>0.31555555555555553</v>
      </c>
      <c r="CN23" s="27">
        <v>0.323943661971831</v>
      </c>
      <c r="CO23" s="27">
        <v>0.37073170731707317</v>
      </c>
    </row>
    <row r="24" spans="2:93" x14ac:dyDescent="0.2">
      <c r="B24" s="25">
        <v>0</v>
      </c>
      <c r="C24" s="25">
        <v>34</v>
      </c>
      <c r="D24" s="25">
        <v>80</v>
      </c>
      <c r="E24" s="25">
        <v>89</v>
      </c>
      <c r="F24" s="25">
        <v>78</v>
      </c>
      <c r="G24" s="25">
        <v>31</v>
      </c>
      <c r="H24" s="25">
        <v>19</v>
      </c>
      <c r="K24" s="27">
        <v>0</v>
      </c>
      <c r="L24" s="27">
        <v>6</v>
      </c>
      <c r="M24" s="27">
        <v>9</v>
      </c>
      <c r="N24" s="27">
        <v>5</v>
      </c>
      <c r="O24" s="27">
        <v>0</v>
      </c>
      <c r="P24" s="27">
        <v>19</v>
      </c>
      <c r="Q24" s="27">
        <v>0</v>
      </c>
      <c r="R24" s="27">
        <v>0</v>
      </c>
      <c r="S24" s="27">
        <v>30</v>
      </c>
      <c r="T24" s="27">
        <v>15</v>
      </c>
      <c r="U24" s="27">
        <v>0</v>
      </c>
      <c r="X24" s="27">
        <v>0.2084</v>
      </c>
      <c r="Y24" s="27">
        <v>0.36959999999999998</v>
      </c>
      <c r="Z24" s="27">
        <v>0.13519999999999999</v>
      </c>
      <c r="AA24" s="27">
        <v>3.5999999999999997E-2</v>
      </c>
      <c r="AB24" s="27">
        <v>4.3400000000000001E-2</v>
      </c>
      <c r="AC24" s="27">
        <v>0.2074</v>
      </c>
      <c r="AF24" s="27">
        <v>0</v>
      </c>
      <c r="AG24" s="27">
        <v>2.2432113341204249E-2</v>
      </c>
      <c r="AH24" s="27">
        <v>6.3510392609699776E-2</v>
      </c>
      <c r="AI24" s="27">
        <v>6.1002178649237473E-2</v>
      </c>
      <c r="AJ24" s="27">
        <v>6.1224489795918366E-2</v>
      </c>
      <c r="AK24" s="27">
        <v>2.0125786163522012E-2</v>
      </c>
      <c r="AL24" s="27">
        <v>8.670520231213872E-3</v>
      </c>
      <c r="AP24" s="27">
        <v>0</v>
      </c>
      <c r="AQ24" s="27">
        <v>1.950585175552666E-2</v>
      </c>
      <c r="AR24" s="27">
        <v>8.2408874801901746E-2</v>
      </c>
      <c r="AS24" s="27">
        <v>8.2077051926298161E-2</v>
      </c>
      <c r="AT24" s="27">
        <v>9.7690941385435173E-2</v>
      </c>
      <c r="AU24" s="27">
        <v>0.11786372007366483</v>
      </c>
      <c r="AV24" s="27">
        <v>0.10931174089068826</v>
      </c>
      <c r="AW24" s="27">
        <v>8.0344731720878512E-2</v>
      </c>
      <c r="AX24" s="27">
        <v>206</v>
      </c>
      <c r="BA24" s="27">
        <v>0</v>
      </c>
      <c r="BB24" s="27">
        <v>0.6875</v>
      </c>
      <c r="BC24" s="27">
        <v>0.67368421052631577</v>
      </c>
      <c r="BD24" s="27">
        <v>0.73786407766990292</v>
      </c>
      <c r="BE24" s="27">
        <v>0.6811594202898551</v>
      </c>
      <c r="BF24" s="27">
        <v>0.5357142857142857</v>
      </c>
      <c r="BG24" s="27">
        <v>0.31818181818181818</v>
      </c>
      <c r="BH24" s="27">
        <v>0.66189111747851004</v>
      </c>
      <c r="BK24" s="27">
        <v>3.4940223594191328E-2</v>
      </c>
      <c r="BL24" s="27">
        <v>6.0651850000121743E-2</v>
      </c>
      <c r="BM24" s="27">
        <v>7.9271897251471948E-2</v>
      </c>
      <c r="BN24" s="27">
        <v>0.82513602915421491</v>
      </c>
      <c r="BR24" s="27">
        <v>0.38722966014418125</v>
      </c>
      <c r="BS24" s="27">
        <v>0.69372294372294374</v>
      </c>
      <c r="BT24" s="27">
        <v>0.59933222036727885</v>
      </c>
      <c r="BU24" s="27">
        <v>0.67597765363128492</v>
      </c>
      <c r="BV24" s="27">
        <v>0</v>
      </c>
      <c r="BY24" s="27">
        <v>0</v>
      </c>
      <c r="BZ24" s="27">
        <v>0.3680104031209363</v>
      </c>
      <c r="CA24" s="27">
        <v>0.6671949286846276</v>
      </c>
      <c r="CB24" s="27">
        <v>0.70686767169179232</v>
      </c>
      <c r="CC24" s="27">
        <v>0.64831261101243343</v>
      </c>
      <c r="CD24" s="27">
        <v>0.62062615101289131</v>
      </c>
      <c r="CE24" s="27">
        <v>0.62753036437246967</v>
      </c>
      <c r="CI24" s="27">
        <v>0</v>
      </c>
      <c r="CJ24" s="27">
        <v>4.3261231281198007E-2</v>
      </c>
      <c r="CK24" s="27">
        <v>0.29411764705882354</v>
      </c>
      <c r="CL24" s="27">
        <v>0.34439834024896265</v>
      </c>
      <c r="CM24" s="27">
        <v>0.42028985507246375</v>
      </c>
      <c r="CN24" s="27">
        <v>0.41150442477876104</v>
      </c>
      <c r="CO24" s="27">
        <v>0.43842364532019706</v>
      </c>
    </row>
    <row r="25" spans="2:93" x14ac:dyDescent="0.2">
      <c r="B25" s="25">
        <v>0</v>
      </c>
      <c r="C25" s="25">
        <v>23</v>
      </c>
      <c r="D25" s="25">
        <v>77</v>
      </c>
      <c r="E25" s="25">
        <v>67</v>
      </c>
      <c r="F25" s="25">
        <v>60</v>
      </c>
      <c r="G25" s="25">
        <v>32</v>
      </c>
      <c r="H25" s="25">
        <v>10</v>
      </c>
      <c r="K25" s="27">
        <v>0</v>
      </c>
      <c r="L25" s="27">
        <v>7</v>
      </c>
      <c r="M25" s="27">
        <v>9</v>
      </c>
      <c r="N25" s="27">
        <v>7</v>
      </c>
      <c r="O25" s="27">
        <v>0</v>
      </c>
      <c r="P25" s="27">
        <v>19</v>
      </c>
      <c r="Q25" s="27">
        <v>1</v>
      </c>
      <c r="R25" s="27">
        <v>0</v>
      </c>
      <c r="S25" s="27">
        <v>22</v>
      </c>
      <c r="T25" s="27">
        <v>38</v>
      </c>
      <c r="U25" s="27">
        <v>0</v>
      </c>
      <c r="X25" s="27">
        <v>0.20760000000000001</v>
      </c>
      <c r="Y25" s="27">
        <v>0.37459999999999999</v>
      </c>
      <c r="Z25" s="27">
        <v>0.13800000000000001</v>
      </c>
      <c r="AA25" s="27">
        <v>3.2399999999999998E-2</v>
      </c>
      <c r="AB25" s="27">
        <v>4.4200000000000003E-2</v>
      </c>
      <c r="AC25" s="27">
        <v>0.20319999999999999</v>
      </c>
      <c r="AF25" s="27">
        <v>0</v>
      </c>
      <c r="AG25" s="27">
        <v>2.7554535017221583E-2</v>
      </c>
      <c r="AH25" s="27">
        <v>6.3549160671462823E-2</v>
      </c>
      <c r="AI25" s="27">
        <v>6.7940552016985137E-2</v>
      </c>
      <c r="AJ25" s="27">
        <v>5.4732041049030788E-2</v>
      </c>
      <c r="AK25" s="27">
        <v>1.937984496124031E-2</v>
      </c>
      <c r="AL25" s="27">
        <v>1.1396011396011397E-2</v>
      </c>
      <c r="AP25" s="27">
        <v>0</v>
      </c>
      <c r="AQ25" s="27">
        <v>2.423469387755102E-2</v>
      </c>
      <c r="AR25" s="27">
        <v>6.6555740432612309E-2</v>
      </c>
      <c r="AS25" s="27">
        <v>8.7096774193548387E-2</v>
      </c>
      <c r="AT25" s="27">
        <v>8.6505190311418678E-2</v>
      </c>
      <c r="AU25" s="27">
        <v>8.1031307550644568E-2</v>
      </c>
      <c r="AV25" s="27">
        <v>0.10728744939271255</v>
      </c>
      <c r="AW25" s="27">
        <v>7.18232044198895E-2</v>
      </c>
      <c r="AX25" s="27">
        <v>212</v>
      </c>
      <c r="BA25" s="27">
        <v>0</v>
      </c>
      <c r="BB25" s="27">
        <v>0.6216216216216216</v>
      </c>
      <c r="BC25" s="27">
        <v>0.6853932584269663</v>
      </c>
      <c r="BD25" s="27">
        <v>0.66315789473684206</v>
      </c>
      <c r="BE25" s="27">
        <v>0.61971830985915488</v>
      </c>
      <c r="BF25" s="27">
        <v>0.69230769230769229</v>
      </c>
      <c r="BG25" s="27">
        <v>0.4</v>
      </c>
      <c r="BH25" s="27">
        <v>0.64201183431952658</v>
      </c>
      <c r="BK25" s="27">
        <v>5.2017054420339923E-2</v>
      </c>
      <c r="BL25" s="27">
        <v>5.797250555517193E-2</v>
      </c>
      <c r="BM25" s="27">
        <v>7.9506386651398239E-2</v>
      </c>
      <c r="BN25" s="27">
        <v>0.81050405337308984</v>
      </c>
      <c r="BR25" s="27">
        <v>0.40123456790123457</v>
      </c>
      <c r="BS25" s="27">
        <v>0.67111585691404163</v>
      </c>
      <c r="BT25" s="27">
        <v>0.63458401305057099</v>
      </c>
      <c r="BU25" s="27">
        <v>0.66666666666666663</v>
      </c>
      <c r="BV25" s="27">
        <v>0</v>
      </c>
      <c r="BY25" s="27">
        <v>0</v>
      </c>
      <c r="BZ25" s="27">
        <v>0.35076530612244899</v>
      </c>
      <c r="CA25" s="27">
        <v>0.69883527454242933</v>
      </c>
      <c r="CB25" s="27">
        <v>0.67096774193548392</v>
      </c>
      <c r="CC25" s="27">
        <v>0.65224913494809689</v>
      </c>
      <c r="CD25" s="27">
        <v>0.6169429097605893</v>
      </c>
      <c r="CE25" s="27">
        <v>0.6497975708502024</v>
      </c>
      <c r="CI25" s="27">
        <v>0</v>
      </c>
      <c r="CJ25" s="27">
        <v>4.6774193548387098E-2</v>
      </c>
      <c r="CK25" s="27">
        <v>0.27091633466135456</v>
      </c>
      <c r="CL25" s="27">
        <v>0.37777777777777777</v>
      </c>
      <c r="CM25" s="27">
        <v>0.34080717488789236</v>
      </c>
      <c r="CN25" s="27">
        <v>0.35555555555555557</v>
      </c>
      <c r="CO25" s="27">
        <v>0.38235294117647056</v>
      </c>
    </row>
    <row r="26" spans="2:93" x14ac:dyDescent="0.2">
      <c r="B26" s="25">
        <v>0</v>
      </c>
      <c r="C26" s="25">
        <v>19</v>
      </c>
      <c r="D26" s="25">
        <v>65</v>
      </c>
      <c r="E26" s="25">
        <v>84</v>
      </c>
      <c r="F26" s="25">
        <v>70</v>
      </c>
      <c r="G26" s="25">
        <v>38</v>
      </c>
      <c r="H26" s="25">
        <v>17</v>
      </c>
      <c r="K26" s="27">
        <v>0</v>
      </c>
      <c r="L26" s="27">
        <v>4</v>
      </c>
      <c r="M26" s="27">
        <v>10</v>
      </c>
      <c r="N26" s="27">
        <v>4</v>
      </c>
      <c r="O26" s="27">
        <v>0</v>
      </c>
      <c r="P26" s="27">
        <v>20</v>
      </c>
      <c r="Q26" s="27">
        <v>0</v>
      </c>
      <c r="R26" s="27">
        <v>0</v>
      </c>
      <c r="S26" s="27">
        <v>23</v>
      </c>
      <c r="T26" s="27">
        <v>19</v>
      </c>
      <c r="U26" s="27">
        <v>0</v>
      </c>
      <c r="X26" s="27">
        <v>0.21360000000000001</v>
      </c>
      <c r="Y26" s="27">
        <v>0.38059999999999999</v>
      </c>
      <c r="Z26" s="27">
        <v>0.13</v>
      </c>
      <c r="AA26" s="27">
        <v>3.6799999999999999E-2</v>
      </c>
      <c r="AB26" s="27">
        <v>4.24E-2</v>
      </c>
      <c r="AC26" s="27">
        <v>0.1966</v>
      </c>
      <c r="AF26" s="27">
        <v>0</v>
      </c>
      <c r="AG26" s="27">
        <v>2.8697571743929361E-2</v>
      </c>
      <c r="AH26" s="27">
        <v>5.3749999999999999E-2</v>
      </c>
      <c r="AI26" s="27">
        <v>6.1833688699360338E-2</v>
      </c>
      <c r="AJ26" s="27">
        <v>6.2023939064200215E-2</v>
      </c>
      <c r="AK26" s="27">
        <v>1.9047619047619049E-2</v>
      </c>
      <c r="AL26" s="27">
        <v>2.8490028490028491E-3</v>
      </c>
      <c r="AP26" s="27">
        <v>0</v>
      </c>
      <c r="AQ26" s="27">
        <v>1.5853658536585366E-2</v>
      </c>
      <c r="AR26" s="27">
        <v>5.6896551724137934E-2</v>
      </c>
      <c r="AS26" s="27">
        <v>0.11022364217252396</v>
      </c>
      <c r="AT26" s="27">
        <v>8.2077051926298161E-2</v>
      </c>
      <c r="AU26" s="27">
        <v>8.9552238805970144E-2</v>
      </c>
      <c r="AV26" s="27">
        <v>0.1384928716904277</v>
      </c>
      <c r="AW26" s="27">
        <v>7.6712328767123292E-2</v>
      </c>
      <c r="AX26" s="27">
        <v>200</v>
      </c>
      <c r="BA26" s="27">
        <v>0</v>
      </c>
      <c r="BB26" s="27">
        <v>0.56097560975609762</v>
      </c>
      <c r="BC26" s="27">
        <v>0.69736842105263153</v>
      </c>
      <c r="BD26" s="27">
        <v>0.68571428571428572</v>
      </c>
      <c r="BE26" s="27">
        <v>0.6404494382022472</v>
      </c>
      <c r="BF26" s="27">
        <v>0.59090909090909094</v>
      </c>
      <c r="BG26" s="27">
        <v>0.16666666666666666</v>
      </c>
      <c r="BH26" s="27">
        <v>0.6376811594202898</v>
      </c>
      <c r="BK26" s="27">
        <v>4.2207556183939114E-2</v>
      </c>
      <c r="BL26" s="27">
        <v>7.2562793417792024E-2</v>
      </c>
      <c r="BM26" s="27">
        <v>5.3870228470265E-2</v>
      </c>
      <c r="BN26" s="27">
        <v>0.83135942192800383</v>
      </c>
      <c r="BR26" s="27">
        <v>0.38453815261044177</v>
      </c>
      <c r="BS26" s="27">
        <v>0.67472411981082503</v>
      </c>
      <c r="BT26" s="27">
        <v>0.63668430335097004</v>
      </c>
      <c r="BU26" s="27">
        <v>0.67391304347826086</v>
      </c>
      <c r="BV26" s="27">
        <v>0</v>
      </c>
      <c r="BY26" s="27">
        <v>0</v>
      </c>
      <c r="BZ26" s="27">
        <v>0.34878048780487803</v>
      </c>
      <c r="CA26" s="27">
        <v>0.6344827586206897</v>
      </c>
      <c r="CB26" s="27">
        <v>0.71086261980830667</v>
      </c>
      <c r="CC26" s="27">
        <v>0.63316582914572861</v>
      </c>
      <c r="CD26" s="27">
        <v>0.62313432835820892</v>
      </c>
      <c r="CE26" s="27">
        <v>0.69450101832993894</v>
      </c>
      <c r="CI26" s="27">
        <v>0</v>
      </c>
      <c r="CJ26" s="27">
        <v>5.329153605015674E-2</v>
      </c>
      <c r="CK26" s="27">
        <v>0.19917012448132779</v>
      </c>
      <c r="CL26" s="27">
        <v>0.4050632911392405</v>
      </c>
      <c r="CM26" s="27">
        <v>0.36</v>
      </c>
      <c r="CN26" s="27">
        <v>0.33179723502304148</v>
      </c>
      <c r="CO26" s="27">
        <v>0.47179487179487178</v>
      </c>
    </row>
    <row r="27" spans="2:93" x14ac:dyDescent="0.2">
      <c r="B27" s="25">
        <v>0</v>
      </c>
      <c r="C27" s="25">
        <v>24</v>
      </c>
      <c r="D27" s="25">
        <v>65</v>
      </c>
      <c r="E27" s="25">
        <v>67</v>
      </c>
      <c r="F27" s="25">
        <v>63</v>
      </c>
      <c r="G27" s="25">
        <v>39</v>
      </c>
      <c r="H27" s="25">
        <v>15</v>
      </c>
      <c r="K27" s="27">
        <v>5</v>
      </c>
      <c r="L27" s="27">
        <v>4</v>
      </c>
      <c r="M27" s="27">
        <v>11</v>
      </c>
      <c r="N27" s="27">
        <v>11</v>
      </c>
      <c r="O27" s="27">
        <v>0</v>
      </c>
      <c r="P27" s="27">
        <v>22</v>
      </c>
      <c r="Q27" s="27">
        <v>0</v>
      </c>
      <c r="R27" s="27">
        <v>0</v>
      </c>
      <c r="S27" s="27">
        <v>22</v>
      </c>
      <c r="T27" s="27">
        <v>31</v>
      </c>
      <c r="U27" s="27">
        <v>0</v>
      </c>
      <c r="X27" s="27">
        <v>0.21060000000000001</v>
      </c>
      <c r="Y27" s="27">
        <v>0.37119999999999997</v>
      </c>
      <c r="Z27" s="27">
        <v>0.13400000000000001</v>
      </c>
      <c r="AA27" s="27">
        <v>3.44E-2</v>
      </c>
      <c r="AB27" s="27">
        <v>4.4999999999999998E-2</v>
      </c>
      <c r="AC27" s="27">
        <v>0.20480000000000001</v>
      </c>
      <c r="AF27" s="27">
        <v>0</v>
      </c>
      <c r="AG27" s="27">
        <v>2.2446689113355778E-2</v>
      </c>
      <c r="AH27" s="27">
        <v>5.6778679026651215E-2</v>
      </c>
      <c r="AI27" s="27">
        <v>7.029478458049887E-2</v>
      </c>
      <c r="AJ27" s="27">
        <v>6.6160520607375276E-2</v>
      </c>
      <c r="AK27" s="27">
        <v>2.0330368487928845E-2</v>
      </c>
      <c r="AL27" s="27">
        <v>7.6335877862595417E-3</v>
      </c>
      <c r="AP27" s="27">
        <v>0</v>
      </c>
      <c r="AQ27" s="27">
        <v>1.7283950617283949E-2</v>
      </c>
      <c r="AR27" s="27">
        <v>6.591639871382636E-2</v>
      </c>
      <c r="AS27" s="27">
        <v>9.2035398230088494E-2</v>
      </c>
      <c r="AT27" s="27">
        <v>9.5477386934673364E-2</v>
      </c>
      <c r="AU27" s="27">
        <v>9.2391304347826081E-2</v>
      </c>
      <c r="AV27" s="27">
        <v>0.12393162393162394</v>
      </c>
      <c r="AW27" s="27">
        <v>7.5539568345323743E-2</v>
      </c>
      <c r="AX27" s="27">
        <v>213</v>
      </c>
      <c r="BA27" s="27">
        <v>0</v>
      </c>
      <c r="BB27" s="27">
        <v>0.59523809523809523</v>
      </c>
      <c r="BC27" s="27">
        <v>0.60396039603960394</v>
      </c>
      <c r="BD27" s="27">
        <v>0.67391304347826086</v>
      </c>
      <c r="BE27" s="27">
        <v>0.72043010752688175</v>
      </c>
      <c r="BF27" s="27">
        <v>0.64</v>
      </c>
      <c r="BG27" s="27">
        <v>0.6</v>
      </c>
      <c r="BH27" s="27">
        <v>0.65289256198347112</v>
      </c>
      <c r="BK27" s="27">
        <v>3.3069456975915866E-2</v>
      </c>
      <c r="BL27" s="27">
        <v>5.5985886039375883E-2</v>
      </c>
      <c r="BM27" s="27">
        <v>7.2618238273244679E-2</v>
      </c>
      <c r="BN27" s="27">
        <v>0.83832641871146352</v>
      </c>
      <c r="BR27" s="27">
        <v>0.37487437185929651</v>
      </c>
      <c r="BS27" s="27">
        <v>0.68857758620689657</v>
      </c>
      <c r="BT27" s="27">
        <v>0.59729272419627755</v>
      </c>
      <c r="BU27" s="27">
        <v>0.70930232558139539</v>
      </c>
      <c r="BV27" s="27">
        <v>0</v>
      </c>
      <c r="BY27" s="27">
        <v>0</v>
      </c>
      <c r="BZ27" s="27">
        <v>0.35061728395061731</v>
      </c>
      <c r="CA27" s="27">
        <v>0.67041800643086813</v>
      </c>
      <c r="CB27" s="27">
        <v>0.695575221238938</v>
      </c>
      <c r="CC27" s="27">
        <v>0.64991624790619762</v>
      </c>
      <c r="CD27" s="27">
        <v>0.60688405797101452</v>
      </c>
      <c r="CE27" s="27">
        <v>0.66025641025641024</v>
      </c>
      <c r="CI27" s="27">
        <v>0</v>
      </c>
      <c r="CJ27" s="27">
        <v>4.3818466353677622E-2</v>
      </c>
      <c r="CK27" s="27">
        <v>0.24187725631768953</v>
      </c>
      <c r="CL27" s="27">
        <v>0.40375586854460094</v>
      </c>
      <c r="CM27" s="27">
        <v>0.35909090909090907</v>
      </c>
      <c r="CN27" s="27">
        <v>0.41818181818181815</v>
      </c>
      <c r="CO27" s="27">
        <v>0.41884816753926701</v>
      </c>
    </row>
    <row r="28" spans="2:93" x14ac:dyDescent="0.2">
      <c r="B28" s="25">
        <v>0</v>
      </c>
      <c r="C28" s="25">
        <v>26</v>
      </c>
      <c r="D28" s="25">
        <v>78</v>
      </c>
      <c r="E28" s="25">
        <v>85</v>
      </c>
      <c r="F28" s="25">
        <v>75</v>
      </c>
      <c r="G28" s="25">
        <v>32</v>
      </c>
      <c r="H28" s="25">
        <v>6</v>
      </c>
      <c r="K28" s="27">
        <v>0</v>
      </c>
      <c r="L28" s="27">
        <v>7</v>
      </c>
      <c r="M28" s="27">
        <v>9</v>
      </c>
      <c r="N28" s="27">
        <v>11</v>
      </c>
      <c r="O28" s="27">
        <v>0</v>
      </c>
      <c r="P28" s="27">
        <v>23</v>
      </c>
      <c r="Q28" s="27">
        <v>1</v>
      </c>
      <c r="R28" s="27">
        <v>0</v>
      </c>
      <c r="S28" s="27">
        <v>25</v>
      </c>
      <c r="T28" s="27">
        <v>17</v>
      </c>
      <c r="U28" s="27">
        <v>0</v>
      </c>
      <c r="X28" s="27">
        <v>0.2036</v>
      </c>
      <c r="Y28" s="27">
        <v>0.377</v>
      </c>
      <c r="Z28" s="27">
        <v>0.13739999999999999</v>
      </c>
      <c r="AA28" s="27">
        <v>3.2000000000000001E-2</v>
      </c>
      <c r="AB28" s="27">
        <v>4.1200000000000001E-2</v>
      </c>
      <c r="AC28" s="27">
        <v>0.20880000000000001</v>
      </c>
      <c r="AF28" s="27">
        <v>0</v>
      </c>
      <c r="AG28" s="27">
        <v>2.1615472127417521E-2</v>
      </c>
      <c r="AH28" s="27">
        <v>5.667060212514758E-2</v>
      </c>
      <c r="AI28" s="27">
        <v>6.1956521739130438E-2</v>
      </c>
      <c r="AJ28" s="27">
        <v>4.449388209121246E-2</v>
      </c>
      <c r="AK28" s="27">
        <v>1.6731016731016731E-2</v>
      </c>
      <c r="AL28" s="27">
        <v>1.3274336283185841E-2</v>
      </c>
      <c r="AP28" s="27">
        <v>0</v>
      </c>
      <c r="AQ28" s="27">
        <v>2.3929471032745592E-2</v>
      </c>
      <c r="AR28" s="27">
        <v>7.0376432078559745E-2</v>
      </c>
      <c r="AS28" s="27">
        <v>0.10066006600660066</v>
      </c>
      <c r="AT28" s="27">
        <v>9.3645484949832769E-2</v>
      </c>
      <c r="AU28" s="27">
        <v>0.10594795539033457</v>
      </c>
      <c r="AV28" s="27">
        <v>0.12419700214132762</v>
      </c>
      <c r="AW28" s="27">
        <v>8.1350304371887103E-2</v>
      </c>
      <c r="AX28" s="27">
        <v>186</v>
      </c>
      <c r="BA28" s="27">
        <v>0</v>
      </c>
      <c r="BB28" s="27">
        <v>0.53191489361702127</v>
      </c>
      <c r="BC28" s="27">
        <v>0.65476190476190477</v>
      </c>
      <c r="BD28" s="27">
        <v>0.6633663366336634</v>
      </c>
      <c r="BE28" s="27">
        <v>0.68918918918918914</v>
      </c>
      <c r="BF28" s="27">
        <v>0.57692307692307687</v>
      </c>
      <c r="BG28" s="27">
        <v>0.5625</v>
      </c>
      <c r="BH28" s="27">
        <v>0.63793103448275867</v>
      </c>
      <c r="BK28" s="27">
        <v>3.616286401137566E-2</v>
      </c>
      <c r="BL28" s="27">
        <v>6.6304745949782667E-2</v>
      </c>
      <c r="BM28" s="27">
        <v>6.7064929709687512E-2</v>
      </c>
      <c r="BN28" s="27">
        <v>0.83046746032915408</v>
      </c>
      <c r="BR28" s="27">
        <v>0.39080459770114945</v>
      </c>
      <c r="BS28" s="27">
        <v>0.68010610079575595</v>
      </c>
      <c r="BT28" s="27">
        <v>0.65686274509803921</v>
      </c>
      <c r="BU28" s="27">
        <v>0.66249999999999998</v>
      </c>
      <c r="BV28" s="27">
        <v>0</v>
      </c>
      <c r="BY28" s="27">
        <v>0</v>
      </c>
      <c r="BZ28" s="27">
        <v>0.37027707808564231</v>
      </c>
      <c r="CA28" s="27">
        <v>0.68412438625204586</v>
      </c>
      <c r="CB28" s="27">
        <v>0.68151815181518149</v>
      </c>
      <c r="CC28" s="27">
        <v>0.62876254180602009</v>
      </c>
      <c r="CD28" s="27">
        <v>0.6598513011152416</v>
      </c>
      <c r="CE28" s="27">
        <v>0.65952890792291219</v>
      </c>
      <c r="CI28" s="27">
        <v>0</v>
      </c>
      <c r="CJ28" s="27">
        <v>4.49438202247191E-2</v>
      </c>
      <c r="CK28" s="27">
        <v>0.2265625</v>
      </c>
      <c r="CL28" s="27">
        <v>0.39436619718309857</v>
      </c>
      <c r="CM28" s="27">
        <v>0.41735537190082644</v>
      </c>
      <c r="CN28" s="27">
        <v>0.41095890410958902</v>
      </c>
      <c r="CO28" s="27">
        <v>0.41621621621621624</v>
      </c>
    </row>
    <row r="29" spans="2:93" x14ac:dyDescent="0.2">
      <c r="B29" s="25">
        <v>0</v>
      </c>
      <c r="C29" s="25">
        <v>24</v>
      </c>
      <c r="D29" s="25">
        <v>75</v>
      </c>
      <c r="E29" s="25">
        <v>86</v>
      </c>
      <c r="F29" s="25">
        <v>68</v>
      </c>
      <c r="G29" s="25">
        <v>29</v>
      </c>
      <c r="H29" s="25">
        <v>12</v>
      </c>
      <c r="K29" s="27">
        <v>0</v>
      </c>
      <c r="L29" s="27">
        <v>10</v>
      </c>
      <c r="M29" s="27">
        <v>9</v>
      </c>
      <c r="N29" s="27">
        <v>11</v>
      </c>
      <c r="O29" s="27">
        <v>0</v>
      </c>
      <c r="P29" s="27">
        <v>20</v>
      </c>
      <c r="Q29" s="27">
        <v>0</v>
      </c>
      <c r="R29" s="27">
        <v>0</v>
      </c>
      <c r="S29" s="27">
        <v>20</v>
      </c>
      <c r="T29" s="27">
        <v>21</v>
      </c>
      <c r="U29" s="27">
        <v>0</v>
      </c>
      <c r="X29" s="27">
        <v>0.20799999999999999</v>
      </c>
      <c r="Y29" s="27">
        <v>0.36720000000000003</v>
      </c>
      <c r="Z29" s="27">
        <v>0.1416</v>
      </c>
      <c r="AA29" s="27">
        <v>3.04E-2</v>
      </c>
      <c r="AB29" s="27">
        <v>4.48E-2</v>
      </c>
      <c r="AC29" s="27">
        <v>0.20799999999999999</v>
      </c>
      <c r="AF29" s="27">
        <v>0</v>
      </c>
      <c r="AG29" s="27">
        <v>2.2222222222222223E-2</v>
      </c>
      <c r="AH29" s="27">
        <v>7.2992700729927001E-2</v>
      </c>
      <c r="AI29" s="27">
        <v>6.3666300768386391E-2</v>
      </c>
      <c r="AJ29" s="27">
        <v>5.8378378378378379E-2</v>
      </c>
      <c r="AK29" s="27">
        <v>2.5099075297225892E-2</v>
      </c>
      <c r="AL29" s="27">
        <v>7.2992700729927005E-3</v>
      </c>
      <c r="AP29" s="27">
        <v>0</v>
      </c>
      <c r="AQ29" s="27">
        <v>1.7220172201722016E-2</v>
      </c>
      <c r="AR29" s="27">
        <v>7.5571177504393669E-2</v>
      </c>
      <c r="AS29" s="27">
        <v>9.6938775510204078E-2</v>
      </c>
      <c r="AT29" s="27">
        <v>9.9173553719008267E-2</v>
      </c>
      <c r="AU29" s="27">
        <v>9.5684803001876179E-2</v>
      </c>
      <c r="AV29" s="27">
        <v>0.10351966873706005</v>
      </c>
      <c r="AW29" s="27">
        <v>7.6580339738234471E-2</v>
      </c>
      <c r="AX29" s="27">
        <v>216</v>
      </c>
      <c r="BA29" s="27">
        <v>0</v>
      </c>
      <c r="BB29" s="27">
        <v>0.52500000000000002</v>
      </c>
      <c r="BC29" s="27">
        <v>0.76829268292682928</v>
      </c>
      <c r="BD29" s="27">
        <v>0.75</v>
      </c>
      <c r="BE29" s="27">
        <v>0.70512820512820518</v>
      </c>
      <c r="BF29" s="27">
        <v>0.6333333333333333</v>
      </c>
      <c r="BG29" s="27">
        <v>0.36842105263157893</v>
      </c>
      <c r="BH29" s="27">
        <v>0.6862170087976539</v>
      </c>
      <c r="BK29" s="27">
        <v>6.2264839942158527E-2</v>
      </c>
      <c r="BL29" s="27">
        <v>5.2289829945629772E-2</v>
      </c>
      <c r="BM29" s="27">
        <v>8.2145415186236484E-2</v>
      </c>
      <c r="BN29" s="27">
        <v>0.80329991492597519</v>
      </c>
      <c r="BR29" s="27">
        <v>0.38193018480492813</v>
      </c>
      <c r="BS29" s="27">
        <v>0.68137254901960786</v>
      </c>
      <c r="BT29" s="27">
        <v>0.5850556438791733</v>
      </c>
      <c r="BU29" s="27">
        <v>0.65131578947368418</v>
      </c>
      <c r="BV29" s="27">
        <v>0</v>
      </c>
      <c r="BY29" s="27">
        <v>0</v>
      </c>
      <c r="BZ29" s="27">
        <v>0.37761377613776137</v>
      </c>
      <c r="CA29" s="27">
        <v>0.6748681898066784</v>
      </c>
      <c r="CB29" s="27">
        <v>0.65816326530612246</v>
      </c>
      <c r="CC29" s="27">
        <v>0.62644628099173549</v>
      </c>
      <c r="CD29" s="27">
        <v>0.60412757973733588</v>
      </c>
      <c r="CE29" s="27">
        <v>0.64389233954451341</v>
      </c>
      <c r="CI29" s="27">
        <v>0</v>
      </c>
      <c r="CJ29" s="27">
        <v>5.1643192488262914E-2</v>
      </c>
      <c r="CK29" s="27">
        <v>0.2788844621513944</v>
      </c>
      <c r="CL29" s="27">
        <v>0.41850220264317178</v>
      </c>
      <c r="CM29" s="27">
        <v>0.41850220264317178</v>
      </c>
      <c r="CN29" s="27">
        <v>0.34222222222222221</v>
      </c>
      <c r="CO29" s="27">
        <v>0.40425531914893614</v>
      </c>
    </row>
    <row r="30" spans="2:93" x14ac:dyDescent="0.2">
      <c r="B30" s="25">
        <v>0</v>
      </c>
      <c r="C30" s="25">
        <v>34</v>
      </c>
      <c r="D30" s="25">
        <v>79</v>
      </c>
      <c r="E30" s="25">
        <v>78</v>
      </c>
      <c r="F30" s="25">
        <v>62</v>
      </c>
      <c r="G30" s="25">
        <v>37</v>
      </c>
      <c r="H30" s="25">
        <v>16</v>
      </c>
      <c r="K30" s="27">
        <v>0</v>
      </c>
      <c r="L30" s="27">
        <v>0</v>
      </c>
      <c r="M30" s="27">
        <v>9</v>
      </c>
      <c r="N30" s="27">
        <v>12</v>
      </c>
      <c r="O30" s="27">
        <v>0</v>
      </c>
      <c r="P30" s="27">
        <v>21</v>
      </c>
      <c r="Q30" s="27">
        <v>1</v>
      </c>
      <c r="R30" s="27">
        <v>0</v>
      </c>
      <c r="S30" s="27">
        <v>25</v>
      </c>
      <c r="T30" s="27">
        <v>21</v>
      </c>
      <c r="U30" s="27">
        <v>0</v>
      </c>
      <c r="X30" s="27">
        <v>0.20380000000000001</v>
      </c>
      <c r="Y30" s="27">
        <v>0.36780000000000002</v>
      </c>
      <c r="Z30" s="27">
        <v>0.1366</v>
      </c>
      <c r="AA30" s="27">
        <v>3.4200000000000001E-2</v>
      </c>
      <c r="AB30" s="27">
        <v>4.4400000000000002E-2</v>
      </c>
      <c r="AC30" s="27">
        <v>0.2132</v>
      </c>
      <c r="AF30" s="27">
        <v>0</v>
      </c>
      <c r="AG30" s="27">
        <v>1.8264840182648401E-2</v>
      </c>
      <c r="AH30" s="27">
        <v>7.1856287425149698E-2</v>
      </c>
      <c r="AI30" s="27">
        <v>6.2231759656652362E-2</v>
      </c>
      <c r="AJ30" s="27">
        <v>5.549389567147614E-2</v>
      </c>
      <c r="AK30" s="27">
        <v>1.5810276679841896E-2</v>
      </c>
      <c r="AL30" s="27">
        <v>1.4347202295552367E-2</v>
      </c>
      <c r="AP30" s="27">
        <v>0</v>
      </c>
      <c r="AQ30" s="27">
        <v>2.6515151515151516E-2</v>
      </c>
      <c r="AR30" s="27">
        <v>5.8528428093645488E-2</v>
      </c>
      <c r="AS30" s="27">
        <v>8.6587436332767401E-2</v>
      </c>
      <c r="AT30" s="27">
        <v>9.3645484949832769E-2</v>
      </c>
      <c r="AU30" s="27">
        <v>0.10566037735849057</v>
      </c>
      <c r="AV30" s="27">
        <v>0.11691022964509394</v>
      </c>
      <c r="AW30" s="27">
        <v>7.6687116564417179E-2</v>
      </c>
      <c r="AX30" s="27">
        <v>206</v>
      </c>
      <c r="BA30" s="27">
        <v>0</v>
      </c>
      <c r="BB30" s="27">
        <v>0.68571428571428572</v>
      </c>
      <c r="BC30" s="27">
        <v>0.69148936170212771</v>
      </c>
      <c r="BD30" s="27">
        <v>0.6741573033707865</v>
      </c>
      <c r="BE30" s="27">
        <v>0.67469879518072284</v>
      </c>
      <c r="BF30" s="27">
        <v>0.54166666666666663</v>
      </c>
      <c r="BG30" s="27">
        <v>0.45454545454545453</v>
      </c>
      <c r="BH30" s="27">
        <v>0.65706051873198845</v>
      </c>
      <c r="BK30" s="27">
        <v>4.9442140573588061E-2</v>
      </c>
      <c r="BL30" s="27">
        <v>6.0719222187227154E-2</v>
      </c>
      <c r="BM30" s="27">
        <v>0.10788707521954026</v>
      </c>
      <c r="BN30" s="27">
        <v>0.78195156201964455</v>
      </c>
      <c r="BR30" s="27">
        <v>0.37801047120418846</v>
      </c>
      <c r="BS30" s="27">
        <v>0.68678629690048942</v>
      </c>
      <c r="BT30" s="27">
        <v>0.63446054750402581</v>
      </c>
      <c r="BU30" s="27">
        <v>0.64912280701754388</v>
      </c>
      <c r="BV30" s="27">
        <v>0</v>
      </c>
      <c r="BY30" s="27">
        <v>0</v>
      </c>
      <c r="BZ30" s="27">
        <v>0.34848484848484851</v>
      </c>
      <c r="CA30" s="27">
        <v>0.64046822742474918</v>
      </c>
      <c r="CB30" s="27">
        <v>0.71307300509337856</v>
      </c>
      <c r="CC30" s="27">
        <v>0.67224080267558528</v>
      </c>
      <c r="CD30" s="27">
        <v>0.63584905660377355</v>
      </c>
      <c r="CE30" s="27">
        <v>0.64926931106471819</v>
      </c>
      <c r="CI30" s="27">
        <v>0</v>
      </c>
      <c r="CJ30" s="27">
        <v>5.3140096618357488E-2</v>
      </c>
      <c r="CK30" s="27">
        <v>0.22480620155038761</v>
      </c>
      <c r="CL30" s="27">
        <v>0.36444444444444446</v>
      </c>
      <c r="CM30" s="27">
        <v>0.38596491228070173</v>
      </c>
      <c r="CN30" s="27">
        <v>0.39047619047619048</v>
      </c>
      <c r="CO30" s="27">
        <v>0.4195121951219512</v>
      </c>
    </row>
    <row r="31" spans="2:93" x14ac:dyDescent="0.2">
      <c r="B31" s="25">
        <v>0</v>
      </c>
      <c r="C31" s="25">
        <v>22</v>
      </c>
      <c r="D31" s="25">
        <v>62</v>
      </c>
      <c r="E31" s="25">
        <v>86</v>
      </c>
      <c r="F31" s="25">
        <v>70</v>
      </c>
      <c r="G31" s="25">
        <v>39</v>
      </c>
      <c r="H31" s="25">
        <v>16</v>
      </c>
      <c r="K31" s="27">
        <v>0</v>
      </c>
      <c r="L31" s="27">
        <v>7</v>
      </c>
      <c r="M31" s="27">
        <v>10</v>
      </c>
      <c r="N31" s="27">
        <v>13</v>
      </c>
      <c r="O31" s="27">
        <v>0</v>
      </c>
      <c r="P31" s="27">
        <v>19</v>
      </c>
      <c r="Q31" s="27">
        <v>0</v>
      </c>
      <c r="R31" s="27">
        <v>0</v>
      </c>
      <c r="S31" s="27">
        <v>25</v>
      </c>
      <c r="T31" s="27">
        <v>23</v>
      </c>
      <c r="U31" s="27">
        <v>0</v>
      </c>
      <c r="X31" s="27">
        <v>0.21099999999999999</v>
      </c>
      <c r="Y31" s="27">
        <v>0.37019999999999997</v>
      </c>
      <c r="Z31" s="27">
        <v>0.1414</v>
      </c>
      <c r="AA31" s="27">
        <v>3.1E-2</v>
      </c>
      <c r="AB31" s="27">
        <v>4.02E-2</v>
      </c>
      <c r="AC31" s="27">
        <v>0.20619999999999999</v>
      </c>
      <c r="AF31" s="27">
        <v>0</v>
      </c>
      <c r="AG31" s="27">
        <v>2.4444444444444446E-2</v>
      </c>
      <c r="AH31" s="27">
        <v>5.2631578947368418E-2</v>
      </c>
      <c r="AI31" s="27">
        <v>6.4977973568281944E-2</v>
      </c>
      <c r="AJ31" s="27">
        <v>5.2689352360043906E-2</v>
      </c>
      <c r="AK31" s="27">
        <v>1.1642949547218629E-2</v>
      </c>
      <c r="AL31" s="27">
        <v>8.9285714285714281E-3</v>
      </c>
      <c r="AP31" s="27">
        <v>0</v>
      </c>
      <c r="AQ31" s="27">
        <v>2.4570024570024569E-2</v>
      </c>
      <c r="AR31" s="27">
        <v>6.9243156199677941E-2</v>
      </c>
      <c r="AS31" s="27">
        <v>9.2307692307692313E-2</v>
      </c>
      <c r="AT31" s="27">
        <v>8.0204778156996587E-2</v>
      </c>
      <c r="AU31" s="27">
        <v>0.11454545454545455</v>
      </c>
      <c r="AV31" s="27">
        <v>9.5634095634095639E-2</v>
      </c>
      <c r="AW31" s="27">
        <v>7.5061864173769588E-2</v>
      </c>
      <c r="AX31" s="27">
        <v>188</v>
      </c>
      <c r="BA31" s="27">
        <v>0</v>
      </c>
      <c r="BB31" s="27">
        <v>0.55263157894736847</v>
      </c>
      <c r="BC31" s="27">
        <v>0.63749999999999996</v>
      </c>
      <c r="BD31" s="27">
        <v>0.72164948453608246</v>
      </c>
      <c r="BE31" s="27">
        <v>0.68674698795180722</v>
      </c>
      <c r="BF31" s="27">
        <v>0.52380952380952384</v>
      </c>
      <c r="BG31" s="27">
        <v>0.46666666666666667</v>
      </c>
      <c r="BH31" s="27">
        <v>0.64970059880239517</v>
      </c>
      <c r="BK31" s="27">
        <v>3.3833296225358356E-2</v>
      </c>
      <c r="BL31" s="27">
        <v>6.5222735643256383E-2</v>
      </c>
      <c r="BM31" s="27">
        <v>7.5982113309034344E-2</v>
      </c>
      <c r="BN31" s="27">
        <v>0.82496185482235096</v>
      </c>
      <c r="BR31" s="27">
        <v>0.39134808853118713</v>
      </c>
      <c r="BS31" s="27">
        <v>0.67531064289573206</v>
      </c>
      <c r="BT31" s="27">
        <v>0.61224489795918369</v>
      </c>
      <c r="BU31" s="27">
        <v>0.6967741935483871</v>
      </c>
      <c r="BV31" s="27">
        <v>0</v>
      </c>
      <c r="BY31" s="27">
        <v>0</v>
      </c>
      <c r="BZ31" s="27">
        <v>0.35872235872235875</v>
      </c>
      <c r="CA31" s="27">
        <v>0.65539452495974238</v>
      </c>
      <c r="CB31" s="27">
        <v>0.68205128205128207</v>
      </c>
      <c r="CC31" s="27">
        <v>0.66040955631399323</v>
      </c>
      <c r="CD31" s="27">
        <v>0.67818181818181822</v>
      </c>
      <c r="CE31" s="27">
        <v>0.58004158004158002</v>
      </c>
      <c r="CI31" s="27">
        <v>0</v>
      </c>
      <c r="CJ31" s="27">
        <v>4.8286604361370715E-2</v>
      </c>
      <c r="CK31" s="27">
        <v>0.24723247232472326</v>
      </c>
      <c r="CL31" s="27">
        <v>0.38073394495412843</v>
      </c>
      <c r="CM31" s="27">
        <v>0.29184549356223177</v>
      </c>
      <c r="CN31" s="27">
        <v>0.39130434782608697</v>
      </c>
      <c r="CO31" s="27">
        <v>0.38743455497382201</v>
      </c>
    </row>
    <row r="32" spans="2:93" x14ac:dyDescent="0.2">
      <c r="B32" s="25">
        <v>0</v>
      </c>
      <c r="C32" s="25">
        <v>26</v>
      </c>
      <c r="D32" s="25">
        <v>67</v>
      </c>
      <c r="E32" s="25">
        <v>88</v>
      </c>
      <c r="F32" s="25">
        <v>80</v>
      </c>
      <c r="G32" s="25">
        <v>24</v>
      </c>
      <c r="H32" s="25">
        <v>7</v>
      </c>
      <c r="K32" s="27">
        <v>0</v>
      </c>
      <c r="L32" s="27">
        <v>10</v>
      </c>
      <c r="M32" s="27">
        <v>10</v>
      </c>
      <c r="N32" s="27">
        <v>7</v>
      </c>
      <c r="O32" s="27">
        <v>0</v>
      </c>
      <c r="P32" s="27">
        <v>21</v>
      </c>
      <c r="Q32" s="27">
        <v>1</v>
      </c>
      <c r="R32" s="27">
        <v>0</v>
      </c>
      <c r="S32" s="27">
        <v>29</v>
      </c>
      <c r="T32" s="27">
        <v>27</v>
      </c>
      <c r="U32" s="27">
        <v>0</v>
      </c>
      <c r="X32" s="27">
        <v>0.21820000000000001</v>
      </c>
      <c r="Y32" s="27">
        <v>0.36799999999999999</v>
      </c>
      <c r="Z32" s="27">
        <v>0.1386</v>
      </c>
      <c r="AA32" s="27">
        <v>3.1399999999999997E-2</v>
      </c>
      <c r="AB32" s="27">
        <v>4.1599999999999998E-2</v>
      </c>
      <c r="AC32" s="27">
        <v>0.20219999999999999</v>
      </c>
      <c r="AF32" s="27">
        <v>0</v>
      </c>
      <c r="AG32" s="27">
        <v>1.8306636155606407E-2</v>
      </c>
      <c r="AH32" s="27">
        <v>6.7878787878787886E-2</v>
      </c>
      <c r="AI32" s="27">
        <v>5.9893048128342244E-2</v>
      </c>
      <c r="AJ32" s="27">
        <v>4.8192771084337352E-2</v>
      </c>
      <c r="AK32" s="27">
        <v>2.5503355704697986E-2</v>
      </c>
      <c r="AL32" s="27">
        <v>0</v>
      </c>
      <c r="AP32" s="27">
        <v>0</v>
      </c>
      <c r="AQ32" s="27">
        <v>2.0151133501259445E-2</v>
      </c>
      <c r="AR32" s="27">
        <v>7.9391891891891886E-2</v>
      </c>
      <c r="AS32" s="27">
        <v>8.8815789473684209E-2</v>
      </c>
      <c r="AT32" s="27">
        <v>8.3612040133779264E-2</v>
      </c>
      <c r="AU32" s="27">
        <v>9.45945945945946E-2</v>
      </c>
      <c r="AV32" s="27">
        <v>0.10211946050096339</v>
      </c>
      <c r="AW32" s="27">
        <v>7.412510333425186E-2</v>
      </c>
      <c r="AX32" s="27">
        <v>191</v>
      </c>
      <c r="BA32" s="27">
        <v>0</v>
      </c>
      <c r="BB32" s="27">
        <v>0.60526315789473684</v>
      </c>
      <c r="BC32" s="27">
        <v>0.66326530612244894</v>
      </c>
      <c r="BD32" s="27">
        <v>0.72727272727272729</v>
      </c>
      <c r="BE32" s="27">
        <v>0.6987951807228916</v>
      </c>
      <c r="BF32" s="27">
        <v>0.58620689655172409</v>
      </c>
      <c r="BG32" s="27">
        <v>0.1</v>
      </c>
      <c r="BH32" s="27">
        <v>0.66106442577030811</v>
      </c>
      <c r="BK32" s="27">
        <v>4.3451838031981778E-2</v>
      </c>
      <c r="BL32" s="27">
        <v>5.9372149189496876E-2</v>
      </c>
      <c r="BM32" s="27">
        <v>7.8574087327814374E-2</v>
      </c>
      <c r="BN32" s="27">
        <v>0.81860192545070698</v>
      </c>
      <c r="BR32" s="27">
        <v>0.37512339585389931</v>
      </c>
      <c r="BS32" s="27">
        <v>0.67717391304347829</v>
      </c>
      <c r="BT32" s="27">
        <v>0.59935379644588049</v>
      </c>
      <c r="BU32" s="27">
        <v>0.66242038216560506</v>
      </c>
      <c r="BV32" s="27">
        <v>0</v>
      </c>
      <c r="BY32" s="27">
        <v>0</v>
      </c>
      <c r="BZ32" s="27">
        <v>0.3501259445843829</v>
      </c>
      <c r="CA32" s="27">
        <v>0.65709459459459463</v>
      </c>
      <c r="CB32" s="27">
        <v>0.68256578947368418</v>
      </c>
      <c r="CC32" s="27">
        <v>0.62709030100334451</v>
      </c>
      <c r="CD32" s="27">
        <v>0.62548262548262545</v>
      </c>
      <c r="CE32" s="27">
        <v>0.61657032755298646</v>
      </c>
      <c r="CI32" s="27">
        <v>0</v>
      </c>
      <c r="CJ32" s="27">
        <v>5.3054662379421219E-2</v>
      </c>
      <c r="CK32" s="27">
        <v>0.25868725868725867</v>
      </c>
      <c r="CL32" s="27">
        <v>0.38983050847457629</v>
      </c>
      <c r="CM32" s="27">
        <v>0.33476394849785407</v>
      </c>
      <c r="CN32" s="27">
        <v>0.34070796460176989</v>
      </c>
      <c r="CO32" s="27">
        <v>0.40930232558139534</v>
      </c>
    </row>
    <row r="33" spans="2:93" x14ac:dyDescent="0.2">
      <c r="B33" s="25">
        <v>0</v>
      </c>
      <c r="C33" s="25">
        <v>36</v>
      </c>
      <c r="D33" s="25">
        <v>67</v>
      </c>
      <c r="E33" s="25">
        <v>70</v>
      </c>
      <c r="F33" s="25">
        <v>67</v>
      </c>
      <c r="G33" s="25">
        <v>22</v>
      </c>
      <c r="H33" s="25">
        <v>13</v>
      </c>
      <c r="K33" s="27">
        <v>0</v>
      </c>
      <c r="L33" s="27">
        <v>8</v>
      </c>
      <c r="M33" s="27">
        <v>12</v>
      </c>
      <c r="N33" s="27">
        <v>10</v>
      </c>
      <c r="O33" s="27">
        <v>0</v>
      </c>
      <c r="P33" s="27">
        <v>17</v>
      </c>
      <c r="Q33" s="27">
        <v>0</v>
      </c>
      <c r="R33" s="27">
        <v>0</v>
      </c>
      <c r="S33" s="27">
        <v>21</v>
      </c>
      <c r="T33" s="27">
        <v>27</v>
      </c>
      <c r="U33" s="27">
        <v>0</v>
      </c>
      <c r="X33" s="27">
        <v>0.21460000000000001</v>
      </c>
      <c r="Y33" s="27">
        <v>0.36759999999999998</v>
      </c>
      <c r="Z33" s="27">
        <v>0.13300000000000001</v>
      </c>
      <c r="AA33" s="27">
        <v>3.2199999999999999E-2</v>
      </c>
      <c r="AB33" s="27">
        <v>4.24E-2</v>
      </c>
      <c r="AC33" s="27">
        <v>0.2102</v>
      </c>
      <c r="AF33" s="27">
        <v>0</v>
      </c>
      <c r="AG33" s="27">
        <v>1.799775028121485E-2</v>
      </c>
      <c r="AH33" s="27">
        <v>6.4858490566037735E-2</v>
      </c>
      <c r="AI33" s="27">
        <v>6.71806167400881E-2</v>
      </c>
      <c r="AJ33" s="27">
        <v>5.0997782705099776E-2</v>
      </c>
      <c r="AK33" s="27">
        <v>1.1523687580025609E-2</v>
      </c>
      <c r="AL33" s="27">
        <v>7.4404761904761901E-3</v>
      </c>
      <c r="AP33" s="27">
        <v>0</v>
      </c>
      <c r="AQ33" s="27">
        <v>2.1118012422360249E-2</v>
      </c>
      <c r="AR33" s="27">
        <v>6.3018242122719739E-2</v>
      </c>
      <c r="AS33" s="27">
        <v>0.11226252158894647</v>
      </c>
      <c r="AT33" s="27">
        <v>0.10102739726027397</v>
      </c>
      <c r="AU33" s="27">
        <v>8.1081081081081086E-2</v>
      </c>
      <c r="AV33" s="27">
        <v>9.1880341880341887E-2</v>
      </c>
      <c r="AW33" s="27">
        <v>7.4290484140233717E-2</v>
      </c>
      <c r="AX33" s="27">
        <v>192</v>
      </c>
      <c r="BA33" s="27">
        <v>0</v>
      </c>
      <c r="BB33" s="27">
        <v>0.45</v>
      </c>
      <c r="BC33" s="27">
        <v>0.68888888888888888</v>
      </c>
      <c r="BD33" s="27">
        <v>0.73529411764705888</v>
      </c>
      <c r="BE33" s="27">
        <v>0.69512195121951215</v>
      </c>
      <c r="BF33" s="27">
        <v>0.57894736842105265</v>
      </c>
      <c r="BG33" s="27">
        <v>0.36842105263157893</v>
      </c>
      <c r="BH33" s="27">
        <v>0.65340909090909094</v>
      </c>
      <c r="BK33" s="27">
        <v>6.389154220610839E-2</v>
      </c>
      <c r="BL33" s="27">
        <v>8.3342971292327359E-2</v>
      </c>
      <c r="BM33" s="27">
        <v>6.4478249427347076E-2</v>
      </c>
      <c r="BN33" s="27">
        <v>0.78828723707421722</v>
      </c>
      <c r="BR33" s="27">
        <v>0.41269841269841268</v>
      </c>
      <c r="BS33" s="27">
        <v>0.69314472252448311</v>
      </c>
      <c r="BT33" s="27">
        <v>0.62862010221465081</v>
      </c>
      <c r="BU33" s="27">
        <v>0.6149068322981367</v>
      </c>
      <c r="BV33" s="27">
        <v>0</v>
      </c>
      <c r="BY33" s="27">
        <v>0</v>
      </c>
      <c r="BZ33" s="27">
        <v>0.38136645962732918</v>
      </c>
      <c r="CA33" s="27">
        <v>0.64179104477611937</v>
      </c>
      <c r="CB33" s="27">
        <v>0.70639032815198621</v>
      </c>
      <c r="CC33" s="27">
        <v>0.68150684931506844</v>
      </c>
      <c r="CD33" s="27">
        <v>0.61981981981981982</v>
      </c>
      <c r="CE33" s="27">
        <v>0.66880341880341876</v>
      </c>
      <c r="CI33" s="27">
        <v>0</v>
      </c>
      <c r="CJ33" s="27">
        <v>4.4374009508716325E-2</v>
      </c>
      <c r="CK33" s="27">
        <v>0.25563909774436089</v>
      </c>
      <c r="CL33" s="27">
        <v>0.42857142857142855</v>
      </c>
      <c r="CM33" s="27">
        <v>0.35897435897435898</v>
      </c>
      <c r="CN33" s="27">
        <v>0.33193277310924368</v>
      </c>
      <c r="CO33" s="27">
        <v>0.34078212290502791</v>
      </c>
    </row>
    <row r="34" spans="2:93" x14ac:dyDescent="0.2">
      <c r="B34" s="25">
        <v>0</v>
      </c>
      <c r="C34" s="25">
        <v>33</v>
      </c>
      <c r="D34" s="25">
        <v>81</v>
      </c>
      <c r="E34" s="25">
        <v>82</v>
      </c>
      <c r="F34" s="25">
        <v>63</v>
      </c>
      <c r="G34" s="25">
        <v>37</v>
      </c>
      <c r="H34" s="25">
        <v>13</v>
      </c>
      <c r="K34" s="27">
        <v>0</v>
      </c>
      <c r="L34" s="27">
        <v>4</v>
      </c>
      <c r="M34" s="27">
        <v>9</v>
      </c>
      <c r="N34" s="27">
        <v>0</v>
      </c>
      <c r="O34" s="27">
        <v>0</v>
      </c>
      <c r="P34" s="27">
        <v>22</v>
      </c>
      <c r="Q34" s="27">
        <v>0</v>
      </c>
      <c r="R34" s="27">
        <v>1</v>
      </c>
      <c r="S34" s="27">
        <v>25</v>
      </c>
      <c r="T34" s="27">
        <v>17</v>
      </c>
      <c r="U34" s="27">
        <v>0</v>
      </c>
      <c r="X34" s="27">
        <v>0.21099999999999999</v>
      </c>
      <c r="Y34" s="27">
        <v>0.37019999999999997</v>
      </c>
      <c r="Z34" s="27">
        <v>0.1346</v>
      </c>
      <c r="AA34" s="27">
        <v>3.3000000000000002E-2</v>
      </c>
      <c r="AB34" s="27">
        <v>4.3400000000000001E-2</v>
      </c>
      <c r="AC34" s="27">
        <v>0.20780000000000001</v>
      </c>
      <c r="AF34" s="27">
        <v>0</v>
      </c>
      <c r="AG34" s="27">
        <v>2.5000000000000001E-2</v>
      </c>
      <c r="AH34" s="27">
        <v>6.2953995157384993E-2</v>
      </c>
      <c r="AI34" s="27">
        <v>5.2858683926645091E-2</v>
      </c>
      <c r="AJ34" s="27">
        <v>6.5573770491803282E-2</v>
      </c>
      <c r="AK34" s="27">
        <v>2.2576361221779549E-2</v>
      </c>
      <c r="AL34" s="27">
        <v>7.1530758226037196E-3</v>
      </c>
      <c r="AP34" s="27">
        <v>0</v>
      </c>
      <c r="AQ34" s="27">
        <v>2.7638190954773871E-2</v>
      </c>
      <c r="AR34" s="27">
        <v>6.2809917355371905E-2</v>
      </c>
      <c r="AS34" s="27">
        <v>8.7603305785123972E-2</v>
      </c>
      <c r="AT34" s="27">
        <v>8.0843585237258347E-2</v>
      </c>
      <c r="AU34" s="27">
        <v>9.4961240310077522E-2</v>
      </c>
      <c r="AV34" s="27">
        <v>0.1</v>
      </c>
      <c r="AW34" s="27">
        <v>7.1924465426270484E-2</v>
      </c>
      <c r="AX34" s="27">
        <v>205</v>
      </c>
      <c r="BA34" s="27">
        <v>0</v>
      </c>
      <c r="BB34" s="27">
        <v>0.64102564102564108</v>
      </c>
      <c r="BC34" s="27">
        <v>0.71264367816091956</v>
      </c>
      <c r="BD34" s="27">
        <v>0.70454545454545459</v>
      </c>
      <c r="BE34" s="27">
        <v>0.71951219512195119</v>
      </c>
      <c r="BF34" s="27">
        <v>0.65625</v>
      </c>
      <c r="BG34" s="27">
        <v>0.3</v>
      </c>
      <c r="BH34" s="27">
        <v>0.67528735632183912</v>
      </c>
      <c r="BK34" s="27">
        <v>2.9652799457652434E-2</v>
      </c>
      <c r="BL34" s="27">
        <v>4.8547235955720185E-2</v>
      </c>
      <c r="BM34" s="27">
        <v>8.8372838279330221E-2</v>
      </c>
      <c r="BN34" s="27">
        <v>0.83342712630729709</v>
      </c>
      <c r="BR34" s="27">
        <v>0.40162271805273836</v>
      </c>
      <c r="BS34" s="27">
        <v>0.68773635872501349</v>
      </c>
      <c r="BT34" s="27">
        <v>0.60601001669449084</v>
      </c>
      <c r="BU34" s="27">
        <v>0.67272727272727273</v>
      </c>
      <c r="BV34" s="27">
        <v>0</v>
      </c>
      <c r="BY34" s="27">
        <v>0</v>
      </c>
      <c r="BZ34" s="27">
        <v>0.37311557788944721</v>
      </c>
      <c r="CA34" s="27">
        <v>0.66611570247933882</v>
      </c>
      <c r="CB34" s="27">
        <v>0.7024793388429752</v>
      </c>
      <c r="CC34" s="27">
        <v>0.64147627416520214</v>
      </c>
      <c r="CD34" s="27">
        <v>0.65116279069767447</v>
      </c>
      <c r="CE34" s="27">
        <v>0.6215686274509804</v>
      </c>
      <c r="CI34" s="27">
        <v>0</v>
      </c>
      <c r="CJ34" s="27">
        <v>5.4140127388535034E-2</v>
      </c>
      <c r="CK34" s="27">
        <v>0.25296442687747034</v>
      </c>
      <c r="CL34" s="27">
        <v>0.31726907630522089</v>
      </c>
      <c r="CM34" s="27">
        <v>0.375</v>
      </c>
      <c r="CN34" s="27">
        <v>0.39378238341968913</v>
      </c>
      <c r="CO34" s="27">
        <v>0.3925233644859813</v>
      </c>
    </row>
    <row r="35" spans="2:93" x14ac:dyDescent="0.2">
      <c r="B35" s="25">
        <v>0</v>
      </c>
      <c r="C35" s="25">
        <v>27</v>
      </c>
      <c r="D35" s="25">
        <v>75</v>
      </c>
      <c r="E35" s="25">
        <v>88</v>
      </c>
      <c r="F35" s="25">
        <v>83</v>
      </c>
      <c r="G35" s="25">
        <v>32</v>
      </c>
      <c r="H35" s="25">
        <v>15</v>
      </c>
      <c r="K35" s="27">
        <v>0</v>
      </c>
      <c r="L35" s="27">
        <v>9</v>
      </c>
      <c r="M35" s="27">
        <v>9</v>
      </c>
      <c r="N35" s="27">
        <v>10</v>
      </c>
      <c r="O35" s="27">
        <v>0</v>
      </c>
      <c r="P35" s="27">
        <v>21</v>
      </c>
      <c r="Q35" s="27">
        <v>1</v>
      </c>
      <c r="R35" s="27">
        <v>0</v>
      </c>
      <c r="S35" s="27">
        <v>31</v>
      </c>
      <c r="T35" s="27">
        <v>22</v>
      </c>
      <c r="U35" s="27">
        <v>0</v>
      </c>
      <c r="X35" s="27">
        <v>0.2104</v>
      </c>
      <c r="Y35" s="27">
        <v>0.36399999999999999</v>
      </c>
      <c r="Z35" s="27">
        <v>0.13780000000000001</v>
      </c>
      <c r="AA35" s="27">
        <v>3.2599999999999997E-2</v>
      </c>
      <c r="AB35" s="27">
        <v>4.7399999999999998E-2</v>
      </c>
      <c r="AC35" s="27">
        <v>0.20780000000000001</v>
      </c>
      <c r="AF35" s="27">
        <v>0</v>
      </c>
      <c r="AG35" s="27">
        <v>2.0594965675057208E-2</v>
      </c>
      <c r="AH35" s="27">
        <v>5.9718969555035126E-2</v>
      </c>
      <c r="AI35" s="27">
        <v>7.5327510917030563E-2</v>
      </c>
      <c r="AJ35" s="27">
        <v>6.256983240223464E-2</v>
      </c>
      <c r="AK35" s="27">
        <v>2.4484536082474227E-2</v>
      </c>
      <c r="AL35" s="27">
        <v>8.7591240875912416E-3</v>
      </c>
      <c r="AP35" s="27">
        <v>0</v>
      </c>
      <c r="AQ35" s="27">
        <v>1.7676767676767676E-2</v>
      </c>
      <c r="AR35" s="27">
        <v>8.3333333333333329E-2</v>
      </c>
      <c r="AS35" s="27">
        <v>7.8364565587734247E-2</v>
      </c>
      <c r="AT35" s="27">
        <v>9.5155709342560554E-2</v>
      </c>
      <c r="AU35" s="27">
        <v>0.11411992263056092</v>
      </c>
      <c r="AV35" s="27">
        <v>0.11313131313131314</v>
      </c>
      <c r="AW35" s="27">
        <v>7.8485944892847201E-2</v>
      </c>
      <c r="AX35" s="27">
        <v>219</v>
      </c>
      <c r="BA35" s="27">
        <v>0</v>
      </c>
      <c r="BB35" s="27">
        <v>0.61111111111111116</v>
      </c>
      <c r="BC35" s="27">
        <v>0.6506024096385542</v>
      </c>
      <c r="BD35" s="27">
        <v>0.76271186440677963</v>
      </c>
      <c r="BE35" s="27">
        <v>0.61176470588235299</v>
      </c>
      <c r="BF35" s="27">
        <v>0.61764705882352944</v>
      </c>
      <c r="BG35" s="27">
        <v>0.30769230769230771</v>
      </c>
      <c r="BH35" s="27">
        <v>0.65853658536585369</v>
      </c>
      <c r="BK35" s="27">
        <v>5.062860905320362E-2</v>
      </c>
      <c r="BL35" s="27">
        <v>4.4253176514269091E-2</v>
      </c>
      <c r="BM35" s="27">
        <v>8.4687952694332574E-2</v>
      </c>
      <c r="BN35" s="27">
        <v>0.82043026173819478</v>
      </c>
      <c r="BR35" s="27">
        <v>0.38994974874371857</v>
      </c>
      <c r="BS35" s="27">
        <v>0.68626373626373627</v>
      </c>
      <c r="BT35" s="27">
        <v>0.62987012987012991</v>
      </c>
      <c r="BU35" s="27">
        <v>0.64197530864197527</v>
      </c>
      <c r="BV35" s="27">
        <v>0</v>
      </c>
      <c r="BY35" s="27">
        <v>0</v>
      </c>
      <c r="BZ35" s="27">
        <v>0.36363636363636365</v>
      </c>
      <c r="CA35" s="27">
        <v>0.6858974358974359</v>
      </c>
      <c r="CB35" s="27">
        <v>0.69505962521294717</v>
      </c>
      <c r="CC35" s="27">
        <v>0.66435986159169547</v>
      </c>
      <c r="CD35" s="27">
        <v>0.58607350096711797</v>
      </c>
      <c r="CE35" s="27">
        <v>0.64242424242424245</v>
      </c>
      <c r="CI35" s="27">
        <v>0</v>
      </c>
      <c r="CJ35" s="27">
        <v>4.2071197411003236E-2</v>
      </c>
      <c r="CK35" s="27">
        <v>0.27931034482758621</v>
      </c>
      <c r="CL35" s="27">
        <v>0.31896551724137934</v>
      </c>
      <c r="CM35" s="27">
        <v>0.40579710144927539</v>
      </c>
      <c r="CN35" s="27">
        <v>0.37668161434977576</v>
      </c>
      <c r="CO35" s="27">
        <v>0.4</v>
      </c>
    </row>
    <row r="36" spans="2:93" x14ac:dyDescent="0.2">
      <c r="B36" s="25">
        <v>0</v>
      </c>
      <c r="C36" s="25">
        <v>29</v>
      </c>
      <c r="D36" s="25">
        <v>82</v>
      </c>
      <c r="E36" s="25">
        <v>77</v>
      </c>
      <c r="F36" s="25">
        <v>64</v>
      </c>
      <c r="G36" s="25">
        <v>37</v>
      </c>
      <c r="H36" s="25">
        <v>16</v>
      </c>
      <c r="K36" s="27">
        <v>0</v>
      </c>
      <c r="L36" s="27">
        <v>4</v>
      </c>
      <c r="M36" s="27">
        <v>10</v>
      </c>
      <c r="N36" s="27">
        <v>9</v>
      </c>
      <c r="O36" s="27">
        <v>0</v>
      </c>
      <c r="P36" s="27">
        <v>16</v>
      </c>
      <c r="Q36" s="27">
        <v>1</v>
      </c>
      <c r="R36" s="27">
        <v>1</v>
      </c>
      <c r="S36" s="27">
        <v>17</v>
      </c>
      <c r="T36" s="27">
        <v>26</v>
      </c>
      <c r="U36" s="27">
        <v>0</v>
      </c>
      <c r="X36" s="27">
        <v>0.2122</v>
      </c>
      <c r="Y36" s="27">
        <v>0.37519999999999998</v>
      </c>
      <c r="Z36" s="27">
        <v>0.1348</v>
      </c>
      <c r="AA36" s="27">
        <v>3.3799999999999997E-2</v>
      </c>
      <c r="AB36" s="27">
        <v>4.2799999999999998E-2</v>
      </c>
      <c r="AC36" s="27">
        <v>0.20119999999999999</v>
      </c>
      <c r="AF36" s="27">
        <v>0</v>
      </c>
      <c r="AG36" s="27">
        <v>2.5612472160356347E-2</v>
      </c>
      <c r="AH36" s="27">
        <v>6.9963811821471655E-2</v>
      </c>
      <c r="AI36" s="27">
        <v>5.9978189749182113E-2</v>
      </c>
      <c r="AJ36" s="27">
        <v>4.5005488474204172E-2</v>
      </c>
      <c r="AK36" s="27">
        <v>2.0860495436766623E-2</v>
      </c>
      <c r="AL36" s="27">
        <v>1.0324483775811209E-2</v>
      </c>
      <c r="AP36" s="27">
        <v>0</v>
      </c>
      <c r="AQ36" s="27">
        <v>2.0884520884520884E-2</v>
      </c>
      <c r="AR36" s="27">
        <v>6.7001675041876041E-2</v>
      </c>
      <c r="AS36" s="27">
        <v>9.6989966555183951E-2</v>
      </c>
      <c r="AT36" s="27">
        <v>7.8817733990147784E-2</v>
      </c>
      <c r="AU36" s="27">
        <v>7.4954296160877509E-2</v>
      </c>
      <c r="AV36" s="27">
        <v>0.12190082644628099</v>
      </c>
      <c r="AW36" s="27">
        <v>7.2074540970128803E-2</v>
      </c>
      <c r="AX36" s="27">
        <v>200</v>
      </c>
      <c r="BA36" s="27">
        <v>0</v>
      </c>
      <c r="BB36" s="27">
        <v>0.55263157894736847</v>
      </c>
      <c r="BC36" s="27">
        <v>0.68571428571428572</v>
      </c>
      <c r="BD36" s="27">
        <v>0.75342465753424659</v>
      </c>
      <c r="BE36" s="27">
        <v>0.64179104477611937</v>
      </c>
      <c r="BF36" s="27">
        <v>0.62962962962962965</v>
      </c>
      <c r="BG36" s="27">
        <v>0.33333333333333331</v>
      </c>
      <c r="BH36" s="27">
        <v>0.64954682779456197</v>
      </c>
      <c r="BK36" s="27">
        <v>5.502107846036499E-2</v>
      </c>
      <c r="BL36" s="27">
        <v>5.3648178202036094E-2</v>
      </c>
      <c r="BM36" s="27">
        <v>7.2658493973649832E-2</v>
      </c>
      <c r="BN36" s="27">
        <v>0.81867224936394911</v>
      </c>
      <c r="BR36" s="27">
        <v>0.41557128412537919</v>
      </c>
      <c r="BS36" s="27">
        <v>0.68443496801705761</v>
      </c>
      <c r="BT36" s="27">
        <v>0.61463414634146341</v>
      </c>
      <c r="BU36" s="27">
        <v>0.69822485207100593</v>
      </c>
      <c r="BV36" s="27">
        <v>0</v>
      </c>
      <c r="BY36" s="27">
        <v>0</v>
      </c>
      <c r="BZ36" s="27">
        <v>0.36117936117936117</v>
      </c>
      <c r="CA36" s="27">
        <v>0.70686767169179232</v>
      </c>
      <c r="CB36" s="27">
        <v>0.70066889632107021</v>
      </c>
      <c r="CC36" s="27">
        <v>0.6354679802955665</v>
      </c>
      <c r="CD36" s="27">
        <v>0.63436928702010964</v>
      </c>
      <c r="CE36" s="27">
        <v>0.66528925619834711</v>
      </c>
      <c r="CI36" s="27">
        <v>0</v>
      </c>
      <c r="CJ36" s="27">
        <v>5.0078247261345854E-2</v>
      </c>
      <c r="CK36" s="27">
        <v>0.26070038910505838</v>
      </c>
      <c r="CL36" s="27">
        <v>0.38053097345132741</v>
      </c>
      <c r="CM36" s="27">
        <v>0.34599156118143459</v>
      </c>
      <c r="CN36" s="27">
        <v>0.3256880733944954</v>
      </c>
      <c r="CO36" s="27">
        <v>0.39795918367346939</v>
      </c>
    </row>
    <row r="37" spans="2:93" x14ac:dyDescent="0.2">
      <c r="B37" s="25">
        <v>0</v>
      </c>
      <c r="C37" s="25">
        <v>28</v>
      </c>
      <c r="D37" s="25">
        <v>67</v>
      </c>
      <c r="E37" s="25">
        <v>60</v>
      </c>
      <c r="F37" s="25">
        <v>61</v>
      </c>
      <c r="G37" s="25">
        <v>26</v>
      </c>
      <c r="H37" s="25">
        <v>9</v>
      </c>
      <c r="K37" s="27">
        <v>0</v>
      </c>
      <c r="L37" s="27">
        <v>10</v>
      </c>
      <c r="M37" s="27">
        <v>11</v>
      </c>
      <c r="N37" s="27">
        <v>7</v>
      </c>
      <c r="O37" s="27">
        <v>0</v>
      </c>
      <c r="P37" s="27">
        <v>20</v>
      </c>
      <c r="Q37" s="27">
        <v>1</v>
      </c>
      <c r="R37" s="27">
        <v>0</v>
      </c>
      <c r="S37" s="27">
        <v>25</v>
      </c>
      <c r="T37" s="27">
        <v>29</v>
      </c>
      <c r="U37" s="27">
        <v>0</v>
      </c>
      <c r="X37" s="27">
        <v>0.20780000000000001</v>
      </c>
      <c r="Y37" s="27">
        <v>0.37159999999999999</v>
      </c>
      <c r="Z37" s="27">
        <v>0.1336</v>
      </c>
      <c r="AA37" s="27">
        <v>3.0200000000000001E-2</v>
      </c>
      <c r="AB37" s="27">
        <v>4.48E-2</v>
      </c>
      <c r="AC37" s="27">
        <v>0.21199999999999999</v>
      </c>
      <c r="AF37" s="27">
        <v>0</v>
      </c>
      <c r="AG37" s="27">
        <v>2.1590909090909091E-2</v>
      </c>
      <c r="AH37" s="27">
        <v>5.9382422802850353E-2</v>
      </c>
      <c r="AI37" s="27">
        <v>7.2276159654800429E-2</v>
      </c>
      <c r="AJ37" s="27">
        <v>6.1383928571428568E-2</v>
      </c>
      <c r="AK37" s="27">
        <v>1.6971279373368148E-2</v>
      </c>
      <c r="AL37" s="27">
        <v>8.708272859216255E-3</v>
      </c>
      <c r="AP37" s="27">
        <v>0</v>
      </c>
      <c r="AQ37" s="27">
        <v>2.5000000000000001E-2</v>
      </c>
      <c r="AR37" s="27">
        <v>5.8236272878535771E-2</v>
      </c>
      <c r="AS37" s="27">
        <v>9.3645484949832769E-2</v>
      </c>
      <c r="AT37" s="27">
        <v>0.10034602076124567</v>
      </c>
      <c r="AU37" s="27">
        <v>8.8461538461538466E-2</v>
      </c>
      <c r="AV37" s="27">
        <v>0.10647181628392484</v>
      </c>
      <c r="AW37" s="27">
        <v>7.4384787472035793E-2</v>
      </c>
      <c r="AX37" s="27">
        <v>210</v>
      </c>
      <c r="BA37" s="27">
        <v>0</v>
      </c>
      <c r="BB37" s="27">
        <v>0.60465116279069764</v>
      </c>
      <c r="BC37" s="27">
        <v>0.65</v>
      </c>
      <c r="BD37" s="27">
        <v>0.69306930693069302</v>
      </c>
      <c r="BE37" s="27">
        <v>0.61111111111111116</v>
      </c>
      <c r="BF37" s="27">
        <v>0.63636363636363635</v>
      </c>
      <c r="BG37" s="27">
        <v>0.4</v>
      </c>
      <c r="BH37" s="27">
        <v>0.6320224719101124</v>
      </c>
      <c r="BK37" s="27">
        <v>4.0957125178439031E-2</v>
      </c>
      <c r="BL37" s="27">
        <v>5.697515812749876E-2</v>
      </c>
      <c r="BM37" s="27">
        <v>8.7201943845436669E-2</v>
      </c>
      <c r="BN37" s="27">
        <v>0.8148657728486256</v>
      </c>
      <c r="BR37" s="27">
        <v>0.37139917695473251</v>
      </c>
      <c r="BS37" s="27">
        <v>0.68353067814854684</v>
      </c>
      <c r="BT37" s="27">
        <v>0.64093959731543626</v>
      </c>
      <c r="BU37" s="27">
        <v>0.69333333333333336</v>
      </c>
      <c r="BV37" s="27">
        <v>0</v>
      </c>
      <c r="BY37" s="27">
        <v>0</v>
      </c>
      <c r="BZ37" s="27">
        <v>0.33750000000000002</v>
      </c>
      <c r="CA37" s="27">
        <v>0.6905158069883528</v>
      </c>
      <c r="CB37" s="27">
        <v>0.68561872909698995</v>
      </c>
      <c r="CC37" s="27">
        <v>0.65743944636678198</v>
      </c>
      <c r="CD37" s="27">
        <v>0.66153846153846152</v>
      </c>
      <c r="CE37" s="27">
        <v>0.62212943632567852</v>
      </c>
      <c r="CI37" s="27">
        <v>0</v>
      </c>
      <c r="CJ37" s="27">
        <v>4.8154093097913325E-2</v>
      </c>
      <c r="CK37" s="27">
        <v>0.22489959839357429</v>
      </c>
      <c r="CL37" s="27">
        <v>0.419811320754717</v>
      </c>
      <c r="CM37" s="27">
        <v>0.37788018433179721</v>
      </c>
      <c r="CN37" s="27">
        <v>0.33796296296296297</v>
      </c>
      <c r="CO37" s="27">
        <v>0.38423645320197042</v>
      </c>
    </row>
    <row r="38" spans="2:93" x14ac:dyDescent="0.2">
      <c r="B38" s="25">
        <v>0</v>
      </c>
      <c r="C38" s="25">
        <v>22</v>
      </c>
      <c r="D38" s="25">
        <v>75</v>
      </c>
      <c r="E38" s="25">
        <v>80</v>
      </c>
      <c r="F38" s="25">
        <v>70</v>
      </c>
      <c r="G38" s="25">
        <v>39</v>
      </c>
      <c r="H38" s="25">
        <v>16</v>
      </c>
      <c r="K38" s="27">
        <v>0</v>
      </c>
      <c r="L38" s="27">
        <v>5</v>
      </c>
      <c r="M38" s="27">
        <v>11</v>
      </c>
      <c r="N38" s="27">
        <v>6</v>
      </c>
      <c r="O38" s="27">
        <v>0</v>
      </c>
      <c r="P38" s="27">
        <v>20</v>
      </c>
      <c r="Q38" s="27">
        <v>0</v>
      </c>
      <c r="R38" s="27">
        <v>0</v>
      </c>
      <c r="S38" s="27">
        <v>14</v>
      </c>
      <c r="T38" s="27">
        <v>19</v>
      </c>
      <c r="U38" s="27">
        <v>0</v>
      </c>
      <c r="X38" s="27">
        <v>0.2082</v>
      </c>
      <c r="Y38" s="27">
        <v>0.37159999999999999</v>
      </c>
      <c r="Z38" s="27">
        <v>0.14199999999999999</v>
      </c>
      <c r="AA38" s="27">
        <v>3.44E-2</v>
      </c>
      <c r="AB38" s="27">
        <v>4.1200000000000001E-2</v>
      </c>
      <c r="AC38" s="27">
        <v>0.2026</v>
      </c>
      <c r="AF38" s="27">
        <v>0</v>
      </c>
      <c r="AG38" s="27">
        <v>2.0066889632107024E-2</v>
      </c>
      <c r="AH38" s="27">
        <v>6.093189964157706E-2</v>
      </c>
      <c r="AI38" s="27">
        <v>6.1742006615214992E-2</v>
      </c>
      <c r="AJ38" s="27">
        <v>4.6994535519125684E-2</v>
      </c>
      <c r="AK38" s="27">
        <v>1.9404915912031046E-2</v>
      </c>
      <c r="AL38" s="27">
        <v>5.9612518628912071E-3</v>
      </c>
      <c r="AP38" s="27">
        <v>0</v>
      </c>
      <c r="AQ38" s="27">
        <v>1.5931372549019607E-2</v>
      </c>
      <c r="AR38" s="27">
        <v>6.8333333333333329E-2</v>
      </c>
      <c r="AS38" s="27">
        <v>0.10118043844856661</v>
      </c>
      <c r="AT38" s="27">
        <v>0.10361842105263158</v>
      </c>
      <c r="AU38" s="27">
        <v>0.1111111111111111</v>
      </c>
      <c r="AV38" s="27">
        <v>0.1206896551724138</v>
      </c>
      <c r="AW38" s="27">
        <v>8.0991735537190079E-2</v>
      </c>
      <c r="AX38" s="27">
        <v>187</v>
      </c>
      <c r="BA38" s="27">
        <v>0</v>
      </c>
      <c r="BB38" s="27">
        <v>0.5</v>
      </c>
      <c r="BC38" s="27">
        <v>0.73809523809523814</v>
      </c>
      <c r="BD38" s="27">
        <v>0.59</v>
      </c>
      <c r="BE38" s="27">
        <v>0.6</v>
      </c>
      <c r="BF38" s="27">
        <v>0.69230769230769229</v>
      </c>
      <c r="BG38" s="27">
        <v>0.22222222222222221</v>
      </c>
      <c r="BH38" s="27">
        <v>0.60830860534124631</v>
      </c>
      <c r="BK38" s="27">
        <v>3.7740949434539622E-2</v>
      </c>
      <c r="BL38" s="27">
        <v>6.2391433702401369E-2</v>
      </c>
      <c r="BM38" s="27">
        <v>6.7623762554997233E-2</v>
      </c>
      <c r="BN38" s="27">
        <v>0.8322438543080618</v>
      </c>
      <c r="BR38" s="27">
        <v>0.3824130879345603</v>
      </c>
      <c r="BS38" s="27">
        <v>0.68299246501614641</v>
      </c>
      <c r="BT38" s="27">
        <v>0.64951768488745976</v>
      </c>
      <c r="BU38" s="27">
        <v>0.68023255813953487</v>
      </c>
      <c r="BV38" s="27">
        <v>0</v>
      </c>
      <c r="BY38" s="27">
        <v>0</v>
      </c>
      <c r="BZ38" s="27">
        <v>0.35784313725490197</v>
      </c>
      <c r="CA38" s="27">
        <v>0.66500000000000004</v>
      </c>
      <c r="CB38" s="27">
        <v>0.67959527824620569</v>
      </c>
      <c r="CC38" s="27">
        <v>0.65953947368421051</v>
      </c>
      <c r="CD38" s="27">
        <v>0.63934426229508201</v>
      </c>
      <c r="CE38" s="27">
        <v>0.68534482758620685</v>
      </c>
      <c r="CI38" s="27">
        <v>0</v>
      </c>
      <c r="CJ38" s="27">
        <v>4.3749999999999997E-2</v>
      </c>
      <c r="CK38" s="27">
        <v>0.23461538461538461</v>
      </c>
      <c r="CL38" s="27">
        <v>0.39269406392694062</v>
      </c>
      <c r="CM38" s="27">
        <v>0.40756302521008403</v>
      </c>
      <c r="CN38" s="27">
        <v>0.36440677966101692</v>
      </c>
      <c r="CO38" s="27">
        <v>0.4585635359116022</v>
      </c>
    </row>
    <row r="39" spans="2:93" x14ac:dyDescent="0.2">
      <c r="B39" s="25">
        <v>0</v>
      </c>
      <c r="C39" s="25">
        <v>19</v>
      </c>
      <c r="D39" s="25">
        <v>75</v>
      </c>
      <c r="E39" s="25">
        <v>91</v>
      </c>
      <c r="F39" s="25">
        <v>68</v>
      </c>
      <c r="G39" s="25">
        <v>32</v>
      </c>
      <c r="H39" s="25">
        <v>17</v>
      </c>
      <c r="K39" s="27">
        <v>0</v>
      </c>
      <c r="L39" s="27">
        <v>5</v>
      </c>
      <c r="M39" s="27">
        <v>9</v>
      </c>
      <c r="N39" s="27">
        <v>7</v>
      </c>
      <c r="O39" s="27">
        <v>0</v>
      </c>
      <c r="P39" s="27">
        <v>22</v>
      </c>
      <c r="Q39" s="27">
        <v>0</v>
      </c>
      <c r="R39" s="27">
        <v>0</v>
      </c>
      <c r="S39" s="27">
        <v>26</v>
      </c>
      <c r="T39" s="27">
        <v>26</v>
      </c>
      <c r="U39" s="27">
        <v>0</v>
      </c>
      <c r="X39" s="27">
        <v>0.20880000000000001</v>
      </c>
      <c r="Y39" s="27">
        <v>0.38440000000000002</v>
      </c>
      <c r="Z39" s="27">
        <v>0.13159999999999999</v>
      </c>
      <c r="AA39" s="27">
        <v>3.4000000000000002E-2</v>
      </c>
      <c r="AB39" s="27">
        <v>4.3799999999999999E-2</v>
      </c>
      <c r="AC39" s="27">
        <v>0.19739999999999999</v>
      </c>
      <c r="AF39" s="27">
        <v>0</v>
      </c>
      <c r="AG39" s="27">
        <v>3.3975084937712341E-2</v>
      </c>
      <c r="AH39" s="27">
        <v>5.066344993968637E-2</v>
      </c>
      <c r="AI39" s="27">
        <v>6.8181818181818177E-2</v>
      </c>
      <c r="AJ39" s="27">
        <v>5.3846153846153849E-2</v>
      </c>
      <c r="AK39" s="27">
        <v>2.2486772486772486E-2</v>
      </c>
      <c r="AL39" s="27">
        <v>2.8653295128939827E-3</v>
      </c>
      <c r="AP39" s="27">
        <v>0</v>
      </c>
      <c r="AQ39" s="27">
        <v>1.7676767676767676E-2</v>
      </c>
      <c r="AR39" s="27">
        <v>7.1312803889789306E-2</v>
      </c>
      <c r="AS39" s="27">
        <v>0.10333333333333333</v>
      </c>
      <c r="AT39" s="27">
        <v>7.8726968174204354E-2</v>
      </c>
      <c r="AU39" s="27">
        <v>9.2421441774491686E-2</v>
      </c>
      <c r="AV39" s="27">
        <v>0.11</v>
      </c>
      <c r="AW39" s="27">
        <v>7.4581848094324096E-2</v>
      </c>
      <c r="AX39" s="27">
        <v>203</v>
      </c>
      <c r="BA39" s="27">
        <v>0</v>
      </c>
      <c r="BB39" s="27">
        <v>0.6875</v>
      </c>
      <c r="BC39" s="27">
        <v>0.63636363636363635</v>
      </c>
      <c r="BD39" s="27">
        <v>0.72033898305084743</v>
      </c>
      <c r="BE39" s="27">
        <v>0.65853658536585369</v>
      </c>
      <c r="BF39" s="27">
        <v>0.5</v>
      </c>
      <c r="BG39" s="27">
        <v>0.16666666666666666</v>
      </c>
      <c r="BH39" s="27">
        <v>0.64227642276422769</v>
      </c>
      <c r="BK39" s="27">
        <v>3.6020657481479444E-2</v>
      </c>
      <c r="BL39" s="27">
        <v>8.2325832944504906E-2</v>
      </c>
      <c r="BM39" s="27">
        <v>7.0283510668687571E-2</v>
      </c>
      <c r="BN39" s="27">
        <v>0.81136999890532802</v>
      </c>
      <c r="BR39" s="27">
        <v>0.39285714285714285</v>
      </c>
      <c r="BS39" s="27">
        <v>0.68470343392299693</v>
      </c>
      <c r="BT39" s="27">
        <v>0.61111111111111116</v>
      </c>
      <c r="BU39" s="27">
        <v>0.65088757396449703</v>
      </c>
      <c r="BV39" s="27">
        <v>0</v>
      </c>
      <c r="BY39" s="27">
        <v>0</v>
      </c>
      <c r="BZ39" s="27">
        <v>0.35479797979797978</v>
      </c>
      <c r="CA39" s="27">
        <v>0.66612641815235007</v>
      </c>
      <c r="CB39" s="27">
        <v>0.71666666666666667</v>
      </c>
      <c r="CC39" s="27">
        <v>0.6365159128978225</v>
      </c>
      <c r="CD39" s="27">
        <v>0.6081330868761553</v>
      </c>
      <c r="CE39" s="27">
        <v>0.66400000000000003</v>
      </c>
      <c r="CI39" s="27">
        <v>0</v>
      </c>
      <c r="CJ39" s="27">
        <v>5.1612903225806452E-2</v>
      </c>
      <c r="CK39" s="27">
        <v>0.25680933852140075</v>
      </c>
      <c r="CL39" s="27">
        <v>0.38427947598253276</v>
      </c>
      <c r="CM39" s="27">
        <v>0.33181818181818185</v>
      </c>
      <c r="CN39" s="27">
        <v>0.40758293838862558</v>
      </c>
      <c r="CO39" s="27">
        <v>0.40932642487046633</v>
      </c>
    </row>
    <row r="40" spans="2:93" x14ac:dyDescent="0.2">
      <c r="B40" s="25">
        <v>0</v>
      </c>
      <c r="C40" s="25">
        <v>18</v>
      </c>
      <c r="D40" s="25">
        <v>65</v>
      </c>
      <c r="E40" s="25">
        <v>72</v>
      </c>
      <c r="F40" s="25">
        <v>53</v>
      </c>
      <c r="G40" s="25">
        <v>27</v>
      </c>
      <c r="H40" s="25">
        <v>12</v>
      </c>
      <c r="K40" s="27">
        <v>5</v>
      </c>
      <c r="L40" s="27">
        <v>7</v>
      </c>
      <c r="M40" s="27">
        <v>11</v>
      </c>
      <c r="N40" s="27">
        <v>7</v>
      </c>
      <c r="O40" s="27">
        <v>0</v>
      </c>
      <c r="P40" s="27">
        <v>16</v>
      </c>
      <c r="Q40" s="27">
        <v>0</v>
      </c>
      <c r="R40" s="27">
        <v>0</v>
      </c>
      <c r="S40" s="27">
        <v>17</v>
      </c>
      <c r="T40" s="27">
        <v>21</v>
      </c>
      <c r="U40" s="27">
        <v>0</v>
      </c>
      <c r="X40" s="27">
        <v>0.214</v>
      </c>
      <c r="Y40" s="27">
        <v>0.36959999999999998</v>
      </c>
      <c r="Z40" s="27">
        <v>0.13439999999999999</v>
      </c>
      <c r="AA40" s="27">
        <v>3.4200000000000001E-2</v>
      </c>
      <c r="AB40" s="27">
        <v>3.7999999999999999E-2</v>
      </c>
      <c r="AC40" s="27">
        <v>0.20979999999999999</v>
      </c>
      <c r="AF40" s="27">
        <v>0</v>
      </c>
      <c r="AG40" s="27">
        <v>1.9122609673790775E-2</v>
      </c>
      <c r="AH40" s="27">
        <v>5.5952380952380955E-2</v>
      </c>
      <c r="AI40" s="27">
        <v>6.1810154525386317E-2</v>
      </c>
      <c r="AJ40" s="27">
        <v>5.3087757313109427E-2</v>
      </c>
      <c r="AK40" s="27">
        <v>1.1764705882352941E-2</v>
      </c>
      <c r="AL40" s="27">
        <v>1.4771048744460858E-3</v>
      </c>
      <c r="AP40" s="27">
        <v>0</v>
      </c>
      <c r="AQ40" s="27">
        <v>1.7391304347826087E-2</v>
      </c>
      <c r="AR40" s="27">
        <v>6.6129032258064518E-2</v>
      </c>
      <c r="AS40" s="27">
        <v>0.10102739726027397</v>
      </c>
      <c r="AT40" s="27">
        <v>8.3194675540765387E-2</v>
      </c>
      <c r="AU40" s="27">
        <v>8.3491461100569264E-2</v>
      </c>
      <c r="AV40" s="27">
        <v>0.12552301255230125</v>
      </c>
      <c r="AW40" s="27">
        <v>7.4135546334716459E-2</v>
      </c>
      <c r="AX40" s="27">
        <v>179</v>
      </c>
      <c r="BA40" s="27">
        <v>0</v>
      </c>
      <c r="BB40" s="27">
        <v>0.51219512195121952</v>
      </c>
      <c r="BC40" s="27">
        <v>0.6987951807228916</v>
      </c>
      <c r="BD40" s="27">
        <v>0.77777777777777779</v>
      </c>
      <c r="BE40" s="27">
        <v>0.68674698795180722</v>
      </c>
      <c r="BF40" s="27">
        <v>0.61111111111111116</v>
      </c>
      <c r="BG40" s="27">
        <v>0.2</v>
      </c>
      <c r="BH40" s="27">
        <v>0.66355140186915884</v>
      </c>
      <c r="BK40" s="27">
        <v>4.462558632569457E-2</v>
      </c>
      <c r="BL40" s="27">
        <v>5.6903820726229466E-2</v>
      </c>
      <c r="BM40" s="27">
        <v>7.8856800300336607E-2</v>
      </c>
      <c r="BN40" s="27">
        <v>0.81961379264773937</v>
      </c>
      <c r="BR40" s="27">
        <v>0.39481555333998009</v>
      </c>
      <c r="BS40" s="27">
        <v>0.68993506493506496</v>
      </c>
      <c r="BT40" s="27">
        <v>0.59865092748735249</v>
      </c>
      <c r="BU40" s="27">
        <v>0.6257309941520468</v>
      </c>
      <c r="BV40" s="27">
        <v>0</v>
      </c>
      <c r="BY40" s="27">
        <v>0</v>
      </c>
      <c r="BZ40" s="27">
        <v>0.36521739130434783</v>
      </c>
      <c r="CA40" s="27">
        <v>0.65483870967741931</v>
      </c>
      <c r="CB40" s="27">
        <v>0.69691780821917804</v>
      </c>
      <c r="CC40" s="27">
        <v>0.64891846921797003</v>
      </c>
      <c r="CD40" s="27">
        <v>0.58444022770398485</v>
      </c>
      <c r="CE40" s="27">
        <v>0.68619246861924688</v>
      </c>
      <c r="CI40" s="27">
        <v>0</v>
      </c>
      <c r="CJ40" s="27">
        <v>3.9619651347068144E-2</v>
      </c>
      <c r="CK40" s="27">
        <v>0.2491349480968858</v>
      </c>
      <c r="CL40" s="27">
        <v>0.41850220264317178</v>
      </c>
      <c r="CM40" s="27">
        <v>0.31168831168831168</v>
      </c>
      <c r="CN40" s="27">
        <v>0.38571428571428573</v>
      </c>
      <c r="CO40" s="27">
        <v>0.43315508021390375</v>
      </c>
    </row>
    <row r="41" spans="2:93" x14ac:dyDescent="0.2">
      <c r="B41" s="25">
        <v>0</v>
      </c>
      <c r="C41" s="25">
        <v>31</v>
      </c>
      <c r="D41" s="25">
        <v>66</v>
      </c>
      <c r="E41" s="25">
        <v>63</v>
      </c>
      <c r="F41" s="25">
        <v>77</v>
      </c>
      <c r="G41" s="25">
        <v>39</v>
      </c>
      <c r="H41" s="25">
        <v>13</v>
      </c>
      <c r="K41" s="27">
        <v>0</v>
      </c>
      <c r="L41" s="27">
        <v>4</v>
      </c>
      <c r="M41" s="27">
        <v>12</v>
      </c>
      <c r="N41" s="27">
        <v>8</v>
      </c>
      <c r="O41" s="27">
        <v>0</v>
      </c>
      <c r="P41" s="27">
        <v>22</v>
      </c>
      <c r="Q41" s="27">
        <v>1</v>
      </c>
      <c r="R41" s="27">
        <v>0</v>
      </c>
      <c r="S41" s="27">
        <v>27</v>
      </c>
      <c r="T41" s="27">
        <v>25</v>
      </c>
      <c r="U41" s="27">
        <v>0</v>
      </c>
      <c r="X41" s="27">
        <v>0.2072</v>
      </c>
      <c r="Y41" s="27">
        <v>0.372</v>
      </c>
      <c r="Z41" s="27">
        <v>0.13400000000000001</v>
      </c>
      <c r="AA41" s="27">
        <v>3.3799999999999997E-2</v>
      </c>
      <c r="AB41" s="27">
        <v>4.7600000000000003E-2</v>
      </c>
      <c r="AC41" s="27">
        <v>0.2054</v>
      </c>
      <c r="AF41" s="27">
        <v>0</v>
      </c>
      <c r="AG41" s="27">
        <v>2.4943310657596373E-2</v>
      </c>
      <c r="AH41" s="27">
        <v>6.4516129032258063E-2</v>
      </c>
      <c r="AI41" s="27">
        <v>7.4675324675324672E-2</v>
      </c>
      <c r="AJ41" s="27">
        <v>6.5774804905239681E-2</v>
      </c>
      <c r="AK41" s="27">
        <v>2.2020725388601035E-2</v>
      </c>
      <c r="AL41" s="27">
        <v>1.0174418604651164E-2</v>
      </c>
      <c r="AP41" s="27">
        <v>0</v>
      </c>
      <c r="AQ41" s="27">
        <v>2.5031289111389236E-2</v>
      </c>
      <c r="AR41" s="27">
        <v>6.1258278145695365E-2</v>
      </c>
      <c r="AS41" s="27">
        <v>8.1494057724957561E-2</v>
      </c>
      <c r="AT41" s="27">
        <v>8.8809946714031973E-2</v>
      </c>
      <c r="AU41" s="27">
        <v>0.10073260073260074</v>
      </c>
      <c r="AV41" s="27">
        <v>9.9601593625498003E-2</v>
      </c>
      <c r="AW41" s="27">
        <v>7.2162087149597556E-2</v>
      </c>
      <c r="AX41" s="27">
        <v>228</v>
      </c>
      <c r="BA41" s="27">
        <v>0</v>
      </c>
      <c r="BB41" s="27">
        <v>0.6097560975609756</v>
      </c>
      <c r="BC41" s="27">
        <v>0.61538461538461542</v>
      </c>
      <c r="BD41" s="27">
        <v>0.67924528301886788</v>
      </c>
      <c r="BE41" s="27">
        <v>0.73493975903614461</v>
      </c>
      <c r="BF41" s="27">
        <v>0.65517241379310343</v>
      </c>
      <c r="BG41" s="27">
        <v>0.36363636363636365</v>
      </c>
      <c r="BH41" s="27">
        <v>0.64675324675324675</v>
      </c>
      <c r="BK41" s="27">
        <v>3.3126235935196466E-2</v>
      </c>
      <c r="BL41" s="27">
        <v>5.5698535012562861E-2</v>
      </c>
      <c r="BM41" s="27">
        <v>6.6770637765555516E-2</v>
      </c>
      <c r="BN41" s="27">
        <v>0.8444045912866851</v>
      </c>
      <c r="BR41" s="27">
        <v>0.3836734693877551</v>
      </c>
      <c r="BS41" s="27">
        <v>0.6913978494623656</v>
      </c>
      <c r="BT41" s="27">
        <v>0.61279461279461278</v>
      </c>
      <c r="BU41" s="27">
        <v>0.69822485207100593</v>
      </c>
      <c r="BV41" s="27">
        <v>0</v>
      </c>
      <c r="BY41" s="27">
        <v>0</v>
      </c>
      <c r="BZ41" s="27">
        <v>0.36045056320400498</v>
      </c>
      <c r="CA41" s="27">
        <v>0.68377483443708609</v>
      </c>
      <c r="CB41" s="27">
        <v>0.69100169779286924</v>
      </c>
      <c r="CC41" s="27">
        <v>0.64831261101243343</v>
      </c>
      <c r="CD41" s="27">
        <v>0.65201465201465203</v>
      </c>
      <c r="CE41" s="27">
        <v>0.62749003984063745</v>
      </c>
      <c r="CI41" s="27">
        <v>0</v>
      </c>
      <c r="CJ41" s="27">
        <v>5.2297939778129951E-2</v>
      </c>
      <c r="CK41" s="27">
        <v>0.22672064777327935</v>
      </c>
      <c r="CL41" s="27">
        <v>0.33478260869565218</v>
      </c>
      <c r="CM41" s="27">
        <v>0.38613861386138615</v>
      </c>
      <c r="CN41" s="27">
        <v>0.42990654205607476</v>
      </c>
      <c r="CO41" s="27">
        <v>0.36818181818181817</v>
      </c>
    </row>
    <row r="42" spans="2:93" x14ac:dyDescent="0.2">
      <c r="B42" s="25">
        <v>0</v>
      </c>
      <c r="C42" s="25">
        <v>27</v>
      </c>
      <c r="D42" s="25">
        <v>92</v>
      </c>
      <c r="E42" s="25">
        <v>88</v>
      </c>
      <c r="F42" s="25">
        <v>57</v>
      </c>
      <c r="G42" s="25">
        <v>38</v>
      </c>
      <c r="H42" s="25">
        <v>12</v>
      </c>
      <c r="K42" s="27">
        <v>0</v>
      </c>
      <c r="L42" s="27">
        <v>6</v>
      </c>
      <c r="M42" s="27">
        <v>7</v>
      </c>
      <c r="N42" s="27">
        <v>8</v>
      </c>
      <c r="O42" s="27">
        <v>0</v>
      </c>
      <c r="P42" s="27">
        <v>22</v>
      </c>
      <c r="Q42" s="27">
        <v>0</v>
      </c>
      <c r="R42" s="27">
        <v>0</v>
      </c>
      <c r="S42" s="27">
        <v>23</v>
      </c>
      <c r="T42" s="27">
        <v>20</v>
      </c>
      <c r="U42" s="27">
        <v>0</v>
      </c>
      <c r="X42" s="27">
        <v>0.2092</v>
      </c>
      <c r="Y42" s="27">
        <v>0.37540000000000001</v>
      </c>
      <c r="Z42" s="27">
        <v>0.1384</v>
      </c>
      <c r="AA42" s="27">
        <v>3.1600000000000003E-2</v>
      </c>
      <c r="AB42" s="27">
        <v>3.9399999999999998E-2</v>
      </c>
      <c r="AC42" s="27">
        <v>0.20599999999999999</v>
      </c>
      <c r="AF42" s="27">
        <v>0</v>
      </c>
      <c r="AG42" s="27">
        <v>1.8018018018018018E-2</v>
      </c>
      <c r="AH42" s="27">
        <v>5.8682634730538925E-2</v>
      </c>
      <c r="AI42" s="27">
        <v>5.2344601962922573E-2</v>
      </c>
      <c r="AJ42" s="27">
        <v>5.9275521405049394E-2</v>
      </c>
      <c r="AK42" s="27">
        <v>1.310615989515072E-2</v>
      </c>
      <c r="AL42" s="27">
        <v>5.8309037900874635E-3</v>
      </c>
      <c r="AP42" s="27">
        <v>0</v>
      </c>
      <c r="AQ42" s="27">
        <v>2.3456790123456792E-2</v>
      </c>
      <c r="AR42" s="27">
        <v>5.7947019867549666E-2</v>
      </c>
      <c r="AS42" s="27">
        <v>8.1833060556464818E-2</v>
      </c>
      <c r="AT42" s="27">
        <v>8.7328767123287673E-2</v>
      </c>
      <c r="AU42" s="27">
        <v>9.4339622641509441E-2</v>
      </c>
      <c r="AV42" s="27">
        <v>0.10950413223140495</v>
      </c>
      <c r="AW42" s="27">
        <v>7.1211703008556448E-2</v>
      </c>
      <c r="AX42" s="27">
        <v>181</v>
      </c>
      <c r="BA42" s="27">
        <v>0</v>
      </c>
      <c r="BB42" s="27">
        <v>0.63888888888888884</v>
      </c>
      <c r="BC42" s="27">
        <v>0.76829268292682928</v>
      </c>
      <c r="BD42" s="27">
        <v>0.67010309278350511</v>
      </c>
      <c r="BE42" s="27">
        <v>0.68235294117647061</v>
      </c>
      <c r="BF42" s="27">
        <v>0.56521739130434778</v>
      </c>
      <c r="BG42" s="27">
        <v>0.45454545454545453</v>
      </c>
      <c r="BH42" s="27">
        <v>0.67964071856287422</v>
      </c>
      <c r="BK42" s="27">
        <v>2.3683051114046109E-2</v>
      </c>
      <c r="BL42" s="27">
        <v>6.4932710439711896E-2</v>
      </c>
      <c r="BM42" s="27">
        <v>8.6198638807304537E-2</v>
      </c>
      <c r="BN42" s="27">
        <v>0.82518559963893745</v>
      </c>
      <c r="BR42" s="27">
        <v>0.38706365503080081</v>
      </c>
      <c r="BS42" s="27">
        <v>0.68460309003729358</v>
      </c>
      <c r="BT42" s="27">
        <v>0.61400651465798051</v>
      </c>
      <c r="BU42" s="27">
        <v>0.65189873417721522</v>
      </c>
      <c r="BV42" s="27">
        <v>0</v>
      </c>
      <c r="BY42" s="27">
        <v>0</v>
      </c>
      <c r="BZ42" s="27">
        <v>0.36296296296296299</v>
      </c>
      <c r="CA42" s="27">
        <v>0.69205298013245031</v>
      </c>
      <c r="CB42" s="27">
        <v>0.66939443535188214</v>
      </c>
      <c r="CC42" s="27">
        <v>0.63356164383561642</v>
      </c>
      <c r="CD42" s="27">
        <v>0.63962264150943393</v>
      </c>
      <c r="CE42" s="27">
        <v>0.64462809917355368</v>
      </c>
      <c r="CI42" s="27">
        <v>0</v>
      </c>
      <c r="CJ42" s="27">
        <v>5.0314465408805034E-2</v>
      </c>
      <c r="CK42" s="27">
        <v>0.24513618677042801</v>
      </c>
      <c r="CL42" s="27">
        <v>0.32751091703056767</v>
      </c>
      <c r="CM42" s="27">
        <v>0.40434782608695652</v>
      </c>
      <c r="CN42" s="27">
        <v>0.36915887850467288</v>
      </c>
      <c r="CO42" s="27">
        <v>0.43783783783783786</v>
      </c>
    </row>
    <row r="43" spans="2:93" x14ac:dyDescent="0.2">
      <c r="B43" s="25">
        <v>0</v>
      </c>
      <c r="C43" s="25">
        <v>28</v>
      </c>
      <c r="D43" s="25">
        <v>75</v>
      </c>
      <c r="E43" s="25">
        <v>85</v>
      </c>
      <c r="F43" s="25">
        <v>90</v>
      </c>
      <c r="G43" s="25">
        <v>32</v>
      </c>
      <c r="H43" s="25">
        <v>9</v>
      </c>
      <c r="K43" s="27">
        <v>0</v>
      </c>
      <c r="L43" s="27">
        <v>9</v>
      </c>
      <c r="M43" s="27">
        <v>9</v>
      </c>
      <c r="N43" s="27">
        <v>8</v>
      </c>
      <c r="O43" s="27">
        <v>0</v>
      </c>
      <c r="P43" s="27">
        <v>24</v>
      </c>
      <c r="Q43" s="27">
        <v>1</v>
      </c>
      <c r="R43" s="27">
        <v>0</v>
      </c>
      <c r="S43" s="27">
        <v>31</v>
      </c>
      <c r="T43" s="27">
        <v>20</v>
      </c>
      <c r="U43" s="27">
        <v>0</v>
      </c>
      <c r="X43" s="27">
        <v>0.20499999999999999</v>
      </c>
      <c r="Y43" s="27">
        <v>0.37140000000000001</v>
      </c>
      <c r="Z43" s="27">
        <v>0.13300000000000001</v>
      </c>
      <c r="AA43" s="27">
        <v>3.3799999999999997E-2</v>
      </c>
      <c r="AB43" s="27">
        <v>4.7E-2</v>
      </c>
      <c r="AC43" s="27">
        <v>0.20979999999999999</v>
      </c>
      <c r="AF43" s="27">
        <v>0</v>
      </c>
      <c r="AG43" s="27">
        <v>2.1615472127417521E-2</v>
      </c>
      <c r="AH43" s="27">
        <v>5.2380952380952382E-2</v>
      </c>
      <c r="AI43" s="27">
        <v>7.38327904451683E-2</v>
      </c>
      <c r="AJ43" s="27">
        <v>5.5309734513274339E-2</v>
      </c>
      <c r="AK43" s="27">
        <v>2.3285899094437259E-2</v>
      </c>
      <c r="AL43" s="27">
        <v>1.7569546120058566E-2</v>
      </c>
      <c r="AP43" s="27">
        <v>0</v>
      </c>
      <c r="AQ43" s="27">
        <v>1.7676767676767676E-2</v>
      </c>
      <c r="AR43" s="27">
        <v>9.8039215686274508E-2</v>
      </c>
      <c r="AS43" s="27">
        <v>9.6610169491525427E-2</v>
      </c>
      <c r="AT43" s="27">
        <v>9.1819699499165269E-2</v>
      </c>
      <c r="AU43" s="27">
        <v>0.12667946257197696</v>
      </c>
      <c r="AV43" s="27">
        <v>0.12422360248447205</v>
      </c>
      <c r="AW43" s="27">
        <v>8.6738949124270229E-2</v>
      </c>
      <c r="AX43" s="27">
        <v>211</v>
      </c>
      <c r="BA43" s="27">
        <v>0</v>
      </c>
      <c r="BB43" s="27">
        <v>0.5</v>
      </c>
      <c r="BC43" s="27">
        <v>0.57831325301204817</v>
      </c>
      <c r="BD43" s="27">
        <v>0.69911504424778759</v>
      </c>
      <c r="BE43" s="27">
        <v>0.63529411764705879</v>
      </c>
      <c r="BF43" s="27">
        <v>0.63157894736842102</v>
      </c>
      <c r="BG43" s="27">
        <v>0.5</v>
      </c>
      <c r="BH43" s="27">
        <v>0.61879895561357701</v>
      </c>
      <c r="BK43" s="27">
        <v>6.5761979086440062E-2</v>
      </c>
      <c r="BL43" s="27">
        <v>4.1305115171175834E-2</v>
      </c>
      <c r="BM43" s="27">
        <v>7.9251598464550918E-2</v>
      </c>
      <c r="BN43" s="27">
        <v>0.81368130727783328</v>
      </c>
      <c r="BR43" s="27">
        <v>0.39609053497942387</v>
      </c>
      <c r="BS43" s="27">
        <v>0.68120624663435647</v>
      </c>
      <c r="BT43" s="27">
        <v>0.65442404006677801</v>
      </c>
      <c r="BU43" s="27">
        <v>0.68639053254437865</v>
      </c>
      <c r="BV43" s="27">
        <v>0</v>
      </c>
      <c r="BY43" s="27">
        <v>0</v>
      </c>
      <c r="BZ43" s="27">
        <v>0.38005050505050503</v>
      </c>
      <c r="CA43" s="27">
        <v>0.66503267973856206</v>
      </c>
      <c r="CB43" s="27">
        <v>0.7169491525423729</v>
      </c>
      <c r="CC43" s="27">
        <v>0.6510851419031719</v>
      </c>
      <c r="CD43" s="27">
        <v>0.62571976967370446</v>
      </c>
      <c r="CE43" s="27">
        <v>0.64389233954451341</v>
      </c>
      <c r="CI43" s="27">
        <v>0</v>
      </c>
      <c r="CJ43" s="27">
        <v>4.1867954911433171E-2</v>
      </c>
      <c r="CK43" s="27">
        <v>0.29710144927536231</v>
      </c>
      <c r="CL43" s="27">
        <v>0.37850467289719625</v>
      </c>
      <c r="CM43" s="27">
        <v>0.38666666666666666</v>
      </c>
      <c r="CN43" s="27">
        <v>0.42857142857142855</v>
      </c>
      <c r="CO43" s="27">
        <v>0.40500000000000003</v>
      </c>
    </row>
    <row r="44" spans="2:93" x14ac:dyDescent="0.2">
      <c r="B44" s="25">
        <v>0</v>
      </c>
      <c r="C44" s="25">
        <v>33</v>
      </c>
      <c r="D44" s="25">
        <v>83</v>
      </c>
      <c r="E44" s="25">
        <v>86</v>
      </c>
      <c r="F44" s="25">
        <v>64</v>
      </c>
      <c r="G44" s="25">
        <v>40</v>
      </c>
      <c r="H44" s="25">
        <v>13</v>
      </c>
      <c r="K44" s="27">
        <v>0</v>
      </c>
      <c r="L44" s="27">
        <v>7</v>
      </c>
      <c r="M44" s="27">
        <v>10</v>
      </c>
      <c r="N44" s="27">
        <v>14</v>
      </c>
      <c r="O44" s="27">
        <v>0</v>
      </c>
      <c r="P44" s="27">
        <v>20</v>
      </c>
      <c r="Q44" s="27">
        <v>0</v>
      </c>
      <c r="R44" s="27">
        <v>0</v>
      </c>
      <c r="S44" s="27">
        <v>24</v>
      </c>
      <c r="T44" s="27">
        <v>25</v>
      </c>
      <c r="U44" s="27">
        <v>0</v>
      </c>
      <c r="X44" s="27">
        <v>0.2114</v>
      </c>
      <c r="Y44" s="27">
        <v>0.36099999999999999</v>
      </c>
      <c r="Z44" s="27">
        <v>0.1404</v>
      </c>
      <c r="AA44" s="27">
        <v>3.2599999999999997E-2</v>
      </c>
      <c r="AB44" s="27">
        <v>4.5600000000000002E-2</v>
      </c>
      <c r="AC44" s="27">
        <v>0.20899999999999999</v>
      </c>
      <c r="AF44" s="27">
        <v>0</v>
      </c>
      <c r="AG44" s="27">
        <v>2.2446689113355778E-2</v>
      </c>
      <c r="AH44" s="27">
        <v>7.3671497584541057E-2</v>
      </c>
      <c r="AI44" s="27">
        <v>6.2906724511930592E-2</v>
      </c>
      <c r="AJ44" s="27">
        <v>5.7331863285556783E-2</v>
      </c>
      <c r="AK44" s="27">
        <v>2.7415143603133161E-2</v>
      </c>
      <c r="AL44" s="27">
        <v>5.8309037900874635E-3</v>
      </c>
      <c r="AP44" s="27">
        <v>0</v>
      </c>
      <c r="AQ44" s="27">
        <v>1.2406947890818859E-2</v>
      </c>
      <c r="AR44" s="27">
        <v>6.2605752961082908E-2</v>
      </c>
      <c r="AS44" s="27">
        <v>9.3062605752961089E-2</v>
      </c>
      <c r="AT44" s="27">
        <v>0.11016949152542373</v>
      </c>
      <c r="AU44" s="27">
        <v>9.3511450381679392E-2</v>
      </c>
      <c r="AV44" s="27">
        <v>0.10472279260780287</v>
      </c>
      <c r="AW44" s="27">
        <v>7.4393981610476459E-2</v>
      </c>
      <c r="AX44" s="27">
        <v>216</v>
      </c>
      <c r="BA44" s="27">
        <v>0</v>
      </c>
      <c r="BB44" s="27">
        <v>0.61111111111111116</v>
      </c>
      <c r="BC44" s="27">
        <v>0.72289156626506024</v>
      </c>
      <c r="BD44" s="27">
        <v>0.75510204081632648</v>
      </c>
      <c r="BE44" s="27">
        <v>0.63013698630136983</v>
      </c>
      <c r="BF44" s="27">
        <v>0.61290322580645162</v>
      </c>
      <c r="BG44" s="27">
        <v>0.33333333333333331</v>
      </c>
      <c r="BH44" s="27">
        <v>0.67261904761904767</v>
      </c>
      <c r="BK44" s="27">
        <v>4.2023151256652368E-2</v>
      </c>
      <c r="BL44" s="27">
        <v>4.88687404758626E-2</v>
      </c>
      <c r="BM44" s="27">
        <v>8.5812600153204646E-2</v>
      </c>
      <c r="BN44" s="27">
        <v>0.82329550811428032</v>
      </c>
      <c r="BR44" s="27">
        <v>0.37525150905432597</v>
      </c>
      <c r="BS44" s="27">
        <v>0.66703601108033239</v>
      </c>
      <c r="BT44" s="27">
        <v>0.61464968152866239</v>
      </c>
      <c r="BU44" s="27">
        <v>0.61728395061728392</v>
      </c>
      <c r="BV44" s="27">
        <v>0</v>
      </c>
      <c r="BY44" s="27">
        <v>0</v>
      </c>
      <c r="BZ44" s="27">
        <v>0.34987593052109184</v>
      </c>
      <c r="CA44" s="27">
        <v>0.67005076142131981</v>
      </c>
      <c r="CB44" s="27">
        <v>0.64974619289340096</v>
      </c>
      <c r="CC44" s="27">
        <v>0.64915254237288134</v>
      </c>
      <c r="CD44" s="27">
        <v>0.58206106870229013</v>
      </c>
      <c r="CE44" s="27">
        <v>0.64271047227926081</v>
      </c>
      <c r="CI44" s="27">
        <v>0</v>
      </c>
      <c r="CJ44" s="27">
        <v>3.6334913112164295E-2</v>
      </c>
      <c r="CK44" s="27">
        <v>0.22348484848484848</v>
      </c>
      <c r="CL44" s="27">
        <v>0.39330543933054396</v>
      </c>
      <c r="CM44" s="27">
        <v>0.43478260869565216</v>
      </c>
      <c r="CN44" s="27">
        <v>0.32300884955752213</v>
      </c>
      <c r="CO44" s="27">
        <v>0.40206185567010311</v>
      </c>
    </row>
    <row r="45" spans="2:93" x14ac:dyDescent="0.2">
      <c r="B45" s="25">
        <v>0</v>
      </c>
      <c r="C45" s="25">
        <v>20</v>
      </c>
      <c r="D45" s="25">
        <v>70</v>
      </c>
      <c r="E45" s="25">
        <v>77</v>
      </c>
      <c r="F45" s="25">
        <v>74</v>
      </c>
      <c r="G45" s="25">
        <v>25</v>
      </c>
      <c r="H45" s="25">
        <v>13</v>
      </c>
      <c r="K45" s="27">
        <v>0</v>
      </c>
      <c r="L45" s="27">
        <v>6</v>
      </c>
      <c r="M45" s="27">
        <v>10</v>
      </c>
      <c r="N45" s="27">
        <v>9</v>
      </c>
      <c r="O45" s="27">
        <v>0</v>
      </c>
      <c r="P45" s="27">
        <v>20</v>
      </c>
      <c r="Q45" s="27">
        <v>1</v>
      </c>
      <c r="R45" s="27">
        <v>0</v>
      </c>
      <c r="S45" s="27">
        <v>20</v>
      </c>
      <c r="T45" s="27">
        <v>24</v>
      </c>
      <c r="U45" s="27">
        <v>0</v>
      </c>
      <c r="X45" s="27">
        <v>0.20880000000000001</v>
      </c>
      <c r="Y45" s="27">
        <v>0.36699999999999999</v>
      </c>
      <c r="Z45" s="27">
        <v>0.1434</v>
      </c>
      <c r="AA45" s="27">
        <v>3.0599999999999999E-2</v>
      </c>
      <c r="AB45" s="27">
        <v>4.58E-2</v>
      </c>
      <c r="AC45" s="27">
        <v>0.2044</v>
      </c>
      <c r="AF45" s="27">
        <v>0</v>
      </c>
      <c r="AG45" s="27">
        <v>2.0408163265306121E-2</v>
      </c>
      <c r="AH45" s="27">
        <v>7.8291814946619215E-2</v>
      </c>
      <c r="AI45" s="27">
        <v>6.4551422319474833E-2</v>
      </c>
      <c r="AJ45" s="27">
        <v>5.159165751920966E-2</v>
      </c>
      <c r="AK45" s="27">
        <v>2.7486910994764399E-2</v>
      </c>
      <c r="AL45" s="27">
        <v>1.020408163265306E-2</v>
      </c>
      <c r="AP45" s="27">
        <v>0</v>
      </c>
      <c r="AQ45" s="27">
        <v>2.2415940224159402E-2</v>
      </c>
      <c r="AR45" s="27">
        <v>8.5910652920962199E-2</v>
      </c>
      <c r="AS45" s="27">
        <v>0.10631229235880399</v>
      </c>
      <c r="AT45" s="27">
        <v>7.9661016949152536E-2</v>
      </c>
      <c r="AU45" s="27">
        <v>9.0073529411764705E-2</v>
      </c>
      <c r="AV45" s="27">
        <v>0.13905930470347649</v>
      </c>
      <c r="AW45" s="27">
        <v>8.1994459833795011E-2</v>
      </c>
      <c r="AX45" s="27">
        <v>218</v>
      </c>
      <c r="BA45" s="27">
        <v>0</v>
      </c>
      <c r="BB45" s="27">
        <v>0.47368421052631576</v>
      </c>
      <c r="BC45" s="27">
        <v>0.73333333333333328</v>
      </c>
      <c r="BD45" s="27">
        <v>0.75294117647058822</v>
      </c>
      <c r="BE45" s="27">
        <v>0.72222222222222221</v>
      </c>
      <c r="BF45" s="27">
        <v>0.66666666666666663</v>
      </c>
      <c r="BG45" s="27">
        <v>0.38095238095238093</v>
      </c>
      <c r="BH45" s="27">
        <v>0.68091168091168086</v>
      </c>
      <c r="BK45" s="27">
        <v>5.729766497560259E-2</v>
      </c>
      <c r="BL45" s="27">
        <v>5.57198928519523E-2</v>
      </c>
      <c r="BM45" s="27">
        <v>8.0563379286998971E-2</v>
      </c>
      <c r="BN45" s="27">
        <v>0.80641906288544618</v>
      </c>
      <c r="BR45" s="27">
        <v>0.40904419321685509</v>
      </c>
      <c r="BS45" s="27">
        <v>0.6986376021798365</v>
      </c>
      <c r="BT45" s="27">
        <v>0.60092449922958402</v>
      </c>
      <c r="BU45" s="27">
        <v>0.73202614379084963</v>
      </c>
      <c r="BV45" s="27">
        <v>0</v>
      </c>
      <c r="BY45" s="27">
        <v>0</v>
      </c>
      <c r="BZ45" s="27">
        <v>0.38729763387297633</v>
      </c>
      <c r="CA45" s="27">
        <v>0.6872852233676976</v>
      </c>
      <c r="CB45" s="27">
        <v>0.68272425249169433</v>
      </c>
      <c r="CC45" s="27">
        <v>0.63050847457627124</v>
      </c>
      <c r="CD45" s="27">
        <v>0.64889705882352944</v>
      </c>
      <c r="CE45" s="27">
        <v>0.68507157464212676</v>
      </c>
      <c r="CI45" s="27">
        <v>0</v>
      </c>
      <c r="CJ45" s="27">
        <v>5.8544303797468354E-2</v>
      </c>
      <c r="CK45" s="27">
        <v>0.3147410358565737</v>
      </c>
      <c r="CL45" s="27">
        <v>0.38793103448275862</v>
      </c>
      <c r="CM45" s="27">
        <v>0.36244541484716158</v>
      </c>
      <c r="CN45" s="27">
        <v>0.33636363636363636</v>
      </c>
      <c r="CO45" s="27">
        <v>0.41148325358851673</v>
      </c>
    </row>
    <row r="46" spans="2:93" x14ac:dyDescent="0.2">
      <c r="B46" s="25">
        <v>0</v>
      </c>
      <c r="C46" s="25">
        <v>30</v>
      </c>
      <c r="D46" s="25">
        <v>80</v>
      </c>
      <c r="E46" s="25">
        <v>87</v>
      </c>
      <c r="F46" s="25">
        <v>57</v>
      </c>
      <c r="G46" s="25">
        <v>39</v>
      </c>
      <c r="H46" s="25">
        <v>20</v>
      </c>
      <c r="K46" s="27">
        <v>0</v>
      </c>
      <c r="L46" s="27">
        <v>2</v>
      </c>
      <c r="M46" s="27">
        <v>10</v>
      </c>
      <c r="N46" s="27">
        <v>10</v>
      </c>
      <c r="O46" s="27">
        <v>0</v>
      </c>
      <c r="P46" s="27">
        <v>16</v>
      </c>
      <c r="Q46" s="27">
        <v>0</v>
      </c>
      <c r="R46" s="27">
        <v>0</v>
      </c>
      <c r="S46" s="27">
        <v>22</v>
      </c>
      <c r="T46" s="27">
        <v>17</v>
      </c>
      <c r="U46" s="27">
        <v>0</v>
      </c>
      <c r="X46" s="27">
        <v>0.2054</v>
      </c>
      <c r="Y46" s="27">
        <v>0.37780000000000002</v>
      </c>
      <c r="Z46" s="27">
        <v>0.13300000000000001</v>
      </c>
      <c r="AA46" s="27">
        <v>3.6200000000000003E-2</v>
      </c>
      <c r="AB46" s="27">
        <v>4.2000000000000003E-2</v>
      </c>
      <c r="AC46" s="27">
        <v>0.2056</v>
      </c>
      <c r="AF46" s="27">
        <v>0</v>
      </c>
      <c r="AG46" s="27">
        <v>2.463605823068309E-2</v>
      </c>
      <c r="AH46" s="27">
        <v>6.4087061668681986E-2</v>
      </c>
      <c r="AI46" s="27">
        <v>5.9267241379310345E-2</v>
      </c>
      <c r="AJ46" s="27">
        <v>5.5679287305122498E-2</v>
      </c>
      <c r="AK46" s="27">
        <v>1.1734028683181226E-2</v>
      </c>
      <c r="AL46" s="27">
        <v>1.0189228529839884E-2</v>
      </c>
      <c r="AP46" s="27">
        <v>0</v>
      </c>
      <c r="AQ46" s="27">
        <v>0.03</v>
      </c>
      <c r="AR46" s="27">
        <v>5.4009819967266774E-2</v>
      </c>
      <c r="AS46" s="27">
        <v>8.7248322147651006E-2</v>
      </c>
      <c r="AT46" s="27">
        <v>8.9850249584026626E-2</v>
      </c>
      <c r="AU46" s="27">
        <v>9.1743119266055051E-2</v>
      </c>
      <c r="AV46" s="27">
        <v>9.8121085594989568E-2</v>
      </c>
      <c r="AW46" s="27">
        <v>7.1585903083700442E-2</v>
      </c>
      <c r="AX46" s="27">
        <v>196</v>
      </c>
      <c r="BA46" s="27">
        <v>0</v>
      </c>
      <c r="BB46" s="27">
        <v>0.63414634146341464</v>
      </c>
      <c r="BC46" s="27">
        <v>0.68965517241379315</v>
      </c>
      <c r="BD46" s="27">
        <v>0.69333333333333336</v>
      </c>
      <c r="BE46" s="27">
        <v>0.71232876712328763</v>
      </c>
      <c r="BF46" s="27">
        <v>0.55000000000000004</v>
      </c>
      <c r="BG46" s="27">
        <v>0.2857142857142857</v>
      </c>
      <c r="BH46" s="27">
        <v>0.65299684542586756</v>
      </c>
      <c r="BK46" s="27">
        <v>5.3053107198677174E-2</v>
      </c>
      <c r="BL46" s="27">
        <v>5.5254802822255519E-2</v>
      </c>
      <c r="BM46" s="27">
        <v>9.0142710911898433E-2</v>
      </c>
      <c r="BN46" s="27">
        <v>0.80154937906716894</v>
      </c>
      <c r="BR46" s="27">
        <v>0.3783783783783784</v>
      </c>
      <c r="BS46" s="27">
        <v>0.68766543144520909</v>
      </c>
      <c r="BT46" s="27">
        <v>0.6166666666666667</v>
      </c>
      <c r="BU46" s="27">
        <v>0.65193370165745856</v>
      </c>
      <c r="BV46" s="27">
        <v>0</v>
      </c>
      <c r="BY46" s="27">
        <v>0</v>
      </c>
      <c r="BZ46" s="27">
        <v>0.34749999999999998</v>
      </c>
      <c r="CA46" s="27">
        <v>0.67594108019639931</v>
      </c>
      <c r="CB46" s="27">
        <v>0.70973154362416102</v>
      </c>
      <c r="CC46" s="27">
        <v>0.6422628951747088</v>
      </c>
      <c r="CD46" s="27">
        <v>0.636697247706422</v>
      </c>
      <c r="CE46" s="27">
        <v>0.63465553235908145</v>
      </c>
      <c r="CI46" s="27">
        <v>0</v>
      </c>
      <c r="CJ46" s="27">
        <v>5.7324840764331211E-2</v>
      </c>
      <c r="CK46" s="27">
        <v>0.22779922779922779</v>
      </c>
      <c r="CL46" s="27">
        <v>0.38636363636363635</v>
      </c>
      <c r="CM46" s="27">
        <v>0.38260869565217392</v>
      </c>
      <c r="CN46" s="27">
        <v>0.3794642857142857</v>
      </c>
      <c r="CO46" s="27">
        <v>0.4</v>
      </c>
    </row>
    <row r="47" spans="2:93" x14ac:dyDescent="0.2">
      <c r="B47" s="25">
        <v>0</v>
      </c>
      <c r="C47" s="25">
        <v>36</v>
      </c>
      <c r="D47" s="25">
        <v>69</v>
      </c>
      <c r="E47" s="25">
        <v>61</v>
      </c>
      <c r="F47" s="25">
        <v>68</v>
      </c>
      <c r="G47" s="25">
        <v>28</v>
      </c>
      <c r="H47" s="25">
        <v>9</v>
      </c>
      <c r="K47" s="27">
        <v>0</v>
      </c>
      <c r="L47" s="27">
        <v>4</v>
      </c>
      <c r="M47" s="27">
        <v>10</v>
      </c>
      <c r="N47" s="27">
        <v>9</v>
      </c>
      <c r="O47" s="27">
        <v>0</v>
      </c>
      <c r="P47" s="27">
        <v>20</v>
      </c>
      <c r="Q47" s="27">
        <v>1</v>
      </c>
      <c r="R47" s="27">
        <v>0</v>
      </c>
      <c r="S47" s="27">
        <v>23</v>
      </c>
      <c r="T47" s="27">
        <v>26</v>
      </c>
      <c r="U47" s="27">
        <v>0</v>
      </c>
      <c r="X47" s="27">
        <v>0.2112</v>
      </c>
      <c r="Y47" s="27">
        <v>0.36859999999999998</v>
      </c>
      <c r="Z47" s="27">
        <v>0.13819999999999999</v>
      </c>
      <c r="AA47" s="27">
        <v>2.8400000000000002E-2</v>
      </c>
      <c r="AB47" s="27">
        <v>4.4200000000000003E-2</v>
      </c>
      <c r="AC47" s="27">
        <v>0.2094</v>
      </c>
      <c r="AF47" s="27">
        <v>0</v>
      </c>
      <c r="AG47" s="27">
        <v>2.1420518602029311E-2</v>
      </c>
      <c r="AH47" s="27">
        <v>6.6746126340882006E-2</v>
      </c>
      <c r="AI47" s="27">
        <v>7.1115973741794306E-2</v>
      </c>
      <c r="AJ47" s="27">
        <v>4.480874316939891E-2</v>
      </c>
      <c r="AK47" s="27">
        <v>2.4901703800786368E-2</v>
      </c>
      <c r="AL47" s="27">
        <v>1.0263929618768328E-2</v>
      </c>
      <c r="AP47" s="27">
        <v>0</v>
      </c>
      <c r="AQ47" s="27">
        <v>2.1091811414392061E-2</v>
      </c>
      <c r="AR47" s="27">
        <v>6.2925170068027211E-2</v>
      </c>
      <c r="AS47" s="27">
        <v>7.2289156626506021E-2</v>
      </c>
      <c r="AT47" s="27">
        <v>9.6091205211726385E-2</v>
      </c>
      <c r="AU47" s="27">
        <v>9.3385214007782102E-2</v>
      </c>
      <c r="AV47" s="27">
        <v>0.12552301255230125</v>
      </c>
      <c r="AW47" s="27">
        <v>7.3443172298240711E-2</v>
      </c>
      <c r="AX47" s="27">
        <v>207</v>
      </c>
      <c r="BA47" s="27">
        <v>0</v>
      </c>
      <c r="BB47" s="27">
        <v>0.67500000000000004</v>
      </c>
      <c r="BC47" s="27">
        <v>0.63636363636363635</v>
      </c>
      <c r="BD47" s="27">
        <v>0.72380952380952379</v>
      </c>
      <c r="BE47" s="27">
        <v>0.52439024390243905</v>
      </c>
      <c r="BF47" s="27">
        <v>0.65384615384615385</v>
      </c>
      <c r="BG47" s="27">
        <v>0.52941176470588236</v>
      </c>
      <c r="BH47" s="27">
        <v>0.63687150837988826</v>
      </c>
      <c r="BK47" s="27">
        <v>4.7697526924682647E-2</v>
      </c>
      <c r="BL47" s="27">
        <v>7.2454811738239019E-2</v>
      </c>
      <c r="BM47" s="27">
        <v>9.4696262927596198E-2</v>
      </c>
      <c r="BN47" s="27">
        <v>0.78515139840948212</v>
      </c>
      <c r="BR47" s="27">
        <v>0.38815117466802862</v>
      </c>
      <c r="BS47" s="27">
        <v>0.68041237113402064</v>
      </c>
      <c r="BT47" s="27">
        <v>0.63047001620745546</v>
      </c>
      <c r="BU47" s="27">
        <v>0.65492957746478875</v>
      </c>
      <c r="BV47" s="27">
        <v>0</v>
      </c>
      <c r="BY47" s="27">
        <v>0</v>
      </c>
      <c r="BZ47" s="27">
        <v>0.33126550868486354</v>
      </c>
      <c r="CA47" s="27">
        <v>0.6785714285714286</v>
      </c>
      <c r="CB47" s="27">
        <v>0.69535283993115315</v>
      </c>
      <c r="CC47" s="27">
        <v>0.67752442996742668</v>
      </c>
      <c r="CD47" s="27">
        <v>0.63035019455252916</v>
      </c>
      <c r="CE47" s="27">
        <v>0.64016736401673635</v>
      </c>
      <c r="CI47" s="27">
        <v>0</v>
      </c>
      <c r="CJ47" s="27">
        <v>4.9050632911392403E-2</v>
      </c>
      <c r="CK47" s="27">
        <v>0.23809523809523808</v>
      </c>
      <c r="CL47" s="27">
        <v>0.35238095238095241</v>
      </c>
      <c r="CM47" s="27">
        <v>0.38392857142857145</v>
      </c>
      <c r="CN47" s="27">
        <v>0.33495145631067963</v>
      </c>
      <c r="CO47" s="27">
        <v>0.40930232558139534</v>
      </c>
    </row>
    <row r="48" spans="2:93" x14ac:dyDescent="0.2">
      <c r="B48" s="25">
        <v>0</v>
      </c>
      <c r="C48" s="25">
        <v>26</v>
      </c>
      <c r="D48" s="25">
        <v>71</v>
      </c>
      <c r="E48" s="25">
        <v>71</v>
      </c>
      <c r="F48" s="25">
        <v>59</v>
      </c>
      <c r="G48" s="25">
        <v>38</v>
      </c>
      <c r="H48" s="25">
        <v>12</v>
      </c>
      <c r="K48" s="27">
        <v>0</v>
      </c>
      <c r="L48" s="27">
        <v>9</v>
      </c>
      <c r="M48" s="27">
        <v>11</v>
      </c>
      <c r="N48" s="27">
        <v>9</v>
      </c>
      <c r="O48" s="27">
        <v>0</v>
      </c>
      <c r="P48" s="27">
        <v>21</v>
      </c>
      <c r="Q48" s="27">
        <v>1</v>
      </c>
      <c r="R48" s="27">
        <v>0</v>
      </c>
      <c r="S48" s="27">
        <v>22</v>
      </c>
      <c r="T48" s="27">
        <v>29</v>
      </c>
      <c r="U48" s="27">
        <v>0</v>
      </c>
      <c r="X48" s="27">
        <v>0.20580000000000001</v>
      </c>
      <c r="Y48" s="27">
        <v>0.37040000000000001</v>
      </c>
      <c r="Z48" s="27">
        <v>0.13619999999999999</v>
      </c>
      <c r="AA48" s="27">
        <v>3.1399999999999997E-2</v>
      </c>
      <c r="AB48" s="27">
        <v>4.2999999999999997E-2</v>
      </c>
      <c r="AC48" s="27">
        <v>0.2132</v>
      </c>
      <c r="AF48" s="27">
        <v>0</v>
      </c>
      <c r="AG48" s="27">
        <v>2.4830699774266364E-2</v>
      </c>
      <c r="AH48" s="27">
        <v>5.6287425149700601E-2</v>
      </c>
      <c r="AI48" s="27">
        <v>6.7318132464712271E-2</v>
      </c>
      <c r="AJ48" s="27">
        <v>5.9933407325194227E-2</v>
      </c>
      <c r="AK48" s="27">
        <v>1.171875E-2</v>
      </c>
      <c r="AL48" s="27">
        <v>8.708272859216255E-3</v>
      </c>
      <c r="AP48" s="27">
        <v>0</v>
      </c>
      <c r="AQ48" s="27">
        <v>2.2443890274314215E-2</v>
      </c>
      <c r="AR48" s="27">
        <v>5.1779935275080909E-2</v>
      </c>
      <c r="AS48" s="27">
        <v>0.10286677908937605</v>
      </c>
      <c r="AT48" s="27">
        <v>7.8397212543554001E-2</v>
      </c>
      <c r="AU48" s="27">
        <v>0.10575139146567718</v>
      </c>
      <c r="AV48" s="27">
        <v>9.5137420718816063E-2</v>
      </c>
      <c r="AW48" s="27">
        <v>7.1686579605445958E-2</v>
      </c>
      <c r="AX48" s="27">
        <v>200</v>
      </c>
      <c r="BA48" s="27">
        <v>0</v>
      </c>
      <c r="BB48" s="27">
        <v>0.625</v>
      </c>
      <c r="BC48" s="27">
        <v>0.63953488372093026</v>
      </c>
      <c r="BD48" s="27">
        <v>0.67010309278350511</v>
      </c>
      <c r="BE48" s="27">
        <v>0.69565217391304346</v>
      </c>
      <c r="BF48" s="27">
        <v>0.5714285714285714</v>
      </c>
      <c r="BG48" s="27">
        <v>0.33333333333333331</v>
      </c>
      <c r="BH48" s="27">
        <v>0.63988919667590027</v>
      </c>
      <c r="BK48" s="27">
        <v>3.3801600808834868E-2</v>
      </c>
      <c r="BL48" s="27">
        <v>7.0066165881285586E-2</v>
      </c>
      <c r="BM48" s="27">
        <v>8.2303955831743048E-2</v>
      </c>
      <c r="BN48" s="27">
        <v>0.81382827747813646</v>
      </c>
      <c r="BR48" s="27">
        <v>0.38178096212896623</v>
      </c>
      <c r="BS48" s="27">
        <v>0.68304535637149033</v>
      </c>
      <c r="BT48" s="27">
        <v>0.62703583061889245</v>
      </c>
      <c r="BU48" s="27">
        <v>0.69871794871794868</v>
      </c>
      <c r="BV48" s="27">
        <v>0</v>
      </c>
      <c r="BY48" s="27">
        <v>0</v>
      </c>
      <c r="BZ48" s="27">
        <v>0.35536159600997508</v>
      </c>
      <c r="CA48" s="27">
        <v>0.68284789644012944</v>
      </c>
      <c r="CB48" s="27">
        <v>0.69308600337268134</v>
      </c>
      <c r="CC48" s="27">
        <v>0.6428571428571429</v>
      </c>
      <c r="CD48" s="27">
        <v>0.68831168831168832</v>
      </c>
      <c r="CE48" s="27">
        <v>0.57928118393234673</v>
      </c>
      <c r="CI48" s="27">
        <v>0</v>
      </c>
      <c r="CJ48" s="27">
        <v>4.7923322683706068E-2</v>
      </c>
      <c r="CK48" s="27">
        <v>0.20912547528517111</v>
      </c>
      <c r="CL48" s="27">
        <v>0.41255605381165922</v>
      </c>
      <c r="CM48" s="27">
        <v>0.31506849315068491</v>
      </c>
      <c r="CN48" s="27">
        <v>0.37768240343347642</v>
      </c>
      <c r="CO48" s="27">
        <v>0.3858695652173913</v>
      </c>
    </row>
    <row r="49" spans="2:93" x14ac:dyDescent="0.2">
      <c r="B49" s="25">
        <v>0</v>
      </c>
      <c r="C49" s="25">
        <v>22</v>
      </c>
      <c r="D49" s="25">
        <v>67</v>
      </c>
      <c r="E49" s="25">
        <v>89</v>
      </c>
      <c r="F49" s="25">
        <v>67</v>
      </c>
      <c r="G49" s="25">
        <v>42</v>
      </c>
      <c r="H49" s="25">
        <v>19</v>
      </c>
      <c r="K49" s="27">
        <v>0</v>
      </c>
      <c r="L49" s="27">
        <v>3</v>
      </c>
      <c r="M49" s="27">
        <v>10</v>
      </c>
      <c r="N49" s="27">
        <v>10</v>
      </c>
      <c r="O49" s="27">
        <v>0</v>
      </c>
      <c r="P49" s="27">
        <v>19</v>
      </c>
      <c r="Q49" s="27">
        <v>0</v>
      </c>
      <c r="R49" s="27">
        <v>0</v>
      </c>
      <c r="S49" s="27">
        <v>21</v>
      </c>
      <c r="T49" s="27">
        <v>20</v>
      </c>
      <c r="U49" s="27">
        <v>0</v>
      </c>
      <c r="X49" s="27">
        <v>0.21279999999999999</v>
      </c>
      <c r="Y49" s="27">
        <v>0.36840000000000001</v>
      </c>
      <c r="Z49" s="27">
        <v>0.14019999999999999</v>
      </c>
      <c r="AA49" s="27">
        <v>3.4000000000000002E-2</v>
      </c>
      <c r="AB49" s="27">
        <v>4.2200000000000001E-2</v>
      </c>
      <c r="AC49" s="27">
        <v>0.2024</v>
      </c>
      <c r="AF49" s="27">
        <v>0</v>
      </c>
      <c r="AG49" s="27">
        <v>2.1372328458942633E-2</v>
      </c>
      <c r="AH49" s="27">
        <v>5.7623049219687875E-2</v>
      </c>
      <c r="AI49" s="27">
        <v>6.5217391304347824E-2</v>
      </c>
      <c r="AJ49" s="27">
        <v>5.8050383351588172E-2</v>
      </c>
      <c r="AK49" s="27">
        <v>1.1811023622047244E-2</v>
      </c>
      <c r="AL49" s="27">
        <v>1.171303074670571E-2</v>
      </c>
      <c r="AP49" s="27">
        <v>0</v>
      </c>
      <c r="AQ49" s="27">
        <v>2.2388059701492536E-2</v>
      </c>
      <c r="AR49" s="27">
        <v>7.2727272727272724E-2</v>
      </c>
      <c r="AS49" s="27">
        <v>0.10420168067226891</v>
      </c>
      <c r="AT49" s="27">
        <v>0.10321489001692047</v>
      </c>
      <c r="AU49" s="27">
        <v>0.10786106032906764</v>
      </c>
      <c r="AV49" s="27">
        <v>0.10860655737704918</v>
      </c>
      <c r="AW49" s="27">
        <v>8.1818181818181818E-2</v>
      </c>
      <c r="AX49" s="27">
        <v>197</v>
      </c>
      <c r="BA49" s="27">
        <v>0</v>
      </c>
      <c r="BB49" s="27">
        <v>0.47058823529411764</v>
      </c>
      <c r="BC49" s="27">
        <v>0.68</v>
      </c>
      <c r="BD49" s="27">
        <v>0.6633663366336634</v>
      </c>
      <c r="BE49" s="27">
        <v>0.62195121951219512</v>
      </c>
      <c r="BF49" s="27">
        <v>0.63157894736842102</v>
      </c>
      <c r="BG49" s="27">
        <v>0.42105263157894735</v>
      </c>
      <c r="BH49" s="27">
        <v>0.62121212121212122</v>
      </c>
      <c r="BK49" s="27">
        <v>3.7112670887618854E-2</v>
      </c>
      <c r="BL49" s="27">
        <v>4.646506817769467E-2</v>
      </c>
      <c r="BM49" s="27">
        <v>7.2607768120686325E-2</v>
      </c>
      <c r="BN49" s="27">
        <v>0.84381449281400012</v>
      </c>
      <c r="BR49" s="27">
        <v>0.38100000000000001</v>
      </c>
      <c r="BS49" s="27">
        <v>0.67752442996742668</v>
      </c>
      <c r="BT49" s="27">
        <v>0.62783171521035597</v>
      </c>
      <c r="BU49" s="27">
        <v>0.69411764705882351</v>
      </c>
      <c r="BV49" s="27">
        <v>0</v>
      </c>
      <c r="BY49" s="27">
        <v>0</v>
      </c>
      <c r="BZ49" s="27">
        <v>0.35074626865671643</v>
      </c>
      <c r="CA49" s="27">
        <v>0.63140495867768598</v>
      </c>
      <c r="CB49" s="27">
        <v>0.67563025210084038</v>
      </c>
      <c r="CC49" s="27">
        <v>0.67343485617597287</v>
      </c>
      <c r="CD49" s="27">
        <v>0.65082266910420472</v>
      </c>
      <c r="CE49" s="27">
        <v>0.64549180327868849</v>
      </c>
      <c r="CI49" s="27">
        <v>0</v>
      </c>
      <c r="CJ49" s="27">
        <v>4.4164037854889593E-2</v>
      </c>
      <c r="CK49" s="27">
        <v>0.25461254612546125</v>
      </c>
      <c r="CL49" s="27">
        <v>0.40454545454545454</v>
      </c>
      <c r="CM49" s="27">
        <v>0.3628691983122363</v>
      </c>
      <c r="CN49" s="27">
        <v>0.3593073593073593</v>
      </c>
      <c r="CO49" s="27">
        <v>0.41624365482233505</v>
      </c>
    </row>
    <row r="50" spans="2:93" x14ac:dyDescent="0.2">
      <c r="B50" s="25">
        <v>0</v>
      </c>
      <c r="C50" s="25">
        <v>19</v>
      </c>
      <c r="D50" s="25">
        <v>69</v>
      </c>
      <c r="E50" s="25">
        <v>83</v>
      </c>
      <c r="F50" s="25">
        <v>84</v>
      </c>
      <c r="G50" s="25">
        <v>25</v>
      </c>
      <c r="H50" s="25">
        <v>10</v>
      </c>
      <c r="K50" s="27">
        <v>0</v>
      </c>
      <c r="L50" s="27">
        <v>5</v>
      </c>
      <c r="M50" s="27">
        <v>9</v>
      </c>
      <c r="N50" s="27">
        <v>7</v>
      </c>
      <c r="O50" s="27">
        <v>0</v>
      </c>
      <c r="P50" s="27">
        <v>18</v>
      </c>
      <c r="Q50" s="27">
        <v>0</v>
      </c>
      <c r="R50" s="27">
        <v>0</v>
      </c>
      <c r="S50" s="27">
        <v>19</v>
      </c>
      <c r="T50" s="27">
        <v>21</v>
      </c>
      <c r="U50" s="27">
        <v>0</v>
      </c>
      <c r="X50" s="27">
        <v>0.21</v>
      </c>
      <c r="Y50" s="27">
        <v>0.37559999999999999</v>
      </c>
      <c r="Z50" s="27">
        <v>0.13880000000000001</v>
      </c>
      <c r="AA50" s="27">
        <v>3.2000000000000001E-2</v>
      </c>
      <c r="AB50" s="27">
        <v>3.8199999999999998E-2</v>
      </c>
      <c r="AC50" s="27">
        <v>0.2054</v>
      </c>
      <c r="AF50" s="27">
        <v>0</v>
      </c>
      <c r="AG50" s="27">
        <v>2.0270270270270271E-2</v>
      </c>
      <c r="AH50" s="27">
        <v>5.7279236276849645E-2</v>
      </c>
      <c r="AI50" s="27">
        <v>5.0438596491228067E-2</v>
      </c>
      <c r="AJ50" s="27">
        <v>4.3956043956043959E-2</v>
      </c>
      <c r="AK50" s="27">
        <v>2.6041666666666668E-2</v>
      </c>
      <c r="AL50" s="27">
        <v>0</v>
      </c>
      <c r="AP50" s="27">
        <v>0</v>
      </c>
      <c r="AQ50" s="27">
        <v>1.8541409147095178E-2</v>
      </c>
      <c r="AR50" s="27">
        <v>8.9850249584026626E-2</v>
      </c>
      <c r="AS50" s="27">
        <v>8.7748344370860931E-2</v>
      </c>
      <c r="AT50" s="27">
        <v>8.681135225375626E-2</v>
      </c>
      <c r="AU50" s="27">
        <v>0.1154562383612663</v>
      </c>
      <c r="AV50" s="27">
        <v>0.1012396694214876</v>
      </c>
      <c r="AW50" s="27">
        <v>7.842597688497524E-2</v>
      </c>
      <c r="AX50" s="27">
        <v>172</v>
      </c>
      <c r="BA50" s="27">
        <v>0</v>
      </c>
      <c r="BB50" s="27">
        <v>0.54285714285714282</v>
      </c>
      <c r="BC50" s="27">
        <v>0.70652173913043481</v>
      </c>
      <c r="BD50" s="27">
        <v>0.67032967032967028</v>
      </c>
      <c r="BE50" s="27">
        <v>0.69230769230769229</v>
      </c>
      <c r="BF50" s="27">
        <v>0.65384615384615385</v>
      </c>
      <c r="BG50" s="27">
        <v>0.18181818181818182</v>
      </c>
      <c r="BH50" s="27">
        <v>0.65465465465465467</v>
      </c>
      <c r="BK50" s="27">
        <v>5.3789494943274882E-2</v>
      </c>
      <c r="BL50" s="27">
        <v>6.3906574557202528E-2</v>
      </c>
      <c r="BM50" s="27">
        <v>6.1494625017490583E-2</v>
      </c>
      <c r="BN50" s="27">
        <v>0.82080930548203213</v>
      </c>
      <c r="BR50" s="27">
        <v>0.40102564102564103</v>
      </c>
      <c r="BS50" s="27">
        <v>0.68051118210862616</v>
      </c>
      <c r="BT50" s="27">
        <v>0.6376811594202898</v>
      </c>
      <c r="BU50" s="27">
        <v>0.66249999999999998</v>
      </c>
      <c r="BV50" s="27">
        <v>0</v>
      </c>
      <c r="BY50" s="27">
        <v>0</v>
      </c>
      <c r="BZ50" s="27">
        <v>0.36959208899876389</v>
      </c>
      <c r="CA50" s="27">
        <v>0.67221297836938432</v>
      </c>
      <c r="CB50" s="27">
        <v>0.70198675496688745</v>
      </c>
      <c r="CC50" s="27">
        <v>0.64941569282136891</v>
      </c>
      <c r="CD50" s="27">
        <v>0.63500931098696467</v>
      </c>
      <c r="CE50" s="27">
        <v>0.64876033057851235</v>
      </c>
      <c r="CI50" s="27">
        <v>0</v>
      </c>
      <c r="CJ50" s="27">
        <v>4.7393364928909949E-2</v>
      </c>
      <c r="CK50" s="27">
        <v>0.26848249027237353</v>
      </c>
      <c r="CL50" s="27">
        <v>0.39269406392694062</v>
      </c>
      <c r="CM50" s="27">
        <v>0.34361233480176212</v>
      </c>
      <c r="CN50" s="27">
        <v>0.37826086956521737</v>
      </c>
      <c r="CO50" s="27">
        <v>0.43979057591623039</v>
      </c>
    </row>
    <row r="51" spans="2:93" x14ac:dyDescent="0.2">
      <c r="B51" s="25">
        <v>0</v>
      </c>
      <c r="C51" s="25">
        <v>30</v>
      </c>
      <c r="D51" s="25">
        <v>72</v>
      </c>
      <c r="E51" s="25">
        <v>88</v>
      </c>
      <c r="F51" s="25">
        <v>71</v>
      </c>
      <c r="G51" s="25">
        <v>33</v>
      </c>
      <c r="H51" s="25">
        <v>13</v>
      </c>
      <c r="K51" s="27">
        <v>0</v>
      </c>
      <c r="L51" s="27">
        <v>9</v>
      </c>
      <c r="M51" s="27">
        <v>10</v>
      </c>
      <c r="N51" s="27">
        <v>6</v>
      </c>
      <c r="O51" s="27">
        <v>0</v>
      </c>
      <c r="P51" s="27">
        <v>21</v>
      </c>
      <c r="Q51" s="27">
        <v>0</v>
      </c>
      <c r="R51" s="27">
        <v>0</v>
      </c>
      <c r="S51" s="27">
        <v>29</v>
      </c>
      <c r="T51" s="27">
        <v>28</v>
      </c>
      <c r="U51" s="27">
        <v>0</v>
      </c>
      <c r="X51" s="27">
        <v>0.217</v>
      </c>
      <c r="Y51" s="27">
        <v>0.37780000000000002</v>
      </c>
      <c r="Z51" s="27">
        <v>0.13120000000000001</v>
      </c>
      <c r="AA51" s="27">
        <v>3.2199999999999999E-2</v>
      </c>
      <c r="AB51" s="27">
        <v>4.4400000000000002E-2</v>
      </c>
      <c r="AC51" s="27">
        <v>0.19739999999999999</v>
      </c>
      <c r="AF51" s="27">
        <v>0</v>
      </c>
      <c r="AG51" s="27">
        <v>2.5930101465614429E-2</v>
      </c>
      <c r="AH51" s="27">
        <v>6.235011990407674E-2</v>
      </c>
      <c r="AI51" s="27">
        <v>7.2826086956521735E-2</v>
      </c>
      <c r="AJ51" s="27">
        <v>4.7149122807017545E-2</v>
      </c>
      <c r="AK51" s="27">
        <v>2.1024967148488831E-2</v>
      </c>
      <c r="AL51" s="27">
        <v>1.4577259475218659E-3</v>
      </c>
      <c r="AP51" s="27">
        <v>0</v>
      </c>
      <c r="AQ51" s="27">
        <v>2.1170610211706103E-2</v>
      </c>
      <c r="AR51" s="27">
        <v>5.7283142389525366E-2</v>
      </c>
      <c r="AS51" s="27">
        <v>9.3856655290102384E-2</v>
      </c>
      <c r="AT51" s="27">
        <v>9.3023255813953487E-2</v>
      </c>
      <c r="AU51" s="27">
        <v>7.6492537313432835E-2</v>
      </c>
      <c r="AV51" s="27">
        <v>0.10337972166998012</v>
      </c>
      <c r="AW51" s="27">
        <v>7.0310354298269706E-2</v>
      </c>
      <c r="AX51" s="27">
        <v>202</v>
      </c>
      <c r="BA51" s="27">
        <v>0</v>
      </c>
      <c r="BB51" s="27">
        <v>0.65957446808510634</v>
      </c>
      <c r="BC51" s="27">
        <v>0.72413793103448276</v>
      </c>
      <c r="BD51" s="27">
        <v>0.73451327433628322</v>
      </c>
      <c r="BE51" s="27">
        <v>0.68</v>
      </c>
      <c r="BF51" s="27">
        <v>0.44444444444444442</v>
      </c>
      <c r="BG51" s="27">
        <v>0.14285714285714285</v>
      </c>
      <c r="BH51" s="27">
        <v>0.66666666666666663</v>
      </c>
      <c r="BK51" s="27">
        <v>3.2533704471595475E-2</v>
      </c>
      <c r="BL51" s="27">
        <v>6.9766645581926787E-2</v>
      </c>
      <c r="BM51" s="27">
        <v>7.3473033628484244E-2</v>
      </c>
      <c r="BN51" s="27">
        <v>0.82422661631799354</v>
      </c>
      <c r="BR51" s="27">
        <v>0.37252964426877472</v>
      </c>
      <c r="BS51" s="27">
        <v>0.68448914769719427</v>
      </c>
      <c r="BT51" s="27">
        <v>0.59930915371329874</v>
      </c>
      <c r="BU51" s="27">
        <v>0.67080745341614911</v>
      </c>
      <c r="BV51" s="27">
        <v>0</v>
      </c>
      <c r="BY51" s="27">
        <v>0</v>
      </c>
      <c r="BZ51" s="27">
        <v>0.35242839352428396</v>
      </c>
      <c r="CA51" s="27">
        <v>0.68085106382978722</v>
      </c>
      <c r="CB51" s="27">
        <v>0.68941979522184305</v>
      </c>
      <c r="CC51" s="27">
        <v>0.62126245847176076</v>
      </c>
      <c r="CD51" s="27">
        <v>0.60261194029850751</v>
      </c>
      <c r="CE51" s="27">
        <v>0.64612326043737578</v>
      </c>
      <c r="CI51" s="27">
        <v>0</v>
      </c>
      <c r="CJ51" s="27">
        <v>5.4226475279106859E-2</v>
      </c>
      <c r="CK51" s="27">
        <v>0.203125</v>
      </c>
      <c r="CL51" s="27">
        <v>0.36244541484716158</v>
      </c>
      <c r="CM51" s="27">
        <v>0.36363636363636365</v>
      </c>
      <c r="CN51" s="27">
        <v>0.34433962264150941</v>
      </c>
      <c r="CO51" s="27">
        <v>0.4</v>
      </c>
    </row>
    <row r="52" spans="2:93" x14ac:dyDescent="0.2">
      <c r="B52" s="25">
        <v>0</v>
      </c>
      <c r="C52" s="25">
        <v>26</v>
      </c>
      <c r="D52" s="25">
        <v>71</v>
      </c>
      <c r="E52" s="25">
        <v>86</v>
      </c>
      <c r="F52" s="25">
        <v>67</v>
      </c>
      <c r="G52" s="25">
        <v>17</v>
      </c>
      <c r="H52" s="25">
        <v>15</v>
      </c>
      <c r="K52" s="27">
        <v>0</v>
      </c>
      <c r="L52" s="27">
        <v>7</v>
      </c>
      <c r="M52" s="27">
        <v>11</v>
      </c>
      <c r="N52" s="27">
        <v>7</v>
      </c>
      <c r="O52" s="27">
        <v>0</v>
      </c>
      <c r="P52" s="27">
        <v>22</v>
      </c>
      <c r="Q52" s="27">
        <v>0</v>
      </c>
      <c r="R52" s="27">
        <v>0</v>
      </c>
      <c r="S52" s="27">
        <v>29</v>
      </c>
      <c r="T52" s="27">
        <v>30</v>
      </c>
      <c r="U52" s="27">
        <v>0</v>
      </c>
      <c r="X52" s="27">
        <v>0.20660000000000001</v>
      </c>
      <c r="Y52" s="27">
        <v>0.372</v>
      </c>
      <c r="Z52" s="27">
        <v>0.1368</v>
      </c>
      <c r="AA52" s="27">
        <v>3.32E-2</v>
      </c>
      <c r="AB52" s="27">
        <v>4.5199999999999997E-2</v>
      </c>
      <c r="AC52" s="27">
        <v>0.20619999999999999</v>
      </c>
      <c r="AF52" s="27">
        <v>0</v>
      </c>
      <c r="AG52" s="27">
        <v>2.3809523809523808E-2</v>
      </c>
      <c r="AH52" s="27">
        <v>6.6429418742585997E-2</v>
      </c>
      <c r="AI52" s="27">
        <v>6.4763995609220637E-2</v>
      </c>
      <c r="AJ52" s="27">
        <v>5.6955093099671415E-2</v>
      </c>
      <c r="AK52" s="27">
        <v>2.0887728459530026E-2</v>
      </c>
      <c r="AL52" s="27">
        <v>8.7591240875912416E-3</v>
      </c>
      <c r="AP52" s="27">
        <v>0</v>
      </c>
      <c r="AQ52" s="27">
        <v>2.002503128911139E-2</v>
      </c>
      <c r="AR52" s="27">
        <v>7.3333333333333334E-2</v>
      </c>
      <c r="AS52" s="27">
        <v>0.11663807890222985</v>
      </c>
      <c r="AT52" s="27">
        <v>8.9527027027027029E-2</v>
      </c>
      <c r="AU52" s="27">
        <v>8.6556169429097607E-2</v>
      </c>
      <c r="AV52" s="27">
        <v>0.11715481171548117</v>
      </c>
      <c r="AW52" s="27">
        <v>7.8998609179415855E-2</v>
      </c>
      <c r="AX52" s="27">
        <v>210</v>
      </c>
      <c r="BA52" s="27">
        <v>0</v>
      </c>
      <c r="BB52" s="27">
        <v>0.55555555555555558</v>
      </c>
      <c r="BC52" s="27">
        <v>0.65591397849462363</v>
      </c>
      <c r="BD52" s="27">
        <v>0.71153846153846156</v>
      </c>
      <c r="BE52" s="27">
        <v>0.6966292134831461</v>
      </c>
      <c r="BF52" s="27">
        <v>0.60869565217391308</v>
      </c>
      <c r="BG52" s="27">
        <v>0.25925925925925924</v>
      </c>
      <c r="BH52" s="27">
        <v>0.63779527559055116</v>
      </c>
      <c r="BK52" s="27">
        <v>4.1678561009904413E-2</v>
      </c>
      <c r="BL52" s="27">
        <v>8.5898737927243063E-2</v>
      </c>
      <c r="BM52" s="27">
        <v>6.9261380535930298E-2</v>
      </c>
      <c r="BN52" s="27">
        <v>0.80316132052692224</v>
      </c>
      <c r="BR52" s="27">
        <v>0.40596094552929085</v>
      </c>
      <c r="BS52" s="27">
        <v>0.68387096774193545</v>
      </c>
      <c r="BT52" s="27">
        <v>0.61976549413735338</v>
      </c>
      <c r="BU52" s="27">
        <v>0.66666666666666663</v>
      </c>
      <c r="BV52" s="27">
        <v>0</v>
      </c>
      <c r="BY52" s="27">
        <v>0</v>
      </c>
      <c r="BZ52" s="27">
        <v>0.37672090112640799</v>
      </c>
      <c r="CA52" s="27">
        <v>0.64</v>
      </c>
      <c r="CB52" s="27">
        <v>0.72212692967409953</v>
      </c>
      <c r="CC52" s="27">
        <v>0.64527027027027029</v>
      </c>
      <c r="CD52" s="27">
        <v>0.64456721915285453</v>
      </c>
      <c r="CE52" s="27">
        <v>0.64644351464435146</v>
      </c>
      <c r="CI52" s="27">
        <v>0</v>
      </c>
      <c r="CJ52" s="27">
        <v>4.3478260869565216E-2</v>
      </c>
      <c r="CK52" s="27">
        <v>0.2874015748031496</v>
      </c>
      <c r="CL52" s="27">
        <v>0.41666666666666669</v>
      </c>
      <c r="CM52" s="27">
        <v>0.35193133047210301</v>
      </c>
      <c r="CN52" s="27">
        <v>0.38461538461538464</v>
      </c>
      <c r="CO52" s="27">
        <v>0.38797814207650272</v>
      </c>
    </row>
    <row r="53" spans="2:93" x14ac:dyDescent="0.2">
      <c r="B53" s="25">
        <v>0</v>
      </c>
      <c r="C53" s="25">
        <v>19</v>
      </c>
      <c r="D53" s="25">
        <v>66</v>
      </c>
      <c r="E53" s="25">
        <v>76</v>
      </c>
      <c r="F53" s="25">
        <v>60</v>
      </c>
      <c r="G53" s="25">
        <v>31</v>
      </c>
      <c r="H53" s="25">
        <v>13</v>
      </c>
      <c r="K53" s="27">
        <v>0</v>
      </c>
      <c r="L53" s="27">
        <v>7</v>
      </c>
      <c r="M53" s="27">
        <v>11</v>
      </c>
      <c r="N53" s="27">
        <v>9</v>
      </c>
      <c r="O53" s="27">
        <v>0</v>
      </c>
      <c r="P53" s="27">
        <v>17</v>
      </c>
      <c r="Q53" s="27">
        <v>0</v>
      </c>
      <c r="R53" s="27">
        <v>0</v>
      </c>
      <c r="S53" s="27">
        <v>14</v>
      </c>
      <c r="T53" s="27">
        <v>17</v>
      </c>
      <c r="U53" s="27">
        <v>0</v>
      </c>
      <c r="X53" s="27">
        <v>0.215</v>
      </c>
      <c r="Y53" s="27">
        <v>0.36880000000000002</v>
      </c>
      <c r="Z53" s="27">
        <v>0.13220000000000001</v>
      </c>
      <c r="AA53" s="27">
        <v>3.5000000000000003E-2</v>
      </c>
      <c r="AB53" s="27">
        <v>3.8800000000000001E-2</v>
      </c>
      <c r="AC53" s="27">
        <v>0.2102</v>
      </c>
      <c r="AF53" s="27">
        <v>0</v>
      </c>
      <c r="AG53" s="27">
        <v>2.1468926553672316E-2</v>
      </c>
      <c r="AH53" s="27">
        <v>5.1682692307692304E-2</v>
      </c>
      <c r="AI53" s="27">
        <v>6.4794816414686832E-2</v>
      </c>
      <c r="AJ53" s="27">
        <v>5.3097345132743362E-2</v>
      </c>
      <c r="AK53" s="27">
        <v>1.1734028683181226E-2</v>
      </c>
      <c r="AL53" s="27">
        <v>1.4577259475218659E-3</v>
      </c>
      <c r="AP53" s="27">
        <v>0</v>
      </c>
      <c r="AQ53" s="27">
        <v>1.6331658291457288E-2</v>
      </c>
      <c r="AR53" s="27">
        <v>6.8071312803889783E-2</v>
      </c>
      <c r="AS53" s="27">
        <v>0.10316139767054909</v>
      </c>
      <c r="AT53" s="27">
        <v>9.0598290598290596E-2</v>
      </c>
      <c r="AU53" s="27">
        <v>8.8180112570356475E-2</v>
      </c>
      <c r="AV53" s="27">
        <v>0.10395010395010396</v>
      </c>
      <c r="AW53" s="27">
        <v>7.389980625518959E-2</v>
      </c>
      <c r="AX53" s="27">
        <v>180</v>
      </c>
      <c r="BA53" s="27">
        <v>0</v>
      </c>
      <c r="BB53" s="27">
        <v>0.55263157894736847</v>
      </c>
      <c r="BC53" s="27">
        <v>0.64197530864197527</v>
      </c>
      <c r="BD53" s="27">
        <v>0.75268817204301075</v>
      </c>
      <c r="BE53" s="27">
        <v>0.7</v>
      </c>
      <c r="BF53" s="27">
        <v>0.6</v>
      </c>
      <c r="BG53" s="27">
        <v>0.25</v>
      </c>
      <c r="BH53" s="27">
        <v>0.66049382716049387</v>
      </c>
      <c r="BK53" s="27">
        <v>4.9949428206193733E-2</v>
      </c>
      <c r="BL53" s="27">
        <v>6.2327447681163634E-2</v>
      </c>
      <c r="BM53" s="27">
        <v>7.9456423417780989E-2</v>
      </c>
      <c r="BN53" s="27">
        <v>0.80826670069486173</v>
      </c>
      <c r="BR53" s="27">
        <v>0.39147670961347869</v>
      </c>
      <c r="BS53" s="27">
        <v>0.69793926247288507</v>
      </c>
      <c r="BT53" s="27">
        <v>0.61025641025641031</v>
      </c>
      <c r="BU53" s="27">
        <v>0.6</v>
      </c>
      <c r="BV53" s="27">
        <v>0</v>
      </c>
      <c r="BY53" s="27">
        <v>0</v>
      </c>
      <c r="BZ53" s="27">
        <v>0.3592964824120603</v>
      </c>
      <c r="CA53" s="27">
        <v>0.65316045380875198</v>
      </c>
      <c r="CB53" s="27">
        <v>0.70881863560732117</v>
      </c>
      <c r="CC53" s="27">
        <v>0.66837606837606833</v>
      </c>
      <c r="CD53" s="27">
        <v>0.57035647279549717</v>
      </c>
      <c r="CE53" s="27">
        <v>0.69438669438669443</v>
      </c>
      <c r="CI53" s="27">
        <v>0</v>
      </c>
      <c r="CJ53" s="27">
        <v>4.4515103338632747E-2</v>
      </c>
      <c r="CK53" s="27">
        <v>0.26056338028169013</v>
      </c>
      <c r="CL53" s="27">
        <v>0.41125541125541126</v>
      </c>
      <c r="CM53" s="27">
        <v>0.33920704845814981</v>
      </c>
      <c r="CN53" s="27">
        <v>0.38461538461538464</v>
      </c>
      <c r="CO53" s="27">
        <v>0.38043478260869568</v>
      </c>
    </row>
    <row r="54" spans="2:93" x14ac:dyDescent="0.2">
      <c r="B54" s="25">
        <v>0</v>
      </c>
      <c r="C54" s="25">
        <v>29</v>
      </c>
      <c r="D54" s="25">
        <v>64</v>
      </c>
      <c r="E54" s="25">
        <v>63</v>
      </c>
      <c r="F54" s="25">
        <v>74</v>
      </c>
      <c r="G54" s="25">
        <v>38</v>
      </c>
      <c r="H54" s="25">
        <v>12</v>
      </c>
      <c r="K54" s="27">
        <v>4</v>
      </c>
      <c r="L54" s="27">
        <v>4</v>
      </c>
      <c r="M54" s="27">
        <v>11</v>
      </c>
      <c r="N54" s="27">
        <v>7</v>
      </c>
      <c r="O54" s="27">
        <v>0</v>
      </c>
      <c r="P54" s="27">
        <v>22</v>
      </c>
      <c r="Q54" s="27">
        <v>0</v>
      </c>
      <c r="R54" s="27">
        <v>0</v>
      </c>
      <c r="S54" s="27">
        <v>28</v>
      </c>
      <c r="T54" s="27">
        <v>28</v>
      </c>
      <c r="U54" s="27">
        <v>0</v>
      </c>
      <c r="X54" s="27">
        <v>0.2082</v>
      </c>
      <c r="Y54" s="27">
        <v>0.371</v>
      </c>
      <c r="Z54" s="27">
        <v>0.13639999999999999</v>
      </c>
      <c r="AA54" s="27">
        <v>3.3000000000000002E-2</v>
      </c>
      <c r="AB54" s="27">
        <v>4.7199999999999999E-2</v>
      </c>
      <c r="AC54" s="27">
        <v>0.20419999999999999</v>
      </c>
      <c r="AF54" s="27">
        <v>0</v>
      </c>
      <c r="AG54" s="27">
        <v>2.6018099547511313E-2</v>
      </c>
      <c r="AH54" s="27">
        <v>6.3905325443786978E-2</v>
      </c>
      <c r="AI54" s="27">
        <v>6.71806167400881E-2</v>
      </c>
      <c r="AJ54" s="27">
        <v>6.9003285870755757E-2</v>
      </c>
      <c r="AK54" s="27">
        <v>2.2164276401564539E-2</v>
      </c>
      <c r="AL54" s="27">
        <v>1.0248901903367497E-2</v>
      </c>
      <c r="AP54" s="27">
        <v>0</v>
      </c>
      <c r="AQ54" s="27">
        <v>2.8571428571428571E-2</v>
      </c>
      <c r="AR54" s="27">
        <v>5.9602649006622516E-2</v>
      </c>
      <c r="AS54" s="27">
        <v>8.3191850594227498E-2</v>
      </c>
      <c r="AT54" s="27">
        <v>8.6505190311418678E-2</v>
      </c>
      <c r="AU54" s="27">
        <v>9.9065420560747658E-2</v>
      </c>
      <c r="AV54" s="27">
        <v>0.11313131313131314</v>
      </c>
      <c r="AW54" s="27">
        <v>7.4043261231281202E-2</v>
      </c>
      <c r="AX54" s="27">
        <v>225</v>
      </c>
      <c r="BA54" s="27">
        <v>0</v>
      </c>
      <c r="BB54" s="27">
        <v>0.57499999999999996</v>
      </c>
      <c r="BC54" s="27">
        <v>0.63366336633663367</v>
      </c>
      <c r="BD54" s="27">
        <v>0.66315789473684206</v>
      </c>
      <c r="BE54" s="27">
        <v>0.7303370786516854</v>
      </c>
      <c r="BF54" s="27">
        <v>0.62068965517241381</v>
      </c>
      <c r="BG54" s="27">
        <v>0.38095238095238093</v>
      </c>
      <c r="BH54" s="27">
        <v>0.64266666666666672</v>
      </c>
      <c r="BK54" s="27">
        <v>3.2764383127570754E-2</v>
      </c>
      <c r="BL54" s="27">
        <v>5.3930684020949984E-2</v>
      </c>
      <c r="BM54" s="27">
        <v>6.8352289554644688E-2</v>
      </c>
      <c r="BN54" s="27">
        <v>0.84495264329683462</v>
      </c>
      <c r="BR54" s="27">
        <v>0.39492385786802031</v>
      </c>
      <c r="BS54" s="27">
        <v>0.68733153638814015</v>
      </c>
      <c r="BT54" s="27">
        <v>0.62063227953410982</v>
      </c>
      <c r="BU54" s="27">
        <v>0.69090909090909092</v>
      </c>
      <c r="BV54" s="27">
        <v>0</v>
      </c>
      <c r="BY54" s="27">
        <v>0</v>
      </c>
      <c r="BZ54" s="27">
        <v>0.36521739130434783</v>
      </c>
      <c r="CA54" s="27">
        <v>0.67880794701986757</v>
      </c>
      <c r="CB54" s="27">
        <v>0.68590831918505946</v>
      </c>
      <c r="CC54" s="27">
        <v>0.6418685121107266</v>
      </c>
      <c r="CD54" s="27">
        <v>0.66168224299065426</v>
      </c>
      <c r="CE54" s="27">
        <v>0.64242424242424245</v>
      </c>
      <c r="CI54" s="27">
        <v>0</v>
      </c>
      <c r="CJ54" s="27">
        <v>5.5379746835443035E-2</v>
      </c>
      <c r="CK54" s="27">
        <v>0.21484375</v>
      </c>
      <c r="CL54" s="27">
        <v>0.35193133047210301</v>
      </c>
      <c r="CM54" s="27">
        <v>0.37914691943127959</v>
      </c>
      <c r="CN54" s="27">
        <v>0.41666666666666669</v>
      </c>
      <c r="CO54" s="27">
        <v>0.39908256880733944</v>
      </c>
    </row>
    <row r="55" spans="2:93" x14ac:dyDescent="0.2">
      <c r="B55" s="25">
        <v>0</v>
      </c>
      <c r="C55" s="25">
        <v>32</v>
      </c>
      <c r="D55" s="25">
        <v>97</v>
      </c>
      <c r="E55" s="25">
        <v>78</v>
      </c>
      <c r="F55" s="25">
        <v>57</v>
      </c>
      <c r="G55" s="25">
        <v>38</v>
      </c>
      <c r="H55" s="25">
        <v>9</v>
      </c>
      <c r="K55" s="27">
        <v>0</v>
      </c>
      <c r="L55" s="27">
        <v>5</v>
      </c>
      <c r="M55" s="27">
        <v>8</v>
      </c>
      <c r="N55" s="27">
        <v>9</v>
      </c>
      <c r="O55" s="27">
        <v>0</v>
      </c>
      <c r="P55" s="27">
        <v>22</v>
      </c>
      <c r="Q55" s="27">
        <v>1</v>
      </c>
      <c r="R55" s="27">
        <v>0</v>
      </c>
      <c r="S55" s="27">
        <v>22</v>
      </c>
      <c r="T55" s="27">
        <v>20</v>
      </c>
      <c r="U55" s="27">
        <v>0</v>
      </c>
      <c r="X55" s="27">
        <v>0.2104</v>
      </c>
      <c r="Y55" s="27">
        <v>0.37559999999999999</v>
      </c>
      <c r="Z55" s="27">
        <v>0.1368</v>
      </c>
      <c r="AA55" s="27">
        <v>3.2199999999999999E-2</v>
      </c>
      <c r="AB55" s="27">
        <v>4.02E-2</v>
      </c>
      <c r="AC55" s="27">
        <v>0.20480000000000001</v>
      </c>
      <c r="AF55" s="27">
        <v>0</v>
      </c>
      <c r="AG55" s="27">
        <v>1.8120045300113252E-2</v>
      </c>
      <c r="AH55" s="27">
        <v>5.8752997601918468E-2</v>
      </c>
      <c r="AI55" s="27">
        <v>5.4054054054054057E-2</v>
      </c>
      <c r="AJ55" s="27">
        <v>6.1043285238623748E-2</v>
      </c>
      <c r="AK55" s="27">
        <v>1.4285714285714285E-2</v>
      </c>
      <c r="AL55" s="27">
        <v>5.822416302765648E-3</v>
      </c>
      <c r="AP55" s="27">
        <v>0</v>
      </c>
      <c r="AQ55" s="27">
        <v>2.2499999999999999E-2</v>
      </c>
      <c r="AR55" s="27">
        <v>6.3829787234042548E-2</v>
      </c>
      <c r="AS55" s="27">
        <v>8.0592105263157895E-2</v>
      </c>
      <c r="AT55" s="27">
        <v>8.838821490467938E-2</v>
      </c>
      <c r="AU55" s="27">
        <v>8.9219330855018583E-2</v>
      </c>
      <c r="AV55" s="27">
        <v>0.10429447852760736</v>
      </c>
      <c r="AW55" s="27">
        <v>7.065967430306376E-2</v>
      </c>
      <c r="AX55" s="27">
        <v>185</v>
      </c>
      <c r="BA55" s="27">
        <v>0</v>
      </c>
      <c r="BB55" s="27">
        <v>0.68421052631578949</v>
      </c>
      <c r="BC55" s="27">
        <v>0.73563218390804597</v>
      </c>
      <c r="BD55" s="27">
        <v>0.65306122448979587</v>
      </c>
      <c r="BE55" s="27">
        <v>0.68604651162790697</v>
      </c>
      <c r="BF55" s="27">
        <v>0.6</v>
      </c>
      <c r="BG55" s="27">
        <v>0.36363636363636365</v>
      </c>
      <c r="BH55" s="27">
        <v>0.672463768115942</v>
      </c>
      <c r="BK55" s="27">
        <v>2.4364905295036741E-2</v>
      </c>
      <c r="BL55" s="27">
        <v>6.4553794927236327E-2</v>
      </c>
      <c r="BM55" s="27">
        <v>8.5264958930045071E-2</v>
      </c>
      <c r="BN55" s="27">
        <v>0.82581634084768196</v>
      </c>
      <c r="BR55" s="27">
        <v>0.3889457523029683</v>
      </c>
      <c r="BS55" s="27">
        <v>0.68690095846645371</v>
      </c>
      <c r="BT55" s="27">
        <v>0.60461285008237231</v>
      </c>
      <c r="BU55" s="27">
        <v>0.6645962732919255</v>
      </c>
      <c r="BV55" s="27">
        <v>0</v>
      </c>
      <c r="BY55" s="27">
        <v>0</v>
      </c>
      <c r="BZ55" s="27">
        <v>0.36625000000000002</v>
      </c>
      <c r="CA55" s="27">
        <v>0.69230769230769229</v>
      </c>
      <c r="CB55" s="27">
        <v>0.67434210526315785</v>
      </c>
      <c r="CC55" s="27">
        <v>0.63604852686308488</v>
      </c>
      <c r="CD55" s="27">
        <v>0.63754646840148699</v>
      </c>
      <c r="CE55" s="27">
        <v>0.62985685071574637</v>
      </c>
      <c r="CI55" s="27">
        <v>0</v>
      </c>
      <c r="CJ55" s="27">
        <v>4.7318611987381701E-2</v>
      </c>
      <c r="CK55" s="27">
        <v>0.26459143968871596</v>
      </c>
      <c r="CL55" s="27">
        <v>0.31415929203539822</v>
      </c>
      <c r="CM55" s="27">
        <v>0.40358744394618834</v>
      </c>
      <c r="CN55" s="27">
        <v>0.38317757009345793</v>
      </c>
      <c r="CO55" s="27">
        <v>0.41025641025641024</v>
      </c>
    </row>
    <row r="56" spans="2:93" x14ac:dyDescent="0.2">
      <c r="B56" s="25">
        <v>0</v>
      </c>
      <c r="C56" s="25">
        <v>24</v>
      </c>
      <c r="D56" s="25">
        <v>66</v>
      </c>
      <c r="E56" s="25">
        <v>94</v>
      </c>
      <c r="F56" s="25">
        <v>88</v>
      </c>
      <c r="G56" s="25">
        <v>33</v>
      </c>
      <c r="H56" s="25">
        <v>10</v>
      </c>
      <c r="K56" s="27">
        <v>0</v>
      </c>
      <c r="L56" s="27">
        <v>10</v>
      </c>
      <c r="M56" s="27">
        <v>9</v>
      </c>
      <c r="N56" s="27">
        <v>10</v>
      </c>
      <c r="O56" s="27">
        <v>0</v>
      </c>
      <c r="P56" s="27">
        <v>25</v>
      </c>
      <c r="Q56" s="27">
        <v>1</v>
      </c>
      <c r="R56" s="27">
        <v>0</v>
      </c>
      <c r="S56" s="27">
        <v>30</v>
      </c>
      <c r="T56" s="27">
        <v>19</v>
      </c>
      <c r="U56" s="27">
        <v>0</v>
      </c>
      <c r="X56" s="27">
        <v>0.2074</v>
      </c>
      <c r="Y56" s="27">
        <v>0.37119999999999997</v>
      </c>
      <c r="Z56" s="27">
        <v>0.13700000000000001</v>
      </c>
      <c r="AA56" s="27">
        <v>3.2000000000000001E-2</v>
      </c>
      <c r="AB56" s="27">
        <v>4.5999999999999999E-2</v>
      </c>
      <c r="AC56" s="27">
        <v>0.2064</v>
      </c>
      <c r="AF56" s="27">
        <v>0</v>
      </c>
      <c r="AG56" s="27">
        <v>1.9122609673790775E-2</v>
      </c>
      <c r="AH56" s="27">
        <v>5.2757793764988008E-2</v>
      </c>
      <c r="AI56" s="27">
        <v>7.8175895765472306E-2</v>
      </c>
      <c r="AJ56" s="27">
        <v>5.2863436123348019E-2</v>
      </c>
      <c r="AK56" s="27">
        <v>2.356020942408377E-2</v>
      </c>
      <c r="AL56" s="27">
        <v>1.4619883040935672E-2</v>
      </c>
      <c r="AP56" s="27">
        <v>0</v>
      </c>
      <c r="AQ56" s="27">
        <v>1.9851116625310174E-2</v>
      </c>
      <c r="AR56" s="27">
        <v>9.0759075907590761E-2</v>
      </c>
      <c r="AS56" s="27">
        <v>9.7643097643097643E-2</v>
      </c>
      <c r="AT56" s="27">
        <v>8.6522462562396013E-2</v>
      </c>
      <c r="AU56" s="27">
        <v>0.12045889101338432</v>
      </c>
      <c r="AV56" s="27">
        <v>0.11618257261410789</v>
      </c>
      <c r="AW56" s="27">
        <v>8.3056478405315617E-2</v>
      </c>
      <c r="AX56" s="27">
        <v>209</v>
      </c>
      <c r="BA56" s="27">
        <v>0</v>
      </c>
      <c r="BB56" s="27">
        <v>0.45454545454545453</v>
      </c>
      <c r="BC56" s="27">
        <v>0.59036144578313254</v>
      </c>
      <c r="BD56" s="27">
        <v>0.72881355932203384</v>
      </c>
      <c r="BE56" s="27">
        <v>0.61728395061728392</v>
      </c>
      <c r="BF56" s="27">
        <v>0.63888888888888884</v>
      </c>
      <c r="BG56" s="27">
        <v>0.58823529411764708</v>
      </c>
      <c r="BH56" s="27">
        <v>0.62796833773087068</v>
      </c>
      <c r="BK56" s="27">
        <v>6.5797762078834587E-2</v>
      </c>
      <c r="BL56" s="27">
        <v>4.4840421587683588E-2</v>
      </c>
      <c r="BM56" s="27">
        <v>8.324898831480565E-2</v>
      </c>
      <c r="BN56" s="27">
        <v>0.80611282801867612</v>
      </c>
      <c r="BR56" s="27">
        <v>0.3936605316973415</v>
      </c>
      <c r="BS56" s="27">
        <v>0.67887931034482762</v>
      </c>
      <c r="BT56" s="27">
        <v>0.64563106796116509</v>
      </c>
      <c r="BU56" s="27">
        <v>0.67500000000000004</v>
      </c>
      <c r="BV56" s="27">
        <v>0</v>
      </c>
      <c r="BY56" s="27">
        <v>0</v>
      </c>
      <c r="BZ56" s="27">
        <v>0.3784119106699752</v>
      </c>
      <c r="CA56" s="27">
        <v>0.66996699669966997</v>
      </c>
      <c r="CB56" s="27">
        <v>0.70202020202020199</v>
      </c>
      <c r="CC56" s="27">
        <v>0.64559068219633942</v>
      </c>
      <c r="CD56" s="27">
        <v>0.62141491395793502</v>
      </c>
      <c r="CE56" s="27">
        <v>0.64522821576763489</v>
      </c>
      <c r="CI56" s="27">
        <v>0</v>
      </c>
      <c r="CJ56" s="27">
        <v>4.6031746031746035E-2</v>
      </c>
      <c r="CK56" s="27">
        <v>0.27985074626865669</v>
      </c>
      <c r="CL56" s="27">
        <v>0.38565022421524664</v>
      </c>
      <c r="CM56" s="27">
        <v>0.37004405286343611</v>
      </c>
      <c r="CN56" s="27">
        <v>0.40723981900452488</v>
      </c>
      <c r="CO56" s="27">
        <v>0.39378238341968913</v>
      </c>
    </row>
    <row r="57" spans="2:93" x14ac:dyDescent="0.2">
      <c r="B57" s="25">
        <v>0</v>
      </c>
      <c r="C57" s="25">
        <v>36</v>
      </c>
      <c r="D57" s="25">
        <v>85</v>
      </c>
      <c r="E57" s="25">
        <v>82</v>
      </c>
      <c r="F57" s="25">
        <v>68</v>
      </c>
      <c r="G57" s="25">
        <v>35</v>
      </c>
      <c r="H57" s="25">
        <v>15</v>
      </c>
      <c r="K57" s="27">
        <v>0</v>
      </c>
      <c r="L57" s="27">
        <v>8</v>
      </c>
      <c r="M57" s="27">
        <v>10</v>
      </c>
      <c r="N57" s="27">
        <v>13</v>
      </c>
      <c r="O57" s="27">
        <v>0</v>
      </c>
      <c r="P57" s="27">
        <v>19</v>
      </c>
      <c r="Q57" s="27">
        <v>0</v>
      </c>
      <c r="R57" s="27">
        <v>0</v>
      </c>
      <c r="S57" s="27">
        <v>26</v>
      </c>
      <c r="T57" s="27">
        <v>24</v>
      </c>
      <c r="U57" s="27">
        <v>0</v>
      </c>
      <c r="X57" s="27">
        <v>0.2064</v>
      </c>
      <c r="Y57" s="27">
        <v>0.36220000000000002</v>
      </c>
      <c r="Z57" s="27">
        <v>0.13800000000000001</v>
      </c>
      <c r="AA57" s="27">
        <v>3.4200000000000001E-2</v>
      </c>
      <c r="AB57" s="27">
        <v>4.4999999999999998E-2</v>
      </c>
      <c r="AC57" s="27">
        <v>0.2142</v>
      </c>
      <c r="AF57" s="27">
        <v>0</v>
      </c>
      <c r="AG57" s="27">
        <v>2.4971623155505107E-2</v>
      </c>
      <c r="AH57" s="27">
        <v>7.508939213349225E-2</v>
      </c>
      <c r="AI57" s="27">
        <v>5.6830601092896178E-2</v>
      </c>
      <c r="AJ57" s="27">
        <v>5.4945054945054944E-2</v>
      </c>
      <c r="AK57" s="27">
        <v>2.3346303501945526E-2</v>
      </c>
      <c r="AL57" s="27">
        <v>8.771929824561403E-3</v>
      </c>
      <c r="AP57" s="27">
        <v>0</v>
      </c>
      <c r="AQ57" s="27">
        <v>1.1335012594458438E-2</v>
      </c>
      <c r="AR57" s="27">
        <v>6.2289562289562291E-2</v>
      </c>
      <c r="AS57" s="27">
        <v>9.2307692307692313E-2</v>
      </c>
      <c r="AT57" s="27">
        <v>0.10774410774410774</v>
      </c>
      <c r="AU57" s="27">
        <v>0.1065891472868217</v>
      </c>
      <c r="AV57" s="27">
        <v>0.10882956878850103</v>
      </c>
      <c r="AW57" s="27">
        <v>7.6190476190476197E-2</v>
      </c>
      <c r="AX57" s="27">
        <v>211</v>
      </c>
      <c r="BA57" s="27">
        <v>0</v>
      </c>
      <c r="BB57" s="27">
        <v>0.65789473684210531</v>
      </c>
      <c r="BC57" s="27">
        <v>0.73809523809523814</v>
      </c>
      <c r="BD57" s="27">
        <v>0.73469387755102045</v>
      </c>
      <c r="BE57" s="27">
        <v>0.61538461538461542</v>
      </c>
      <c r="BF57" s="27">
        <v>0.56666666666666665</v>
      </c>
      <c r="BG57" s="27">
        <v>0.33333333333333331</v>
      </c>
      <c r="BH57" s="27">
        <v>0.66473988439306353</v>
      </c>
      <c r="BK57" s="27">
        <v>3.7742659204425683E-2</v>
      </c>
      <c r="BL57" s="27">
        <v>4.4657453863122407E-2</v>
      </c>
      <c r="BM57" s="27">
        <v>8.0105857065380731E-2</v>
      </c>
      <c r="BN57" s="27">
        <v>0.83749402986707122</v>
      </c>
      <c r="BR57" s="27">
        <v>0.37154554759467756</v>
      </c>
      <c r="BS57" s="27">
        <v>0.66869133075648812</v>
      </c>
      <c r="BT57" s="27">
        <v>0.61601307189542487</v>
      </c>
      <c r="BU57" s="27">
        <v>0.61764705882352944</v>
      </c>
      <c r="BV57" s="27">
        <v>0</v>
      </c>
      <c r="BY57" s="27">
        <v>0</v>
      </c>
      <c r="BZ57" s="27">
        <v>0.3526448362720403</v>
      </c>
      <c r="CA57" s="27">
        <v>0.66666666666666663</v>
      </c>
      <c r="CB57" s="27">
        <v>0.66153846153846152</v>
      </c>
      <c r="CC57" s="27">
        <v>0.64646464646464652</v>
      </c>
      <c r="CD57" s="27">
        <v>0.57170542635658916</v>
      </c>
      <c r="CE57" s="27">
        <v>0.64476386036960986</v>
      </c>
      <c r="CI57" s="27">
        <v>0</v>
      </c>
      <c r="CJ57" s="27">
        <v>3.6977491961414789E-2</v>
      </c>
      <c r="CK57" s="27">
        <v>0.22140221402214022</v>
      </c>
      <c r="CL57" s="27">
        <v>0.38495575221238937</v>
      </c>
      <c r="CM57" s="27">
        <v>0.44493392070484583</v>
      </c>
      <c r="CN57" s="27">
        <v>0.35616438356164382</v>
      </c>
      <c r="CO57" s="27">
        <v>0.41326530612244899</v>
      </c>
    </row>
    <row r="58" spans="2:93" x14ac:dyDescent="0.2">
      <c r="B58" s="25">
        <v>0</v>
      </c>
      <c r="C58" s="25">
        <v>18</v>
      </c>
      <c r="D58" s="25">
        <v>73</v>
      </c>
      <c r="E58" s="25">
        <v>74</v>
      </c>
      <c r="F58" s="25">
        <v>73</v>
      </c>
      <c r="G58" s="25">
        <v>29</v>
      </c>
      <c r="H58" s="25">
        <v>13</v>
      </c>
      <c r="K58" s="27">
        <v>0</v>
      </c>
      <c r="L58" s="27">
        <v>6</v>
      </c>
      <c r="M58" s="27">
        <v>9</v>
      </c>
      <c r="N58" s="27">
        <v>8</v>
      </c>
      <c r="O58" s="27">
        <v>0</v>
      </c>
      <c r="P58" s="27">
        <v>20</v>
      </c>
      <c r="Q58" s="27">
        <v>0</v>
      </c>
      <c r="R58" s="27">
        <v>0</v>
      </c>
      <c r="S58" s="27">
        <v>20</v>
      </c>
      <c r="T58" s="27">
        <v>24</v>
      </c>
      <c r="U58" s="27">
        <v>0</v>
      </c>
      <c r="X58" s="27">
        <v>0.2112</v>
      </c>
      <c r="Y58" s="27">
        <v>0.36699999999999999</v>
      </c>
      <c r="Z58" s="27">
        <v>0.1424</v>
      </c>
      <c r="AA58" s="27">
        <v>3.04E-2</v>
      </c>
      <c r="AB58" s="27">
        <v>4.6800000000000001E-2</v>
      </c>
      <c r="AC58" s="27">
        <v>0.20219999999999999</v>
      </c>
      <c r="AF58" s="27">
        <v>0</v>
      </c>
      <c r="AG58" s="27">
        <v>1.9101123595505618E-2</v>
      </c>
      <c r="AH58" s="27">
        <v>7.4698795180722893E-2</v>
      </c>
      <c r="AI58" s="27">
        <v>7.0043103448275856E-2</v>
      </c>
      <c r="AJ58" s="27">
        <v>5.6541019955654102E-2</v>
      </c>
      <c r="AK58" s="27">
        <v>2.7559055118110236E-2</v>
      </c>
      <c r="AL58" s="27">
        <v>1.0174418604651164E-2</v>
      </c>
      <c r="AP58" s="27">
        <v>0</v>
      </c>
      <c r="AQ58" s="27">
        <v>2.1013597033374538E-2</v>
      </c>
      <c r="AR58" s="27">
        <v>8.3904109589041098E-2</v>
      </c>
      <c r="AS58" s="27">
        <v>0.10299003322259136</v>
      </c>
      <c r="AT58" s="27">
        <v>8.4048027444253853E-2</v>
      </c>
      <c r="AU58" s="27">
        <v>8.6956521739130432E-2</v>
      </c>
      <c r="AV58" s="27">
        <v>0.14198782961460446</v>
      </c>
      <c r="AW58" s="27">
        <v>8.142423406017113E-2</v>
      </c>
      <c r="AX58" s="27">
        <v>223</v>
      </c>
      <c r="BA58" s="27">
        <v>0</v>
      </c>
      <c r="BB58" s="27">
        <v>0.44736842105263158</v>
      </c>
      <c r="BC58" s="27">
        <v>0.73195876288659789</v>
      </c>
      <c r="BD58" s="27">
        <v>0.75903614457831325</v>
      </c>
      <c r="BE58" s="27">
        <v>0.75714285714285712</v>
      </c>
      <c r="BF58" s="27">
        <v>0.72413793103448276</v>
      </c>
      <c r="BG58" s="27">
        <v>0.4</v>
      </c>
      <c r="BH58" s="27">
        <v>0.6913946587537092</v>
      </c>
      <c r="BK58" s="27">
        <v>5.7893547528771856E-2</v>
      </c>
      <c r="BL58" s="27">
        <v>5.9322632297879624E-2</v>
      </c>
      <c r="BM58" s="27">
        <v>8.9187559574866584E-2</v>
      </c>
      <c r="BN58" s="27">
        <v>0.79359626059848187</v>
      </c>
      <c r="BR58" s="27">
        <v>0.41497975708502022</v>
      </c>
      <c r="BS58" s="27">
        <v>0.70190735694822892</v>
      </c>
      <c r="BT58" s="27">
        <v>0.60802469135802473</v>
      </c>
      <c r="BU58" s="27">
        <v>0.72368421052631582</v>
      </c>
      <c r="BV58" s="27">
        <v>0</v>
      </c>
      <c r="BY58" s="27">
        <v>0</v>
      </c>
      <c r="BZ58" s="27">
        <v>0.38442521631644005</v>
      </c>
      <c r="CA58" s="27">
        <v>0.68835616438356162</v>
      </c>
      <c r="CB58" s="27">
        <v>0.68770764119601324</v>
      </c>
      <c r="CC58" s="27">
        <v>0.63807890222984565</v>
      </c>
      <c r="CD58" s="27">
        <v>0.65036231884057971</v>
      </c>
      <c r="CE58" s="27">
        <v>0.69776876267748478</v>
      </c>
      <c r="CI58" s="27">
        <v>0</v>
      </c>
      <c r="CJ58" s="27">
        <v>5.1886792452830191E-2</v>
      </c>
      <c r="CK58" s="27">
        <v>0.31854838709677419</v>
      </c>
      <c r="CL58" s="27">
        <v>0.38235294117647056</v>
      </c>
      <c r="CM58" s="27">
        <v>0.35470085470085472</v>
      </c>
      <c r="CN58" s="27">
        <v>0.32142857142857145</v>
      </c>
      <c r="CO58" s="27">
        <v>0.42718446601941745</v>
      </c>
    </row>
    <row r="59" spans="2:93" x14ac:dyDescent="0.2">
      <c r="B59" s="25">
        <v>0</v>
      </c>
      <c r="C59" s="25">
        <v>31</v>
      </c>
      <c r="D59" s="25">
        <v>83</v>
      </c>
      <c r="E59" s="25">
        <v>94</v>
      </c>
      <c r="F59" s="25">
        <v>56</v>
      </c>
      <c r="G59" s="25">
        <v>39</v>
      </c>
      <c r="H59" s="25">
        <v>19</v>
      </c>
      <c r="K59" s="27">
        <v>0</v>
      </c>
      <c r="L59" s="27">
        <v>3</v>
      </c>
      <c r="M59" s="27">
        <v>10</v>
      </c>
      <c r="N59" s="27">
        <v>8</v>
      </c>
      <c r="O59" s="27">
        <v>0</v>
      </c>
      <c r="P59" s="27">
        <v>16</v>
      </c>
      <c r="Q59" s="27">
        <v>1</v>
      </c>
      <c r="R59" s="27">
        <v>0</v>
      </c>
      <c r="S59" s="27">
        <v>20</v>
      </c>
      <c r="T59" s="27">
        <v>17</v>
      </c>
      <c r="U59" s="27">
        <v>0</v>
      </c>
      <c r="X59" s="27">
        <v>0.20599999999999999</v>
      </c>
      <c r="Y59" s="27">
        <v>0.38100000000000001</v>
      </c>
      <c r="Z59" s="27">
        <v>0.13220000000000001</v>
      </c>
      <c r="AA59" s="27">
        <v>3.4799999999999998E-2</v>
      </c>
      <c r="AB59" s="27">
        <v>4.0800000000000003E-2</v>
      </c>
      <c r="AC59" s="27">
        <v>0.20519999999999999</v>
      </c>
      <c r="AF59" s="27">
        <v>0</v>
      </c>
      <c r="AG59" s="27">
        <v>2.598870056497175E-2</v>
      </c>
      <c r="AH59" s="27">
        <v>6.4285714285714279E-2</v>
      </c>
      <c r="AI59" s="27">
        <v>5.5798687089715533E-2</v>
      </c>
      <c r="AJ59" s="27">
        <v>5.2805280528052806E-2</v>
      </c>
      <c r="AK59" s="27">
        <v>1.4341590612777053E-2</v>
      </c>
      <c r="AL59" s="27">
        <v>8.7591240875912416E-3</v>
      </c>
      <c r="AP59" s="27">
        <v>0</v>
      </c>
      <c r="AQ59" s="27">
        <v>3.007518796992481E-2</v>
      </c>
      <c r="AR59" s="27">
        <v>6.2091503267973858E-2</v>
      </c>
      <c r="AS59" s="27">
        <v>9.1514143094841932E-2</v>
      </c>
      <c r="AT59" s="27">
        <v>8.0724876441515644E-2</v>
      </c>
      <c r="AU59" s="27">
        <v>8.5027726432532341E-2</v>
      </c>
      <c r="AV59" s="27">
        <v>9.4142259414225937E-2</v>
      </c>
      <c r="AW59" s="27">
        <v>7.0662634039043173E-2</v>
      </c>
      <c r="AX59" s="27">
        <v>193</v>
      </c>
      <c r="BA59" s="27">
        <v>0</v>
      </c>
      <c r="BB59" s="27">
        <v>0.65789473684210531</v>
      </c>
      <c r="BC59" s="27">
        <v>0.67391304347826086</v>
      </c>
      <c r="BD59" s="27">
        <v>0.71052631578947367</v>
      </c>
      <c r="BE59" s="27">
        <v>0.71621621621621623</v>
      </c>
      <c r="BF59" s="27">
        <v>0.6</v>
      </c>
      <c r="BG59" s="27">
        <v>0.27777777777777779</v>
      </c>
      <c r="BH59" s="27">
        <v>0.66352201257861632</v>
      </c>
      <c r="BK59" s="27">
        <v>4.8545858635008501E-2</v>
      </c>
      <c r="BL59" s="27">
        <v>5.3072544854872533E-2</v>
      </c>
      <c r="BM59" s="27">
        <v>8.4440896284608505E-2</v>
      </c>
      <c r="BN59" s="27">
        <v>0.81394070022551035</v>
      </c>
      <c r="BR59" s="27">
        <v>0.37356919875130074</v>
      </c>
      <c r="BS59" s="27">
        <v>0.68346456692913382</v>
      </c>
      <c r="BT59" s="27">
        <v>0.61306532663316582</v>
      </c>
      <c r="BU59" s="27">
        <v>0.68390804597701149</v>
      </c>
      <c r="BV59" s="27">
        <v>0</v>
      </c>
      <c r="BY59" s="27">
        <v>0</v>
      </c>
      <c r="BZ59" s="27">
        <v>0.34837092731829572</v>
      </c>
      <c r="CA59" s="27">
        <v>0.67810457516339873</v>
      </c>
      <c r="CB59" s="27">
        <v>0.70049916805324464</v>
      </c>
      <c r="CC59" s="27">
        <v>0.64085667215815489</v>
      </c>
      <c r="CD59" s="27">
        <v>0.64140480591497229</v>
      </c>
      <c r="CE59" s="27">
        <v>0.61924686192468614</v>
      </c>
      <c r="CI59" s="27">
        <v>0</v>
      </c>
      <c r="CJ59" s="27">
        <v>5.9200000000000003E-2</v>
      </c>
      <c r="CK59" s="27">
        <v>0.23484848484848486</v>
      </c>
      <c r="CL59" s="27">
        <v>0.40271493212669685</v>
      </c>
      <c r="CM59" s="27">
        <v>0.36651583710407237</v>
      </c>
      <c r="CN59" s="27">
        <v>0.3669724770642202</v>
      </c>
      <c r="CO59" s="27">
        <v>0.37634408602150538</v>
      </c>
    </row>
    <row r="60" spans="2:93" x14ac:dyDescent="0.2">
      <c r="B60" s="25">
        <v>0</v>
      </c>
      <c r="C60" s="25">
        <v>35</v>
      </c>
      <c r="D60" s="25">
        <v>65</v>
      </c>
      <c r="E60" s="25">
        <v>61</v>
      </c>
      <c r="F60" s="25">
        <v>64</v>
      </c>
      <c r="G60" s="25">
        <v>27</v>
      </c>
      <c r="H60" s="25">
        <v>9</v>
      </c>
      <c r="K60" s="27">
        <v>0</v>
      </c>
      <c r="L60" s="27">
        <v>5</v>
      </c>
      <c r="M60" s="27">
        <v>10</v>
      </c>
      <c r="N60" s="27">
        <v>9</v>
      </c>
      <c r="O60" s="27">
        <v>0</v>
      </c>
      <c r="P60" s="27">
        <v>20</v>
      </c>
      <c r="Q60" s="27">
        <v>1</v>
      </c>
      <c r="R60" s="27">
        <v>0</v>
      </c>
      <c r="S60" s="27">
        <v>27</v>
      </c>
      <c r="T60" s="27">
        <v>29</v>
      </c>
      <c r="U60" s="27">
        <v>0</v>
      </c>
      <c r="X60" s="27">
        <v>0.21199999999999999</v>
      </c>
      <c r="Y60" s="27">
        <v>0.3634</v>
      </c>
      <c r="Z60" s="27">
        <v>0.1406</v>
      </c>
      <c r="AA60" s="27">
        <v>2.98E-2</v>
      </c>
      <c r="AB60" s="27">
        <v>4.4999999999999998E-2</v>
      </c>
      <c r="AC60" s="27">
        <v>0.2092</v>
      </c>
      <c r="AF60" s="27">
        <v>0</v>
      </c>
      <c r="AG60" s="27">
        <v>1.8018018018018018E-2</v>
      </c>
      <c r="AH60" s="27">
        <v>6.6265060240963861E-2</v>
      </c>
      <c r="AI60" s="27">
        <v>7.5431034482758619E-2</v>
      </c>
      <c r="AJ60" s="27">
        <v>4.4444444444444446E-2</v>
      </c>
      <c r="AK60" s="27">
        <v>2.600780234070221E-2</v>
      </c>
      <c r="AL60" s="27">
        <v>1.167883211678832E-2</v>
      </c>
      <c r="AP60" s="27">
        <v>0</v>
      </c>
      <c r="AQ60" s="27">
        <v>2.2388059701492536E-2</v>
      </c>
      <c r="AR60" s="27">
        <v>6.3032367972742753E-2</v>
      </c>
      <c r="AS60" s="27">
        <v>7.2538860103626937E-2</v>
      </c>
      <c r="AT60" s="27">
        <v>0.10180623973727422</v>
      </c>
      <c r="AU60" s="27">
        <v>9.6899224806201556E-2</v>
      </c>
      <c r="AV60" s="27">
        <v>0.13043478260869565</v>
      </c>
      <c r="AW60" s="27">
        <v>7.6020122973728343E-2</v>
      </c>
      <c r="AX60" s="27">
        <v>209</v>
      </c>
      <c r="BA60" s="27">
        <v>0</v>
      </c>
      <c r="BB60" s="27">
        <v>0.6</v>
      </c>
      <c r="BC60" s="27">
        <v>0.64772727272727271</v>
      </c>
      <c r="BD60" s="27">
        <v>0.72641509433962259</v>
      </c>
      <c r="BE60" s="27">
        <v>0.51282051282051277</v>
      </c>
      <c r="BF60" s="27">
        <v>0.6</v>
      </c>
      <c r="BG60" s="27">
        <v>0.42857142857142855</v>
      </c>
      <c r="BH60" s="27">
        <v>0.6198347107438017</v>
      </c>
      <c r="BK60" s="27">
        <v>5.4731728294109577E-2</v>
      </c>
      <c r="BL60" s="27">
        <v>7.2512129704538381E-2</v>
      </c>
      <c r="BM60" s="27">
        <v>0.10031066395046453</v>
      </c>
      <c r="BN60" s="27">
        <v>0.77244547805088748</v>
      </c>
      <c r="BR60" s="27">
        <v>0.39126016260162599</v>
      </c>
      <c r="BS60" s="27">
        <v>0.68739680792515134</v>
      </c>
      <c r="BT60" s="27">
        <v>0.63853503184713378</v>
      </c>
      <c r="BU60" s="27">
        <v>0.63087248322147649</v>
      </c>
      <c r="BV60" s="27">
        <v>0</v>
      </c>
      <c r="BY60" s="27">
        <v>0</v>
      </c>
      <c r="BZ60" s="27">
        <v>0.33955223880597013</v>
      </c>
      <c r="CA60" s="27">
        <v>0.68143100511073251</v>
      </c>
      <c r="CB60" s="27">
        <v>0.70466321243523311</v>
      </c>
      <c r="CC60" s="27">
        <v>0.67487684729064035</v>
      </c>
      <c r="CD60" s="27">
        <v>0.63759689922480622</v>
      </c>
      <c r="CE60" s="27">
        <v>0.6376811594202898</v>
      </c>
      <c r="CI60" s="27">
        <v>0</v>
      </c>
      <c r="CJ60" s="27">
        <v>5.3543307086614172E-2</v>
      </c>
      <c r="CK60" s="27">
        <v>0.233201581027668</v>
      </c>
      <c r="CL60" s="27">
        <v>0.3364485981308411</v>
      </c>
      <c r="CM60" s="27">
        <v>0.40528634361233479</v>
      </c>
      <c r="CN60" s="27">
        <v>0.34418604651162793</v>
      </c>
      <c r="CO60" s="27">
        <v>0.43317972350230416</v>
      </c>
    </row>
    <row r="61" spans="2:93" x14ac:dyDescent="0.2">
      <c r="B61" s="25">
        <v>0</v>
      </c>
      <c r="C61" s="25">
        <v>26</v>
      </c>
      <c r="D61" s="25">
        <v>64</v>
      </c>
      <c r="E61" s="25">
        <v>72</v>
      </c>
      <c r="F61" s="25">
        <v>60</v>
      </c>
      <c r="G61" s="25">
        <v>37</v>
      </c>
      <c r="H61" s="25">
        <v>15</v>
      </c>
      <c r="K61" s="27">
        <v>0</v>
      </c>
      <c r="L61" s="27">
        <v>8</v>
      </c>
      <c r="M61" s="27">
        <v>12</v>
      </c>
      <c r="N61" s="27">
        <v>11</v>
      </c>
      <c r="O61" s="27">
        <v>0</v>
      </c>
      <c r="P61" s="27">
        <v>21</v>
      </c>
      <c r="Q61" s="27">
        <v>1</v>
      </c>
      <c r="R61" s="27">
        <v>0</v>
      </c>
      <c r="S61" s="27">
        <v>21</v>
      </c>
      <c r="T61" s="27">
        <v>30</v>
      </c>
      <c r="U61" s="27">
        <v>0</v>
      </c>
      <c r="X61" s="27">
        <v>0.2034</v>
      </c>
      <c r="Y61" s="27">
        <v>0.37140000000000001</v>
      </c>
      <c r="Z61" s="27">
        <v>0.13420000000000001</v>
      </c>
      <c r="AA61" s="27">
        <v>3.2000000000000001E-2</v>
      </c>
      <c r="AB61" s="27">
        <v>4.3400000000000001E-2</v>
      </c>
      <c r="AC61" s="27">
        <v>0.21560000000000001</v>
      </c>
      <c r="AF61" s="27">
        <v>0</v>
      </c>
      <c r="AG61" s="27">
        <v>2.8026905829596414E-2</v>
      </c>
      <c r="AH61" s="27">
        <v>5.7279236276849645E-2</v>
      </c>
      <c r="AI61" s="27">
        <v>6.4977973568281944E-2</v>
      </c>
      <c r="AJ61" s="27">
        <v>5.9912854030501089E-2</v>
      </c>
      <c r="AK61" s="27">
        <v>1.0540184453227932E-2</v>
      </c>
      <c r="AL61" s="27">
        <v>8.7591240875912416E-3</v>
      </c>
      <c r="AP61" s="27">
        <v>0</v>
      </c>
      <c r="AQ61" s="27">
        <v>2.2222222222222223E-2</v>
      </c>
      <c r="AR61" s="27">
        <v>5.2202283849918436E-2</v>
      </c>
      <c r="AS61" s="27">
        <v>0.10374149659863946</v>
      </c>
      <c r="AT61" s="27">
        <v>8.46286701208981E-2</v>
      </c>
      <c r="AU61" s="27">
        <v>0.10815939278937381</v>
      </c>
      <c r="AV61" s="27">
        <v>9.4017094017094016E-2</v>
      </c>
      <c r="AW61" s="27">
        <v>7.2803347280334732E-2</v>
      </c>
      <c r="AX61" s="27">
        <v>201</v>
      </c>
      <c r="BA61" s="27">
        <v>0</v>
      </c>
      <c r="BB61" s="27">
        <v>0.66666666666666663</v>
      </c>
      <c r="BC61" s="27">
        <v>0.6588235294117647</v>
      </c>
      <c r="BD61" s="27">
        <v>0.66666666666666663</v>
      </c>
      <c r="BE61" s="27">
        <v>0.68817204301075274</v>
      </c>
      <c r="BF61" s="27">
        <v>0.54166666666666663</v>
      </c>
      <c r="BG61" s="27">
        <v>0.36842105263157893</v>
      </c>
      <c r="BH61" s="27">
        <v>0.64623955431754876</v>
      </c>
      <c r="BK61" s="27">
        <v>3.2178056633203472E-2</v>
      </c>
      <c r="BL61" s="27">
        <v>6.774122086600072E-2</v>
      </c>
      <c r="BM61" s="27">
        <v>8.0036357434109667E-2</v>
      </c>
      <c r="BN61" s="27">
        <v>0.82004436506668621</v>
      </c>
      <c r="BR61" s="27">
        <v>0.37279335410176534</v>
      </c>
      <c r="BS61" s="27">
        <v>0.67959073774905765</v>
      </c>
      <c r="BT61" s="27">
        <v>0.62211221122112215</v>
      </c>
      <c r="BU61" s="27">
        <v>0.69811320754716977</v>
      </c>
      <c r="BV61" s="27">
        <v>0</v>
      </c>
      <c r="BY61" s="27">
        <v>0</v>
      </c>
      <c r="BZ61" s="27">
        <v>0.3469135802469136</v>
      </c>
      <c r="CA61" s="27">
        <v>0.67373572593800979</v>
      </c>
      <c r="CB61" s="27">
        <v>0.68877551020408168</v>
      </c>
      <c r="CC61" s="27">
        <v>0.65975820379965455</v>
      </c>
      <c r="CD61" s="27">
        <v>0.67552182163187857</v>
      </c>
      <c r="CE61" s="27">
        <v>0.58119658119658124</v>
      </c>
      <c r="CI61" s="27">
        <v>0</v>
      </c>
      <c r="CJ61" s="27">
        <v>4.1467304625199361E-2</v>
      </c>
      <c r="CK61" s="27">
        <v>0.20849420849420849</v>
      </c>
      <c r="CL61" s="27">
        <v>0.43778801843317972</v>
      </c>
      <c r="CM61" s="27">
        <v>0.32158590308370044</v>
      </c>
      <c r="CN61" s="27">
        <v>0.39534883720930231</v>
      </c>
      <c r="CO61" s="27">
        <v>0.38918918918918921</v>
      </c>
    </row>
    <row r="62" spans="2:93" x14ac:dyDescent="0.2">
      <c r="B62" s="25">
        <v>0</v>
      </c>
      <c r="C62" s="25">
        <v>25</v>
      </c>
      <c r="D62" s="25">
        <v>72</v>
      </c>
      <c r="E62" s="25">
        <v>77</v>
      </c>
      <c r="F62" s="25">
        <v>70</v>
      </c>
      <c r="G62" s="25">
        <v>40</v>
      </c>
      <c r="H62" s="25">
        <v>16</v>
      </c>
      <c r="K62" s="27">
        <v>0</v>
      </c>
      <c r="L62" s="27">
        <v>1</v>
      </c>
      <c r="M62" s="27">
        <v>9</v>
      </c>
      <c r="N62" s="27">
        <v>10</v>
      </c>
      <c r="O62" s="27">
        <v>0</v>
      </c>
      <c r="P62" s="27">
        <v>19</v>
      </c>
      <c r="Q62" s="27">
        <v>0</v>
      </c>
      <c r="R62" s="27">
        <v>0</v>
      </c>
      <c r="S62" s="27">
        <v>20</v>
      </c>
      <c r="T62" s="27">
        <v>22</v>
      </c>
      <c r="U62" s="27">
        <v>0</v>
      </c>
      <c r="X62" s="27">
        <v>0.2122</v>
      </c>
      <c r="Y62" s="27">
        <v>0.36899999999999999</v>
      </c>
      <c r="Z62" s="27">
        <v>0.13919999999999999</v>
      </c>
      <c r="AA62" s="27">
        <v>3.32E-2</v>
      </c>
      <c r="AB62" s="27">
        <v>4.3200000000000002E-2</v>
      </c>
      <c r="AC62" s="27">
        <v>0.20319999999999999</v>
      </c>
      <c r="AF62" s="27">
        <v>0</v>
      </c>
      <c r="AG62" s="27">
        <v>2.2727272727272728E-2</v>
      </c>
      <c r="AH62" s="27">
        <v>5.7416267942583733E-2</v>
      </c>
      <c r="AI62" s="27">
        <v>6.7099567099567103E-2</v>
      </c>
      <c r="AJ62" s="27">
        <v>6.0840707964601767E-2</v>
      </c>
      <c r="AK62" s="27">
        <v>1.1688311688311689E-2</v>
      </c>
      <c r="AL62" s="27">
        <v>1.1661807580174927E-2</v>
      </c>
      <c r="AP62" s="27">
        <v>0</v>
      </c>
      <c r="AQ62" s="27">
        <v>1.8987341772151899E-2</v>
      </c>
      <c r="AR62" s="27">
        <v>6.6775244299674269E-2</v>
      </c>
      <c r="AS62" s="27">
        <v>0.1026936026936027</v>
      </c>
      <c r="AT62" s="27">
        <v>0.10380622837370242</v>
      </c>
      <c r="AU62" s="27">
        <v>0.10931899641577061</v>
      </c>
      <c r="AV62" s="27">
        <v>0.10429447852760736</v>
      </c>
      <c r="AW62" s="27">
        <v>7.9768147943693066E-2</v>
      </c>
      <c r="AX62" s="27">
        <v>202</v>
      </c>
      <c r="BA62" s="27">
        <v>0</v>
      </c>
      <c r="BB62" s="27">
        <v>0.54545454545454541</v>
      </c>
      <c r="BC62" s="27">
        <v>0.63157894736842102</v>
      </c>
      <c r="BD62" s="27">
        <v>0.67</v>
      </c>
      <c r="BE62" s="27">
        <v>0.63953488372093026</v>
      </c>
      <c r="BF62" s="27">
        <v>0.7</v>
      </c>
      <c r="BG62" s="27">
        <v>0.44444444444444442</v>
      </c>
      <c r="BH62" s="27">
        <v>0.63063063063063063</v>
      </c>
      <c r="BK62" s="27">
        <v>4.0996355844073573E-2</v>
      </c>
      <c r="BL62" s="27">
        <v>4.8896274457716563E-2</v>
      </c>
      <c r="BM62" s="27">
        <v>7.1169937223368798E-2</v>
      </c>
      <c r="BN62" s="27">
        <v>0.83893743247484098</v>
      </c>
      <c r="BR62" s="27">
        <v>0.39056224899598396</v>
      </c>
      <c r="BS62" s="27">
        <v>0.67479674796747968</v>
      </c>
      <c r="BT62" s="27">
        <v>0.62662337662337664</v>
      </c>
      <c r="BU62" s="27">
        <v>0.6987951807228916</v>
      </c>
      <c r="BV62" s="27">
        <v>0</v>
      </c>
      <c r="BY62" s="27">
        <v>0</v>
      </c>
      <c r="BZ62" s="27">
        <v>0.34810126582278483</v>
      </c>
      <c r="CA62" s="27">
        <v>0.6368078175895765</v>
      </c>
      <c r="CB62" s="27">
        <v>0.68013468013468015</v>
      </c>
      <c r="CC62" s="27">
        <v>0.67128027681660896</v>
      </c>
      <c r="CD62" s="27">
        <v>0.65412186379928317</v>
      </c>
      <c r="CE62" s="27">
        <v>0.64008179959100209</v>
      </c>
      <c r="CI62" s="27">
        <v>0</v>
      </c>
      <c r="CJ62" s="27">
        <v>4.3062200956937802E-2</v>
      </c>
      <c r="CK62" s="27">
        <v>0.25547445255474455</v>
      </c>
      <c r="CL62" s="27">
        <v>0.40186915887850466</v>
      </c>
      <c r="CM62" s="27">
        <v>0.36244541484716158</v>
      </c>
      <c r="CN62" s="27">
        <v>0.34854771784232363</v>
      </c>
      <c r="CO62" s="27">
        <v>0.39285714285714285</v>
      </c>
    </row>
    <row r="63" spans="2:93" x14ac:dyDescent="0.2">
      <c r="B63" s="25">
        <v>0</v>
      </c>
      <c r="C63" s="25">
        <v>20</v>
      </c>
      <c r="D63" s="25">
        <v>75</v>
      </c>
      <c r="E63" s="25">
        <v>95</v>
      </c>
      <c r="F63" s="25">
        <v>85</v>
      </c>
      <c r="G63" s="25">
        <v>29</v>
      </c>
      <c r="H63" s="25">
        <v>13</v>
      </c>
      <c r="K63" s="27">
        <v>0</v>
      </c>
      <c r="L63" s="27">
        <v>7</v>
      </c>
      <c r="M63" s="27">
        <v>10</v>
      </c>
      <c r="N63" s="27">
        <v>8</v>
      </c>
      <c r="O63" s="27">
        <v>0</v>
      </c>
      <c r="P63" s="27">
        <v>18</v>
      </c>
      <c r="Q63" s="27">
        <v>0</v>
      </c>
      <c r="R63" s="27">
        <v>0</v>
      </c>
      <c r="S63" s="27">
        <v>20</v>
      </c>
      <c r="T63" s="27">
        <v>20</v>
      </c>
      <c r="U63" s="27">
        <v>0</v>
      </c>
      <c r="X63" s="27">
        <v>0.21099999999999999</v>
      </c>
      <c r="Y63" s="27">
        <v>0.37380000000000002</v>
      </c>
      <c r="Z63" s="27">
        <v>0.14180000000000001</v>
      </c>
      <c r="AA63" s="27">
        <v>3.2399999999999998E-2</v>
      </c>
      <c r="AB63" s="27">
        <v>3.7999999999999999E-2</v>
      </c>
      <c r="AC63" s="27">
        <v>0.20300000000000001</v>
      </c>
      <c r="AF63" s="27">
        <v>0</v>
      </c>
      <c r="AG63" s="27">
        <v>1.557285873192436E-2</v>
      </c>
      <c r="AH63" s="27">
        <v>6.0168471720818288E-2</v>
      </c>
      <c r="AI63" s="27">
        <v>5.0273224043715849E-2</v>
      </c>
      <c r="AJ63" s="27">
        <v>4.3907793633369926E-2</v>
      </c>
      <c r="AK63" s="27">
        <v>2.6315789473684209E-2</v>
      </c>
      <c r="AL63" s="27">
        <v>0</v>
      </c>
      <c r="AP63" s="27">
        <v>0</v>
      </c>
      <c r="AQ63" s="27">
        <v>2.1844660194174758E-2</v>
      </c>
      <c r="AR63" s="27">
        <v>9.1836734693877556E-2</v>
      </c>
      <c r="AS63" s="27">
        <v>8.6601307189542481E-2</v>
      </c>
      <c r="AT63" s="27">
        <v>8.7458745874587462E-2</v>
      </c>
      <c r="AU63" s="27">
        <v>0.11132075471698114</v>
      </c>
      <c r="AV63" s="27">
        <v>0.11042944785276074</v>
      </c>
      <c r="AW63" s="27">
        <v>7.9747876130446704E-2</v>
      </c>
      <c r="AX63" s="27">
        <v>170</v>
      </c>
      <c r="BA63" s="27">
        <v>0</v>
      </c>
      <c r="BB63" s="27">
        <v>0.42857142857142855</v>
      </c>
      <c r="BC63" s="27">
        <v>0.75268817204301075</v>
      </c>
      <c r="BD63" s="27">
        <v>0.64516129032258063</v>
      </c>
      <c r="BE63" s="27">
        <v>0.67088607594936711</v>
      </c>
      <c r="BF63" s="27">
        <v>0.65384615384615385</v>
      </c>
      <c r="BG63" s="27">
        <v>0.18181818181818182</v>
      </c>
      <c r="BH63" s="27">
        <v>0.64391691394658757</v>
      </c>
      <c r="BK63" s="27">
        <v>5.2936812451845366E-2</v>
      </c>
      <c r="BL63" s="27">
        <v>6.2971396957353751E-2</v>
      </c>
      <c r="BM63" s="27">
        <v>6.0365785248549575E-2</v>
      </c>
      <c r="BN63" s="27">
        <v>0.82372600534225127</v>
      </c>
      <c r="BR63" s="27">
        <v>0.3981762917933131</v>
      </c>
      <c r="BS63" s="27">
        <v>0.68164794007490637</v>
      </c>
      <c r="BT63" s="27">
        <v>0.64659270998415219</v>
      </c>
      <c r="BU63" s="27">
        <v>0.66049382716049387</v>
      </c>
      <c r="BV63" s="27">
        <v>0</v>
      </c>
      <c r="BY63" s="27">
        <v>0</v>
      </c>
      <c r="BZ63" s="27">
        <v>0.37378640776699029</v>
      </c>
      <c r="CA63" s="27">
        <v>0.68027210884353739</v>
      </c>
      <c r="CB63" s="27">
        <v>0.68627450980392157</v>
      </c>
      <c r="CC63" s="27">
        <v>0.64851485148514854</v>
      </c>
      <c r="CD63" s="27">
        <v>0.63773584905660374</v>
      </c>
      <c r="CE63" s="27">
        <v>0.66053169734151329</v>
      </c>
      <c r="CI63" s="27">
        <v>0</v>
      </c>
      <c r="CJ63" s="27">
        <v>4.9612403100775193E-2</v>
      </c>
      <c r="CK63" s="27">
        <v>0.25896414342629481</v>
      </c>
      <c r="CL63" s="27">
        <v>0.38695652173913042</v>
      </c>
      <c r="CM63" s="27">
        <v>0.3593073593073593</v>
      </c>
      <c r="CN63" s="27">
        <v>0.3788546255506608</v>
      </c>
      <c r="CO63" s="27">
        <v>0.43654822335025378</v>
      </c>
    </row>
    <row r="64" spans="2:93" x14ac:dyDescent="0.2">
      <c r="B64" s="25">
        <v>0</v>
      </c>
      <c r="C64" s="25">
        <v>29</v>
      </c>
      <c r="D64" s="25">
        <v>70</v>
      </c>
      <c r="E64" s="25">
        <v>82</v>
      </c>
      <c r="F64" s="25">
        <v>70</v>
      </c>
      <c r="G64" s="25">
        <v>33</v>
      </c>
      <c r="H64" s="25">
        <v>12</v>
      </c>
      <c r="K64" s="27">
        <v>0</v>
      </c>
      <c r="L64" s="27">
        <v>8</v>
      </c>
      <c r="M64" s="27">
        <v>9</v>
      </c>
      <c r="N64" s="27">
        <v>5</v>
      </c>
      <c r="O64" s="27">
        <v>0</v>
      </c>
      <c r="P64" s="27">
        <v>22</v>
      </c>
      <c r="Q64" s="27">
        <v>0</v>
      </c>
      <c r="R64" s="27">
        <v>0</v>
      </c>
      <c r="S64" s="27">
        <v>26</v>
      </c>
      <c r="T64" s="27">
        <v>22</v>
      </c>
      <c r="U64" s="27">
        <v>0</v>
      </c>
      <c r="X64" s="27">
        <v>0.21579999999999999</v>
      </c>
      <c r="Y64" s="27">
        <v>0.38080000000000003</v>
      </c>
      <c r="Z64" s="27">
        <v>0.129</v>
      </c>
      <c r="AA64" s="27">
        <v>3.1E-2</v>
      </c>
      <c r="AB64" s="27">
        <v>4.2799999999999998E-2</v>
      </c>
      <c r="AC64" s="27">
        <v>0.2006</v>
      </c>
      <c r="AF64" s="27">
        <v>0</v>
      </c>
      <c r="AG64" s="27">
        <v>2.6225769669327253E-2</v>
      </c>
      <c r="AH64" s="27">
        <v>6.1831153388822828E-2</v>
      </c>
      <c r="AI64" s="27">
        <v>7.0960698689956331E-2</v>
      </c>
      <c r="AJ64" s="27">
        <v>4.3859649122807015E-2</v>
      </c>
      <c r="AK64" s="27">
        <v>1.8205461638491547E-2</v>
      </c>
      <c r="AL64" s="27">
        <v>1.4598540145985401E-3</v>
      </c>
      <c r="AP64" s="27">
        <v>0</v>
      </c>
      <c r="AQ64" s="27">
        <v>2.269861286254729E-2</v>
      </c>
      <c r="AR64" s="27">
        <v>5.5555555555555552E-2</v>
      </c>
      <c r="AS64" s="27">
        <v>9.913043478260869E-2</v>
      </c>
      <c r="AT64" s="27">
        <v>8.0991735537190079E-2</v>
      </c>
      <c r="AU64" s="27">
        <v>7.7477477477477477E-2</v>
      </c>
      <c r="AV64" s="27">
        <v>9.9190283400809723E-2</v>
      </c>
      <c r="AW64" s="27">
        <v>6.8794716565767744E-2</v>
      </c>
      <c r="AX64" s="27">
        <v>195</v>
      </c>
      <c r="BA64" s="27">
        <v>0</v>
      </c>
      <c r="BB64" s="27">
        <v>0.65217391304347827</v>
      </c>
      <c r="BC64" s="27">
        <v>0.71764705882352942</v>
      </c>
      <c r="BD64" s="27">
        <v>0.7407407407407407</v>
      </c>
      <c r="BE64" s="27">
        <v>0.6901408450704225</v>
      </c>
      <c r="BF64" s="27">
        <v>0.46153846153846156</v>
      </c>
      <c r="BG64" s="27">
        <v>0.14285714285714285</v>
      </c>
      <c r="BH64" s="27">
        <v>0.66857142857142859</v>
      </c>
      <c r="BK64" s="27">
        <v>3.037220380332982E-2</v>
      </c>
      <c r="BL64" s="27">
        <v>6.5971341851646242E-2</v>
      </c>
      <c r="BM64" s="27">
        <v>7.2692518491380684E-2</v>
      </c>
      <c r="BN64" s="27">
        <v>0.83096393585364325</v>
      </c>
      <c r="BR64" s="27">
        <v>0.37862137862137862</v>
      </c>
      <c r="BS64" s="27">
        <v>0.68907563025210083</v>
      </c>
      <c r="BT64" s="27">
        <v>0.59059233449477355</v>
      </c>
      <c r="BU64" s="27">
        <v>0.67096774193548392</v>
      </c>
      <c r="BV64" s="27">
        <v>0</v>
      </c>
      <c r="BY64" s="27">
        <v>0</v>
      </c>
      <c r="BZ64" s="27">
        <v>0.35939470365699872</v>
      </c>
      <c r="CA64" s="27">
        <v>0.67647058823529416</v>
      </c>
      <c r="CB64" s="27">
        <v>0.70608695652173914</v>
      </c>
      <c r="CC64" s="27">
        <v>0.61487603305785121</v>
      </c>
      <c r="CD64" s="27">
        <v>0.61801801801801803</v>
      </c>
      <c r="CE64" s="27">
        <v>0.63562753036437247</v>
      </c>
      <c r="CI64" s="27">
        <v>0</v>
      </c>
      <c r="CJ64" s="27">
        <v>6.1389337641357025E-2</v>
      </c>
      <c r="CK64" s="27">
        <v>0.2125984251968504</v>
      </c>
      <c r="CL64" s="27">
        <v>0.38248847926267282</v>
      </c>
      <c r="CM64" s="27">
        <v>0.32758620689655171</v>
      </c>
      <c r="CN64" s="27">
        <v>0.33796296296296297</v>
      </c>
      <c r="CO64" s="27">
        <v>0.4</v>
      </c>
    </row>
    <row r="65" spans="2:93" x14ac:dyDescent="0.2">
      <c r="B65" s="25">
        <v>0</v>
      </c>
      <c r="C65" s="25">
        <v>27</v>
      </c>
      <c r="D65" s="25">
        <v>70</v>
      </c>
      <c r="E65" s="25">
        <v>89</v>
      </c>
      <c r="F65" s="25">
        <v>65</v>
      </c>
      <c r="G65" s="25">
        <v>14</v>
      </c>
      <c r="H65" s="25">
        <v>16</v>
      </c>
      <c r="K65" s="27">
        <v>0</v>
      </c>
      <c r="L65" s="27">
        <v>8</v>
      </c>
      <c r="M65" s="27">
        <v>11</v>
      </c>
      <c r="N65" s="27">
        <v>7</v>
      </c>
      <c r="O65" s="27">
        <v>0</v>
      </c>
      <c r="P65" s="27">
        <v>21</v>
      </c>
      <c r="Q65" s="27">
        <v>0</v>
      </c>
      <c r="R65" s="27">
        <v>0</v>
      </c>
      <c r="S65" s="27">
        <v>31</v>
      </c>
      <c r="T65" s="27">
        <v>34</v>
      </c>
      <c r="U65" s="27">
        <v>0</v>
      </c>
      <c r="X65" s="27">
        <v>0.2114</v>
      </c>
      <c r="Y65" s="27">
        <v>0.36899999999999999</v>
      </c>
      <c r="Z65" s="27">
        <v>0.13780000000000001</v>
      </c>
      <c r="AA65" s="27">
        <v>3.32E-2</v>
      </c>
      <c r="AB65" s="27">
        <v>4.5199999999999997E-2</v>
      </c>
      <c r="AC65" s="27">
        <v>0.2034</v>
      </c>
      <c r="AF65" s="27">
        <v>0</v>
      </c>
      <c r="AG65" s="27">
        <v>2.6966292134831461E-2</v>
      </c>
      <c r="AH65" s="27">
        <v>6.3549160671462823E-2</v>
      </c>
      <c r="AI65" s="27">
        <v>6.1822125813449022E-2</v>
      </c>
      <c r="AJ65" s="27">
        <v>5.7458563535911604E-2</v>
      </c>
      <c r="AK65" s="27">
        <v>2.3653088042049936E-2</v>
      </c>
      <c r="AL65" s="27">
        <v>8.7209302325581394E-3</v>
      </c>
      <c r="AP65" s="27">
        <v>0</v>
      </c>
      <c r="AQ65" s="27">
        <v>1.7434620174346202E-2</v>
      </c>
      <c r="AR65" s="27">
        <v>8.2644628099173556E-2</v>
      </c>
      <c r="AS65" s="27">
        <v>0.10606060606060606</v>
      </c>
      <c r="AT65" s="27">
        <v>9.914529914529914E-2</v>
      </c>
      <c r="AU65" s="27">
        <v>8.646616541353383E-2</v>
      </c>
      <c r="AV65" s="27">
        <v>0.10580912863070539</v>
      </c>
      <c r="AW65" s="27">
        <v>7.8311580116634263E-2</v>
      </c>
      <c r="AX65" s="27">
        <v>210</v>
      </c>
      <c r="BA65" s="27">
        <v>0</v>
      </c>
      <c r="BB65" s="27">
        <v>0.57446808510638303</v>
      </c>
      <c r="BC65" s="27">
        <v>0.63736263736263732</v>
      </c>
      <c r="BD65" s="27">
        <v>0.71296296296296291</v>
      </c>
      <c r="BE65" s="27">
        <v>0.68478260869565222</v>
      </c>
      <c r="BF65" s="27">
        <v>0.56000000000000005</v>
      </c>
      <c r="BG65" s="27">
        <v>0.30434782608695654</v>
      </c>
      <c r="BH65" s="27">
        <v>0.63730569948186533</v>
      </c>
      <c r="BK65" s="27">
        <v>4.4306488488828892E-2</v>
      </c>
      <c r="BL65" s="27">
        <v>9.3271884372149616E-2</v>
      </c>
      <c r="BM65" s="27">
        <v>7.4671021115389161E-2</v>
      </c>
      <c r="BN65" s="27">
        <v>0.78775060602363234</v>
      </c>
      <c r="BR65" s="27">
        <v>0.39738430583501005</v>
      </c>
      <c r="BS65" s="27">
        <v>0.68184281842818428</v>
      </c>
      <c r="BT65" s="27">
        <v>0.62646566164154105</v>
      </c>
      <c r="BU65" s="27">
        <v>0.66666666666666663</v>
      </c>
      <c r="BV65" s="27">
        <v>0</v>
      </c>
      <c r="BY65" s="27">
        <v>0</v>
      </c>
      <c r="BZ65" s="27">
        <v>0.35367372353673726</v>
      </c>
      <c r="CA65" s="27">
        <v>0.65785123966942149</v>
      </c>
      <c r="CB65" s="27">
        <v>0.71548821548821551</v>
      </c>
      <c r="CC65" s="27">
        <v>0.652991452991453</v>
      </c>
      <c r="CD65" s="27">
        <v>0.62593984962406013</v>
      </c>
      <c r="CE65" s="27">
        <v>0.65352697095435686</v>
      </c>
      <c r="CI65" s="27">
        <v>0</v>
      </c>
      <c r="CJ65" s="27">
        <v>3.9936102236421724E-2</v>
      </c>
      <c r="CK65" s="27">
        <v>0.29343629343629346</v>
      </c>
      <c r="CL65" s="27">
        <v>0.3905579399141631</v>
      </c>
      <c r="CM65" s="27">
        <v>0.37179487179487181</v>
      </c>
      <c r="CN65" s="27">
        <v>0.38666666666666666</v>
      </c>
      <c r="CO65" s="27">
        <v>0.375</v>
      </c>
    </row>
    <row r="66" spans="2:93" x14ac:dyDescent="0.2">
      <c r="B66" s="25">
        <v>0</v>
      </c>
      <c r="C66" s="25">
        <v>18</v>
      </c>
      <c r="D66" s="25">
        <v>68</v>
      </c>
      <c r="E66" s="25">
        <v>80</v>
      </c>
      <c r="F66" s="25">
        <v>56</v>
      </c>
      <c r="G66" s="25">
        <v>36</v>
      </c>
      <c r="H66" s="25">
        <v>13</v>
      </c>
      <c r="K66" s="27">
        <v>0</v>
      </c>
      <c r="L66" s="27">
        <v>5</v>
      </c>
      <c r="M66" s="27">
        <v>10</v>
      </c>
      <c r="N66" s="27">
        <v>8</v>
      </c>
      <c r="O66" s="27">
        <v>0</v>
      </c>
      <c r="P66" s="27">
        <v>19</v>
      </c>
      <c r="Q66" s="27">
        <v>1</v>
      </c>
      <c r="R66" s="27">
        <v>0</v>
      </c>
      <c r="S66" s="27">
        <v>20</v>
      </c>
      <c r="T66" s="27">
        <v>17</v>
      </c>
      <c r="U66" s="27">
        <v>0</v>
      </c>
      <c r="X66" s="27">
        <v>0.20960000000000001</v>
      </c>
      <c r="Y66" s="27">
        <v>0.3674</v>
      </c>
      <c r="Z66" s="27">
        <v>0.1348</v>
      </c>
      <c r="AA66" s="27">
        <v>3.78E-2</v>
      </c>
      <c r="AB66" s="27">
        <v>4.3799999999999999E-2</v>
      </c>
      <c r="AC66" s="27">
        <v>0.20660000000000001</v>
      </c>
      <c r="AF66" s="27">
        <v>0</v>
      </c>
      <c r="AG66" s="27">
        <v>1.9252548131370329E-2</v>
      </c>
      <c r="AH66" s="27">
        <v>5.5952380952380955E-2</v>
      </c>
      <c r="AI66" s="27">
        <v>7.9607415485278082E-2</v>
      </c>
      <c r="AJ66" s="27">
        <v>5.7205720572057209E-2</v>
      </c>
      <c r="AK66" s="27">
        <v>1.4304291287386216E-2</v>
      </c>
      <c r="AL66" s="27">
        <v>1.4662756598240469E-3</v>
      </c>
      <c r="AP66" s="27">
        <v>0</v>
      </c>
      <c r="AQ66" s="27">
        <v>2.0125786163522012E-2</v>
      </c>
      <c r="AR66" s="27">
        <v>5.4365733113673806E-2</v>
      </c>
      <c r="AS66" s="27">
        <v>0.10172413793103448</v>
      </c>
      <c r="AT66" s="27">
        <v>9.0909090909090912E-2</v>
      </c>
      <c r="AU66" s="27">
        <v>8.1593927893738136E-2</v>
      </c>
      <c r="AV66" s="27">
        <v>0.10647181628392484</v>
      </c>
      <c r="AW66" s="27">
        <v>7.1527971054828832E-2</v>
      </c>
      <c r="AX66" s="27">
        <v>201</v>
      </c>
      <c r="BA66" s="27">
        <v>0</v>
      </c>
      <c r="BB66" s="27">
        <v>0.54054054054054057</v>
      </c>
      <c r="BC66" s="27">
        <v>0.68965517241379315</v>
      </c>
      <c r="BD66" s="27">
        <v>0.7570093457943925</v>
      </c>
      <c r="BE66" s="27">
        <v>0.7142857142857143</v>
      </c>
      <c r="BF66" s="27">
        <v>0.58333333333333337</v>
      </c>
      <c r="BG66" s="27">
        <v>0.1111111111111111</v>
      </c>
      <c r="BH66" s="27">
        <v>0.66285714285714281</v>
      </c>
      <c r="BK66" s="27">
        <v>5.4136155566216912E-2</v>
      </c>
      <c r="BL66" s="27">
        <v>5.3900070878840502E-2</v>
      </c>
      <c r="BM66" s="27">
        <v>7.9517871582341124E-2</v>
      </c>
      <c r="BN66" s="27">
        <v>0.81244590197260147</v>
      </c>
      <c r="BR66" s="27">
        <v>0.40286298568507156</v>
      </c>
      <c r="BS66" s="27">
        <v>0.68535655960805664</v>
      </c>
      <c r="BT66" s="27">
        <v>0.59592529711375208</v>
      </c>
      <c r="BU66" s="27">
        <v>0.5714285714285714</v>
      </c>
      <c r="BV66" s="27">
        <v>0</v>
      </c>
      <c r="BY66" s="27">
        <v>0</v>
      </c>
      <c r="BZ66" s="27">
        <v>0.37106918238993708</v>
      </c>
      <c r="CA66" s="27">
        <v>0.64909390444810544</v>
      </c>
      <c r="CB66" s="27">
        <v>0.69482758620689655</v>
      </c>
      <c r="CC66" s="27">
        <v>0.64628099173553721</v>
      </c>
      <c r="CD66" s="27">
        <v>0.58633776091081591</v>
      </c>
      <c r="CE66" s="27">
        <v>0.66805845511482254</v>
      </c>
      <c r="CI66" s="27">
        <v>0</v>
      </c>
      <c r="CJ66" s="27">
        <v>4.5958795562599047E-2</v>
      </c>
      <c r="CK66" s="27">
        <v>0.24436090225563908</v>
      </c>
      <c r="CL66" s="27">
        <v>0.44144144144144143</v>
      </c>
      <c r="CM66" s="27">
        <v>0.36752136752136755</v>
      </c>
      <c r="CN66" s="27">
        <v>0.3364485981308411</v>
      </c>
      <c r="CO66" s="27">
        <v>0.41145833333333331</v>
      </c>
    </row>
    <row r="67" spans="2:93" x14ac:dyDescent="0.2">
      <c r="B67" s="25">
        <v>0</v>
      </c>
      <c r="C67" s="25">
        <v>28</v>
      </c>
      <c r="D67" s="25">
        <v>66</v>
      </c>
      <c r="E67" s="25">
        <v>65</v>
      </c>
      <c r="F67" s="25">
        <v>64</v>
      </c>
      <c r="G67" s="25">
        <v>33</v>
      </c>
      <c r="H67" s="25">
        <v>13</v>
      </c>
      <c r="K67" s="27">
        <v>3</v>
      </c>
      <c r="L67" s="27">
        <v>5</v>
      </c>
      <c r="M67" s="27">
        <v>11</v>
      </c>
      <c r="N67" s="27">
        <v>12</v>
      </c>
      <c r="O67" s="27">
        <v>0</v>
      </c>
      <c r="P67" s="27">
        <v>18</v>
      </c>
      <c r="Q67" s="27">
        <v>0</v>
      </c>
      <c r="R67" s="27">
        <v>0</v>
      </c>
      <c r="S67" s="27">
        <v>23</v>
      </c>
      <c r="T67" s="27">
        <v>26</v>
      </c>
      <c r="U67" s="27">
        <v>0</v>
      </c>
      <c r="X67" s="27">
        <v>0.21179999999999999</v>
      </c>
      <c r="Y67" s="27">
        <v>0.37159999999999999</v>
      </c>
      <c r="Z67" s="27">
        <v>0.1376</v>
      </c>
      <c r="AA67" s="27">
        <v>0.03</v>
      </c>
      <c r="AB67" s="27">
        <v>3.8600000000000002E-2</v>
      </c>
      <c r="AC67" s="27">
        <v>0.2104</v>
      </c>
      <c r="AF67" s="27">
        <v>0</v>
      </c>
      <c r="AG67" s="27">
        <v>2.3782559456398639E-2</v>
      </c>
      <c r="AH67" s="27">
        <v>6.1077844311377243E-2</v>
      </c>
      <c r="AI67" s="27">
        <v>5.3318824809575623E-2</v>
      </c>
      <c r="AJ67" s="27">
        <v>4.6052631578947366E-2</v>
      </c>
      <c r="AK67" s="27">
        <v>1.699346405228758E-2</v>
      </c>
      <c r="AL67" s="27">
        <v>8.7463556851311956E-3</v>
      </c>
      <c r="AP67" s="27">
        <v>0</v>
      </c>
      <c r="AQ67" s="27">
        <v>2.6184538653366583E-2</v>
      </c>
      <c r="AR67" s="27">
        <v>6.6115702479338845E-2</v>
      </c>
      <c r="AS67" s="27">
        <v>8.9850249584026626E-2</v>
      </c>
      <c r="AT67" s="27">
        <v>8.3333333333333329E-2</v>
      </c>
      <c r="AU67" s="27">
        <v>9.8484848484848481E-2</v>
      </c>
      <c r="AV67" s="27">
        <v>0.12708333333333333</v>
      </c>
      <c r="AW67" s="27">
        <v>7.6880530973451322E-2</v>
      </c>
      <c r="AX67" s="27">
        <v>182</v>
      </c>
      <c r="BA67" s="27">
        <v>0</v>
      </c>
      <c r="BB67" s="27">
        <v>0.59090909090909094</v>
      </c>
      <c r="BC67" s="27">
        <v>0.651685393258427</v>
      </c>
      <c r="BD67" s="27">
        <v>0.74025974025974028</v>
      </c>
      <c r="BE67" s="27">
        <v>0.60256410256410253</v>
      </c>
      <c r="BF67" s="27">
        <v>0.58333333333333337</v>
      </c>
      <c r="BG67" s="27">
        <v>0.47058823529411764</v>
      </c>
      <c r="BH67" s="27">
        <v>0.63829787234042556</v>
      </c>
      <c r="BK67" s="27">
        <v>4.2833065679307947E-2</v>
      </c>
      <c r="BL67" s="27">
        <v>6.2876848144767544E-2</v>
      </c>
      <c r="BM67" s="27">
        <v>9.4888693441803243E-2</v>
      </c>
      <c r="BN67" s="27">
        <v>0.79940139273412125</v>
      </c>
      <c r="BR67" s="27">
        <v>0.38933601609657947</v>
      </c>
      <c r="BS67" s="27">
        <v>0.68083961248654468</v>
      </c>
      <c r="BT67" s="27">
        <v>0.6384364820846905</v>
      </c>
      <c r="BU67" s="27">
        <v>0.67333333333333334</v>
      </c>
      <c r="BV67" s="27">
        <v>0</v>
      </c>
      <c r="BY67" s="27">
        <v>0</v>
      </c>
      <c r="BZ67" s="27">
        <v>0.35910224438902744</v>
      </c>
      <c r="CA67" s="27">
        <v>0.64628099173553721</v>
      </c>
      <c r="CB67" s="27">
        <v>0.70049916805324464</v>
      </c>
      <c r="CC67" s="27">
        <v>0.66500000000000004</v>
      </c>
      <c r="CD67" s="27">
        <v>0.62310606060606055</v>
      </c>
      <c r="CE67" s="27">
        <v>0.66041666666666665</v>
      </c>
      <c r="CI67" s="27">
        <v>0</v>
      </c>
      <c r="CJ67" s="27">
        <v>5.4140127388535034E-2</v>
      </c>
      <c r="CK67" s="27">
        <v>0.25090909090909091</v>
      </c>
      <c r="CL67" s="27">
        <v>0.37727272727272726</v>
      </c>
      <c r="CM67" s="27">
        <v>0.33783783783783783</v>
      </c>
      <c r="CN67" s="27">
        <v>0.38425925925925924</v>
      </c>
      <c r="CO67" s="27">
        <v>0.41176470588235292</v>
      </c>
    </row>
    <row r="68" spans="2:93" x14ac:dyDescent="0.2">
      <c r="B68" s="25">
        <v>0</v>
      </c>
      <c r="C68" s="25">
        <v>38</v>
      </c>
      <c r="D68" s="25">
        <v>64</v>
      </c>
      <c r="E68" s="25">
        <v>52</v>
      </c>
      <c r="F68" s="25">
        <v>76</v>
      </c>
      <c r="G68" s="25">
        <v>31</v>
      </c>
      <c r="H68" s="25">
        <v>7</v>
      </c>
      <c r="K68" s="27">
        <v>0</v>
      </c>
      <c r="L68" s="27">
        <v>5</v>
      </c>
      <c r="M68" s="27">
        <v>12</v>
      </c>
      <c r="N68" s="27">
        <v>6</v>
      </c>
      <c r="O68" s="27">
        <v>0</v>
      </c>
      <c r="P68" s="27">
        <v>20</v>
      </c>
      <c r="Q68" s="27">
        <v>0</v>
      </c>
      <c r="R68" s="27">
        <v>0</v>
      </c>
      <c r="S68" s="27">
        <v>24</v>
      </c>
      <c r="T68" s="27">
        <v>33</v>
      </c>
      <c r="U68" s="27">
        <v>0</v>
      </c>
      <c r="X68" s="27">
        <v>0.2092</v>
      </c>
      <c r="Y68" s="27">
        <v>0.37159999999999999</v>
      </c>
      <c r="Z68" s="27">
        <v>0.1346</v>
      </c>
      <c r="AA68" s="27">
        <v>3.2199999999999999E-2</v>
      </c>
      <c r="AB68" s="27">
        <v>4.5600000000000002E-2</v>
      </c>
      <c r="AC68" s="27">
        <v>0.20680000000000001</v>
      </c>
      <c r="AF68" s="27">
        <v>0</v>
      </c>
      <c r="AG68" s="27">
        <v>2.1396396396396396E-2</v>
      </c>
      <c r="AH68" s="27">
        <v>7.040572792362769E-2</v>
      </c>
      <c r="AI68" s="27">
        <v>6.9640914036996737E-2</v>
      </c>
      <c r="AJ68" s="27">
        <v>5.9668508287292817E-2</v>
      </c>
      <c r="AK68" s="27">
        <v>2.0915032679738561E-2</v>
      </c>
      <c r="AL68" s="27">
        <v>5.8394160583941602E-3</v>
      </c>
      <c r="AP68" s="27">
        <v>0</v>
      </c>
      <c r="AQ68" s="27">
        <v>1.4814814814814815E-2</v>
      </c>
      <c r="AR68" s="27">
        <v>5.6951423785594639E-2</v>
      </c>
      <c r="AS68" s="27">
        <v>7.9931972789115652E-2</v>
      </c>
      <c r="AT68" s="27">
        <v>0.10104529616724739</v>
      </c>
      <c r="AU68" s="27">
        <v>0.10674157303370786</v>
      </c>
      <c r="AV68" s="27">
        <v>0.10365853658536585</v>
      </c>
      <c r="AW68" s="27">
        <v>7.2044506258692631E-2</v>
      </c>
      <c r="AX68" s="27">
        <v>216</v>
      </c>
      <c r="BA68" s="27">
        <v>0</v>
      </c>
      <c r="BB68" s="27">
        <v>0.70270270270270274</v>
      </c>
      <c r="BC68" s="27">
        <v>0.63157894736842102</v>
      </c>
      <c r="BD68" s="27">
        <v>0.65420560747663548</v>
      </c>
      <c r="BE68" s="27">
        <v>0.625</v>
      </c>
      <c r="BF68" s="27">
        <v>0.6</v>
      </c>
      <c r="BG68" s="27">
        <v>0.33333333333333331</v>
      </c>
      <c r="BH68" s="27">
        <v>0.62903225806451613</v>
      </c>
      <c r="BK68" s="27">
        <v>4.2249294526575894E-2</v>
      </c>
      <c r="BL68" s="27">
        <v>6.7930431934527191E-2</v>
      </c>
      <c r="BM68" s="27">
        <v>7.3346039894564924E-2</v>
      </c>
      <c r="BN68" s="27">
        <v>0.81647423364433203</v>
      </c>
      <c r="BR68" s="27">
        <v>0.3873598369011213</v>
      </c>
      <c r="BS68" s="27">
        <v>0.69052744886975237</v>
      </c>
      <c r="BT68" s="27">
        <v>0.61176470588235299</v>
      </c>
      <c r="BU68" s="27">
        <v>0.68322981366459623</v>
      </c>
      <c r="BV68" s="27">
        <v>0</v>
      </c>
      <c r="BY68" s="27">
        <v>0</v>
      </c>
      <c r="BZ68" s="27">
        <v>0.34320987654320989</v>
      </c>
      <c r="CA68" s="27">
        <v>0.69346733668341709</v>
      </c>
      <c r="CB68" s="27">
        <v>0.68537414965986398</v>
      </c>
      <c r="CC68" s="27">
        <v>0.66898954703832758</v>
      </c>
      <c r="CD68" s="27">
        <v>0.64981273408239704</v>
      </c>
      <c r="CE68" s="27">
        <v>0.63211382113821135</v>
      </c>
      <c r="CI68" s="27">
        <v>0</v>
      </c>
      <c r="CJ68" s="27">
        <v>4.0944881889763779E-2</v>
      </c>
      <c r="CK68" s="27">
        <v>0.22</v>
      </c>
      <c r="CL68" s="27">
        <v>0.33183856502242154</v>
      </c>
      <c r="CM68" s="27">
        <v>0.37019230769230771</v>
      </c>
      <c r="CN68" s="27">
        <v>0.41666666666666669</v>
      </c>
      <c r="CO68" s="27">
        <v>0.38834951456310679</v>
      </c>
    </row>
    <row r="69" spans="2:93" x14ac:dyDescent="0.2">
      <c r="B69" s="25">
        <v>0</v>
      </c>
      <c r="C69" s="25">
        <v>27</v>
      </c>
      <c r="D69" s="25">
        <v>66</v>
      </c>
      <c r="E69" s="25">
        <v>70</v>
      </c>
      <c r="F69" s="25">
        <v>65</v>
      </c>
      <c r="G69" s="25">
        <v>34</v>
      </c>
      <c r="H69" s="25">
        <v>13</v>
      </c>
      <c r="K69" s="27">
        <v>0</v>
      </c>
      <c r="L69" s="27">
        <v>8</v>
      </c>
      <c r="M69" s="27">
        <v>11</v>
      </c>
      <c r="N69" s="27">
        <v>10</v>
      </c>
      <c r="O69" s="27">
        <v>0</v>
      </c>
      <c r="P69" s="27">
        <v>22</v>
      </c>
      <c r="Q69" s="27">
        <v>1</v>
      </c>
      <c r="R69" s="27">
        <v>0</v>
      </c>
      <c r="S69" s="27">
        <v>24</v>
      </c>
      <c r="T69" s="27">
        <v>21</v>
      </c>
      <c r="U69" s="27">
        <v>0</v>
      </c>
      <c r="X69" s="27">
        <v>0.20599999999999999</v>
      </c>
      <c r="Y69" s="27">
        <v>0.36659999999999998</v>
      </c>
      <c r="Z69" s="27">
        <v>0.13420000000000001</v>
      </c>
      <c r="AA69" s="27">
        <v>0.03</v>
      </c>
      <c r="AB69" s="27">
        <v>4.6600000000000003E-2</v>
      </c>
      <c r="AC69" s="27">
        <v>0.21659999999999999</v>
      </c>
      <c r="AF69" s="27">
        <v>0</v>
      </c>
      <c r="AG69" s="27">
        <v>2.4774774774774775E-2</v>
      </c>
      <c r="AH69" s="27">
        <v>5.9737156511350059E-2</v>
      </c>
      <c r="AI69" s="27">
        <v>7.0883315158124321E-2</v>
      </c>
      <c r="AJ69" s="27">
        <v>6.5193370165745862E-2</v>
      </c>
      <c r="AK69" s="27">
        <v>1.950585175552666E-2</v>
      </c>
      <c r="AL69" s="27">
        <v>1.3157894736842105E-2</v>
      </c>
      <c r="AP69" s="27">
        <v>0</v>
      </c>
      <c r="AQ69" s="27">
        <v>2.8571428571428571E-2</v>
      </c>
      <c r="AR69" s="27">
        <v>5.6291390728476824E-2</v>
      </c>
      <c r="AS69" s="27">
        <v>8.8082901554404139E-2</v>
      </c>
      <c r="AT69" s="27">
        <v>8.9788732394366202E-2</v>
      </c>
      <c r="AU69" s="27">
        <v>9.4517958412098299E-2</v>
      </c>
      <c r="AV69" s="27">
        <v>0.10647181628392484</v>
      </c>
      <c r="AW69" s="27">
        <v>7.2951739618406286E-2</v>
      </c>
      <c r="AX69" s="27">
        <v>220</v>
      </c>
      <c r="BA69" s="27">
        <v>0</v>
      </c>
      <c r="BB69" s="27">
        <v>0.5641025641025641</v>
      </c>
      <c r="BC69" s="27">
        <v>0.67368421052631577</v>
      </c>
      <c r="BD69" s="27">
        <v>0.65979381443298968</v>
      </c>
      <c r="BE69" s="27">
        <v>0.72043010752688175</v>
      </c>
      <c r="BF69" s="27">
        <v>0.76190476190476186</v>
      </c>
      <c r="BG69" s="27">
        <v>0.45454545454545453</v>
      </c>
      <c r="BH69" s="27">
        <v>0.66212534059945505</v>
      </c>
      <c r="BK69" s="27">
        <v>2.9132502712299526E-2</v>
      </c>
      <c r="BL69" s="27">
        <v>5.8228156963341195E-2</v>
      </c>
      <c r="BM69" s="27">
        <v>7.6674733123593616E-2</v>
      </c>
      <c r="BN69" s="27">
        <v>0.8359646072007656</v>
      </c>
      <c r="BR69" s="27">
        <v>0.37333333333333335</v>
      </c>
      <c r="BS69" s="27">
        <v>0.69230769230769229</v>
      </c>
      <c r="BT69" s="27">
        <v>0.62602965403624378</v>
      </c>
      <c r="BU69" s="27">
        <v>0.74496644295302017</v>
      </c>
      <c r="BV69" s="27">
        <v>0</v>
      </c>
      <c r="BY69" s="27">
        <v>0</v>
      </c>
      <c r="BZ69" s="27">
        <v>0.35155279503105591</v>
      </c>
      <c r="CA69" s="27">
        <v>0.68046357615894038</v>
      </c>
      <c r="CB69" s="27">
        <v>0.69602763385146804</v>
      </c>
      <c r="CC69" s="27">
        <v>0.67253521126760563</v>
      </c>
      <c r="CD69" s="27">
        <v>0.67674858223062384</v>
      </c>
      <c r="CE69" s="27">
        <v>0.59916492693110646</v>
      </c>
      <c r="CI69" s="27">
        <v>0</v>
      </c>
      <c r="CJ69" s="27">
        <v>5.246422893481717E-2</v>
      </c>
      <c r="CK69" s="27">
        <v>0.20564516129032259</v>
      </c>
      <c r="CL69" s="27">
        <v>0.36160714285714285</v>
      </c>
      <c r="CM69" s="27">
        <v>0.37327188940092165</v>
      </c>
      <c r="CN69" s="27">
        <v>0.36842105263157893</v>
      </c>
      <c r="CO69" s="27">
        <v>0.37681159420289856</v>
      </c>
    </row>
    <row r="70" spans="2:93" x14ac:dyDescent="0.2">
      <c r="B70" s="25">
        <v>0</v>
      </c>
      <c r="C70" s="25">
        <v>28</v>
      </c>
      <c r="D70" s="25">
        <v>86</v>
      </c>
      <c r="E70" s="25">
        <v>82</v>
      </c>
      <c r="F70" s="25">
        <v>54</v>
      </c>
      <c r="G70" s="25">
        <v>44</v>
      </c>
      <c r="H70" s="25">
        <v>13</v>
      </c>
      <c r="K70" s="27">
        <v>0</v>
      </c>
      <c r="L70" s="27">
        <v>5</v>
      </c>
      <c r="M70" s="27">
        <v>8</v>
      </c>
      <c r="N70" s="27">
        <v>8</v>
      </c>
      <c r="O70" s="27">
        <v>0</v>
      </c>
      <c r="P70" s="27">
        <v>22</v>
      </c>
      <c r="Q70" s="27">
        <v>0</v>
      </c>
      <c r="R70" s="27">
        <v>0</v>
      </c>
      <c r="S70" s="27">
        <v>17</v>
      </c>
      <c r="T70" s="27">
        <v>24</v>
      </c>
      <c r="U70" s="27">
        <v>0</v>
      </c>
      <c r="X70" s="27">
        <v>0.20979999999999999</v>
      </c>
      <c r="Y70" s="27">
        <v>0.37259999999999999</v>
      </c>
      <c r="Z70" s="27">
        <v>0.13600000000000001</v>
      </c>
      <c r="AA70" s="27">
        <v>3.6200000000000003E-2</v>
      </c>
      <c r="AB70" s="27">
        <v>4.1399999999999999E-2</v>
      </c>
      <c r="AC70" s="27">
        <v>0.20399999999999999</v>
      </c>
      <c r="AF70" s="27">
        <v>0</v>
      </c>
      <c r="AG70" s="27">
        <v>2.1493212669683258E-2</v>
      </c>
      <c r="AH70" s="27">
        <v>5.6220095693779906E-2</v>
      </c>
      <c r="AI70" s="27">
        <v>6.3249727371864781E-2</v>
      </c>
      <c r="AJ70" s="27">
        <v>5.1705170517051702E-2</v>
      </c>
      <c r="AK70" s="27">
        <v>1.3071895424836602E-2</v>
      </c>
      <c r="AL70" s="27">
        <v>8.708272859216255E-3</v>
      </c>
      <c r="AP70" s="27">
        <v>0</v>
      </c>
      <c r="AQ70" s="27">
        <v>2.1303258145363407E-2</v>
      </c>
      <c r="AR70" s="27">
        <v>6.3414634146341464E-2</v>
      </c>
      <c r="AS70" s="27">
        <v>8.8186356073211319E-2</v>
      </c>
      <c r="AT70" s="27">
        <v>7.575757575757576E-2</v>
      </c>
      <c r="AU70" s="27">
        <v>0.1043956043956044</v>
      </c>
      <c r="AV70" s="27">
        <v>0.11434511434511435</v>
      </c>
      <c r="AW70" s="27">
        <v>7.3177441540577717E-2</v>
      </c>
      <c r="AX70" s="27">
        <v>187</v>
      </c>
      <c r="BA70" s="27">
        <v>0</v>
      </c>
      <c r="BB70" s="27">
        <v>0.72499999999999998</v>
      </c>
      <c r="BC70" s="27">
        <v>0.63414634146341464</v>
      </c>
      <c r="BD70" s="27">
        <v>0.68316831683168322</v>
      </c>
      <c r="BE70" s="27">
        <v>0.66249999999999998</v>
      </c>
      <c r="BF70" s="27">
        <v>0.48484848484848486</v>
      </c>
      <c r="BG70" s="27">
        <v>0.35294117647058826</v>
      </c>
      <c r="BH70" s="27">
        <v>0.63739376770538247</v>
      </c>
      <c r="BK70" s="27">
        <v>2.8359245511817271E-2</v>
      </c>
      <c r="BL70" s="27">
        <v>7.8376075266409759E-2</v>
      </c>
      <c r="BM70" s="27">
        <v>7.5255514283680908E-2</v>
      </c>
      <c r="BN70" s="27">
        <v>0.81800916493809206</v>
      </c>
      <c r="BR70" s="27">
        <v>0.39354187689202824</v>
      </c>
      <c r="BS70" s="27">
        <v>0.67310789049919484</v>
      </c>
      <c r="BT70" s="27">
        <v>0.62666666666666671</v>
      </c>
      <c r="BU70" s="27">
        <v>0.66850828729281764</v>
      </c>
      <c r="BV70" s="27">
        <v>0</v>
      </c>
      <c r="BY70" s="27">
        <v>0</v>
      </c>
      <c r="BZ70" s="27">
        <v>0.36340852130325813</v>
      </c>
      <c r="CA70" s="27">
        <v>0.68943089430894311</v>
      </c>
      <c r="CB70" s="27">
        <v>0.67054908485856901</v>
      </c>
      <c r="CC70" s="27">
        <v>0.62457912457912457</v>
      </c>
      <c r="CD70" s="27">
        <v>0.64468864468864473</v>
      </c>
      <c r="CE70" s="27">
        <v>0.62577962577962576</v>
      </c>
      <c r="CI70" s="27">
        <v>0</v>
      </c>
      <c r="CJ70" s="27">
        <v>5.0632911392405063E-2</v>
      </c>
      <c r="CK70" s="27">
        <v>0.24812030075187969</v>
      </c>
      <c r="CL70" s="27">
        <v>0.35344827586206895</v>
      </c>
      <c r="CM70" s="27">
        <v>0.33476394849785407</v>
      </c>
      <c r="CN70" s="27">
        <v>0.40990990990990989</v>
      </c>
      <c r="CO70" s="27">
        <v>0.4263157894736842</v>
      </c>
    </row>
    <row r="71" spans="2:93" x14ac:dyDescent="0.2">
      <c r="B71" s="25">
        <v>0</v>
      </c>
      <c r="C71" s="25">
        <v>23</v>
      </c>
      <c r="D71" s="25">
        <v>70</v>
      </c>
      <c r="E71" s="25">
        <v>88</v>
      </c>
      <c r="F71" s="25">
        <v>70</v>
      </c>
      <c r="G71" s="25">
        <v>33</v>
      </c>
      <c r="H71" s="25">
        <v>16</v>
      </c>
      <c r="K71" s="27">
        <v>0</v>
      </c>
      <c r="L71" s="27">
        <v>5</v>
      </c>
      <c r="M71" s="27">
        <v>9</v>
      </c>
      <c r="N71" s="27">
        <v>11</v>
      </c>
      <c r="O71" s="27">
        <v>0</v>
      </c>
      <c r="P71" s="27">
        <v>21</v>
      </c>
      <c r="Q71" s="27">
        <v>1</v>
      </c>
      <c r="R71" s="27">
        <v>0</v>
      </c>
      <c r="S71" s="27">
        <v>27</v>
      </c>
      <c r="T71" s="27">
        <v>23</v>
      </c>
      <c r="U71" s="27">
        <v>0</v>
      </c>
      <c r="X71" s="27">
        <v>0.2082</v>
      </c>
      <c r="Y71" s="27">
        <v>0.375</v>
      </c>
      <c r="Z71" s="27">
        <v>0.14360000000000001</v>
      </c>
      <c r="AA71" s="27">
        <v>2.98E-2</v>
      </c>
      <c r="AB71" s="27">
        <v>4.1399999999999999E-2</v>
      </c>
      <c r="AC71" s="27">
        <v>0.20200000000000001</v>
      </c>
      <c r="AF71" s="27">
        <v>0</v>
      </c>
      <c r="AG71" s="27">
        <v>1.698754246885617E-2</v>
      </c>
      <c r="AH71" s="27">
        <v>6.3321385902031069E-2</v>
      </c>
      <c r="AI71" s="27">
        <v>6.0869565217391307E-2</v>
      </c>
      <c r="AJ71" s="27">
        <v>6.2637362637362637E-2</v>
      </c>
      <c r="AK71" s="27">
        <v>1.0443864229765013E-2</v>
      </c>
      <c r="AL71" s="27">
        <v>8.771929824561403E-3</v>
      </c>
      <c r="AP71" s="27">
        <v>0</v>
      </c>
      <c r="AQ71" s="27">
        <v>2.1118012422360249E-2</v>
      </c>
      <c r="AR71" s="27">
        <v>5.8139534883720929E-2</v>
      </c>
      <c r="AS71" s="27">
        <v>9.4527363184079602E-2</v>
      </c>
      <c r="AT71" s="27">
        <v>0.10623946037099494</v>
      </c>
      <c r="AU71" s="27">
        <v>0.10185185185185185</v>
      </c>
      <c r="AV71" s="27">
        <v>9.9796334012219962E-2</v>
      </c>
      <c r="AW71" s="27">
        <v>7.5949367088607597E-2</v>
      </c>
      <c r="AX71" s="27">
        <v>195</v>
      </c>
      <c r="BA71" s="27">
        <v>0</v>
      </c>
      <c r="BB71" s="27">
        <v>0.48275862068965519</v>
      </c>
      <c r="BC71" s="27">
        <v>0.73493975903614461</v>
      </c>
      <c r="BD71" s="27">
        <v>0.69811320754716977</v>
      </c>
      <c r="BE71" s="27">
        <v>0.651685393258427</v>
      </c>
      <c r="BF71" s="27">
        <v>0.6470588235294118</v>
      </c>
      <c r="BG71" s="27">
        <v>0.46666666666666667</v>
      </c>
      <c r="BH71" s="27">
        <v>0.66371681415929207</v>
      </c>
      <c r="BK71" s="27">
        <v>3.1479169015622477E-2</v>
      </c>
      <c r="BL71" s="27">
        <v>4.640242705696189E-2</v>
      </c>
      <c r="BM71" s="27">
        <v>9.0477314082578739E-2</v>
      </c>
      <c r="BN71" s="27">
        <v>0.83164108984483698</v>
      </c>
      <c r="BR71" s="27">
        <v>0.3958762886597938</v>
      </c>
      <c r="BS71" s="27">
        <v>0.68</v>
      </c>
      <c r="BT71" s="27">
        <v>0.60781249999999998</v>
      </c>
      <c r="BU71" s="27">
        <v>0.67114093959731547</v>
      </c>
      <c r="BV71" s="27">
        <v>0</v>
      </c>
      <c r="BY71" s="27">
        <v>0</v>
      </c>
      <c r="BZ71" s="27">
        <v>0.35031055900621116</v>
      </c>
      <c r="CA71" s="27">
        <v>0.65780730897009965</v>
      </c>
      <c r="CB71" s="27">
        <v>0.68656716417910446</v>
      </c>
      <c r="CC71" s="27">
        <v>0.66273187183811133</v>
      </c>
      <c r="CD71" s="27">
        <v>0.64444444444444449</v>
      </c>
      <c r="CE71" s="27">
        <v>0.64154786150712828</v>
      </c>
      <c r="CI71" s="27">
        <v>0</v>
      </c>
      <c r="CJ71" s="27">
        <v>4.472843450479233E-2</v>
      </c>
      <c r="CK71" s="27">
        <v>0.22813688212927757</v>
      </c>
      <c r="CL71" s="27">
        <v>0.37777777777777777</v>
      </c>
      <c r="CM71" s="27">
        <v>0.41201716738197425</v>
      </c>
      <c r="CN71" s="27">
        <v>0.35807860262008734</v>
      </c>
      <c r="CO71" s="27">
        <v>0.43548387096774194</v>
      </c>
    </row>
    <row r="72" spans="2:93" x14ac:dyDescent="0.2">
      <c r="B72" s="25">
        <v>0</v>
      </c>
      <c r="C72" s="25">
        <v>24</v>
      </c>
      <c r="D72" s="25">
        <v>81</v>
      </c>
      <c r="E72" s="25">
        <v>95</v>
      </c>
      <c r="F72" s="25">
        <v>67</v>
      </c>
      <c r="G72" s="25">
        <v>40</v>
      </c>
      <c r="H72" s="25">
        <v>12</v>
      </c>
      <c r="K72" s="27">
        <v>0</v>
      </c>
      <c r="L72" s="27">
        <v>6</v>
      </c>
      <c r="M72" s="27">
        <v>10</v>
      </c>
      <c r="N72" s="27">
        <v>10</v>
      </c>
      <c r="O72" s="27">
        <v>0</v>
      </c>
      <c r="P72" s="27">
        <v>19</v>
      </c>
      <c r="Q72" s="27">
        <v>1</v>
      </c>
      <c r="R72" s="27">
        <v>0</v>
      </c>
      <c r="S72" s="27">
        <v>23</v>
      </c>
      <c r="T72" s="27">
        <v>15</v>
      </c>
      <c r="U72" s="27">
        <v>0</v>
      </c>
      <c r="X72" s="27">
        <v>0.21379999999999999</v>
      </c>
      <c r="Y72" s="27">
        <v>0.37080000000000002</v>
      </c>
      <c r="Z72" s="27">
        <v>0.1356</v>
      </c>
      <c r="AA72" s="27">
        <v>3.2199999999999999E-2</v>
      </c>
      <c r="AB72" s="27">
        <v>4.2799999999999998E-2</v>
      </c>
      <c r="AC72" s="27">
        <v>0.20480000000000001</v>
      </c>
      <c r="AF72" s="27">
        <v>0</v>
      </c>
      <c r="AG72" s="27">
        <v>2.0202020202020204E-2</v>
      </c>
      <c r="AH72" s="27">
        <v>4.9338146811071001E-2</v>
      </c>
      <c r="AI72" s="27">
        <v>6.8478260869565211E-2</v>
      </c>
      <c r="AJ72" s="27">
        <v>5.6229327453142228E-2</v>
      </c>
      <c r="AK72" s="27">
        <v>2.3376623376623377E-2</v>
      </c>
      <c r="AL72" s="27">
        <v>1.3215859030837005E-2</v>
      </c>
      <c r="AP72" s="27">
        <v>0</v>
      </c>
      <c r="AQ72" s="27">
        <v>2.0935960591133004E-2</v>
      </c>
      <c r="AR72" s="27">
        <v>8.7171052631578941E-2</v>
      </c>
      <c r="AS72" s="27">
        <v>9.849749582637729E-2</v>
      </c>
      <c r="AT72" s="27">
        <v>8.6587436332767401E-2</v>
      </c>
      <c r="AU72" s="27">
        <v>0.10299625468164794</v>
      </c>
      <c r="AV72" s="27">
        <v>0.10493827160493827</v>
      </c>
      <c r="AW72" s="27">
        <v>7.883131201764057E-2</v>
      </c>
      <c r="AX72" s="27">
        <v>200</v>
      </c>
      <c r="BA72" s="27">
        <v>0</v>
      </c>
      <c r="BB72" s="27">
        <v>0.45238095238095238</v>
      </c>
      <c r="BC72" s="27">
        <v>0.67142857142857137</v>
      </c>
      <c r="BD72" s="27">
        <v>0.72340425531914898</v>
      </c>
      <c r="BE72" s="27">
        <v>0.63749999999999996</v>
      </c>
      <c r="BF72" s="27">
        <v>0.65789473684210531</v>
      </c>
      <c r="BG72" s="27">
        <v>0.47058823529411764</v>
      </c>
      <c r="BH72" s="27">
        <v>0.63929618768328444</v>
      </c>
      <c r="BK72" s="27">
        <v>6.7337277236540344E-2</v>
      </c>
      <c r="BL72" s="27">
        <v>4.062932102530472E-2</v>
      </c>
      <c r="BM72" s="27">
        <v>7.756736032215221E-2</v>
      </c>
      <c r="BN72" s="27">
        <v>0.81446604141600276</v>
      </c>
      <c r="BR72" s="27">
        <v>0.39486673247778875</v>
      </c>
      <c r="BS72" s="27">
        <v>0.67313915857605178</v>
      </c>
      <c r="BT72" s="27">
        <v>0.625</v>
      </c>
      <c r="BU72" s="27">
        <v>0.65217391304347827</v>
      </c>
      <c r="BV72" s="27">
        <v>0</v>
      </c>
      <c r="BY72" s="27">
        <v>0</v>
      </c>
      <c r="BZ72" s="27">
        <v>0.38300492610837439</v>
      </c>
      <c r="CA72" s="27">
        <v>0.64967105263157898</v>
      </c>
      <c r="CB72" s="27">
        <v>0.67612687813021699</v>
      </c>
      <c r="CC72" s="27">
        <v>0.62648556876061123</v>
      </c>
      <c r="CD72" s="27">
        <v>0.62546816479400746</v>
      </c>
      <c r="CE72" s="27">
        <v>0.64609053497942381</v>
      </c>
      <c r="CI72" s="27">
        <v>0</v>
      </c>
      <c r="CJ72" s="27">
        <v>4.709576138147567E-2</v>
      </c>
      <c r="CK72" s="27">
        <v>0.2932330827067669</v>
      </c>
      <c r="CL72" s="27">
        <v>0.39449541284403672</v>
      </c>
      <c r="CM72" s="27">
        <v>0.3511111111111111</v>
      </c>
      <c r="CN72" s="27">
        <v>0.37168141592920356</v>
      </c>
      <c r="CO72" s="27">
        <v>0.35436893203883496</v>
      </c>
    </row>
    <row r="73" spans="2:93" x14ac:dyDescent="0.2">
      <c r="B73" s="25">
        <v>0</v>
      </c>
      <c r="C73" s="25">
        <v>26</v>
      </c>
      <c r="D73" s="25">
        <v>75</v>
      </c>
      <c r="E73" s="25">
        <v>86</v>
      </c>
      <c r="F73" s="25">
        <v>97</v>
      </c>
      <c r="G73" s="25">
        <v>28</v>
      </c>
      <c r="H73" s="25">
        <v>13</v>
      </c>
      <c r="K73" s="27">
        <v>0</v>
      </c>
      <c r="L73" s="27">
        <v>10</v>
      </c>
      <c r="M73" s="27">
        <v>9</v>
      </c>
      <c r="N73" s="27">
        <v>8</v>
      </c>
      <c r="O73" s="27">
        <v>0</v>
      </c>
      <c r="P73" s="27">
        <v>22</v>
      </c>
      <c r="Q73" s="27">
        <v>0</v>
      </c>
      <c r="R73" s="27">
        <v>0</v>
      </c>
      <c r="S73" s="27">
        <v>28</v>
      </c>
      <c r="T73" s="27">
        <v>23</v>
      </c>
      <c r="U73" s="27">
        <v>0</v>
      </c>
      <c r="X73" s="27">
        <v>0.19900000000000001</v>
      </c>
      <c r="Y73" s="27">
        <v>0.37580000000000002</v>
      </c>
      <c r="Z73" s="27">
        <v>0.13600000000000001</v>
      </c>
      <c r="AA73" s="27">
        <v>3.7600000000000001E-2</v>
      </c>
      <c r="AB73" s="27">
        <v>4.48E-2</v>
      </c>
      <c r="AC73" s="27">
        <v>0.20680000000000001</v>
      </c>
      <c r="AF73" s="27">
        <v>0</v>
      </c>
      <c r="AG73" s="27">
        <v>2.2573363431151242E-2</v>
      </c>
      <c r="AH73" s="27">
        <v>5.7279236276849645E-2</v>
      </c>
      <c r="AI73" s="27">
        <v>6.3180827886710242E-2</v>
      </c>
      <c r="AJ73" s="27">
        <v>5.4083885209713023E-2</v>
      </c>
      <c r="AK73" s="27">
        <v>1.9659239842726082E-2</v>
      </c>
      <c r="AL73" s="27">
        <v>7.2568940493468797E-3</v>
      </c>
      <c r="AP73" s="27">
        <v>0</v>
      </c>
      <c r="AQ73" s="27">
        <v>2.0125786163522012E-2</v>
      </c>
      <c r="AR73" s="27">
        <v>9.4684385382059796E-2</v>
      </c>
      <c r="AS73" s="27">
        <v>9.7844112769485903E-2</v>
      </c>
      <c r="AT73" s="27">
        <v>9.5000000000000001E-2</v>
      </c>
      <c r="AU73" s="27">
        <v>0.13127413127413126</v>
      </c>
      <c r="AV73" s="27">
        <v>0.12525252525252525</v>
      </c>
      <c r="AW73" s="27">
        <v>8.8292277885413786E-2</v>
      </c>
      <c r="AX73" s="27">
        <v>195</v>
      </c>
      <c r="BA73" s="27">
        <v>0</v>
      </c>
      <c r="BB73" s="27">
        <v>0.55000000000000004</v>
      </c>
      <c r="BC73" s="27">
        <v>0.6262626262626263</v>
      </c>
      <c r="BD73" s="27">
        <v>0.63247863247863245</v>
      </c>
      <c r="BE73" s="27">
        <v>0.69135802469135799</v>
      </c>
      <c r="BF73" s="27">
        <v>0.68181818181818177</v>
      </c>
      <c r="BG73" s="27">
        <v>0.35294117647058826</v>
      </c>
      <c r="BH73" s="27">
        <v>0.625</v>
      </c>
      <c r="BK73" s="27">
        <v>5.6466989551271857E-2</v>
      </c>
      <c r="BL73" s="27">
        <v>6.1083687097120316E-2</v>
      </c>
      <c r="BM73" s="27">
        <v>5.9127858130808002E-2</v>
      </c>
      <c r="BN73" s="27">
        <v>0.82332146522079985</v>
      </c>
      <c r="BR73" s="27">
        <v>0.388412017167382</v>
      </c>
      <c r="BS73" s="27">
        <v>0.69345396487493349</v>
      </c>
      <c r="BT73" s="27">
        <v>0.66775244299674263</v>
      </c>
      <c r="BU73" s="27">
        <v>0.68617021276595747</v>
      </c>
      <c r="BV73" s="27">
        <v>0</v>
      </c>
      <c r="BY73" s="27">
        <v>0</v>
      </c>
      <c r="BZ73" s="27">
        <v>0.37861635220125789</v>
      </c>
      <c r="CA73" s="27">
        <v>0.68106312292358806</v>
      </c>
      <c r="CB73" s="27">
        <v>0.71144278606965172</v>
      </c>
      <c r="CC73" s="27">
        <v>0.68333333333333335</v>
      </c>
      <c r="CD73" s="27">
        <v>0.62934362934362931</v>
      </c>
      <c r="CE73" s="27">
        <v>0.66262626262626267</v>
      </c>
      <c r="CI73" s="27">
        <v>0</v>
      </c>
      <c r="CJ73" s="27">
        <v>4.1599999999999998E-2</v>
      </c>
      <c r="CK73" s="27">
        <v>0.27137546468401486</v>
      </c>
      <c r="CL73" s="27">
        <v>0.419811320754717</v>
      </c>
      <c r="CM73" s="27">
        <v>0.39380530973451328</v>
      </c>
      <c r="CN73" s="27">
        <v>0.44019138755980863</v>
      </c>
      <c r="CO73" s="27">
        <v>0.46700507614213199</v>
      </c>
    </row>
    <row r="74" spans="2:93" x14ac:dyDescent="0.2">
      <c r="B74" s="25">
        <v>0</v>
      </c>
      <c r="C74" s="25">
        <v>29</v>
      </c>
      <c r="D74" s="25">
        <v>66</v>
      </c>
      <c r="E74" s="25">
        <v>74</v>
      </c>
      <c r="F74" s="25">
        <v>74</v>
      </c>
      <c r="G74" s="25">
        <v>29</v>
      </c>
      <c r="H74" s="25">
        <v>7</v>
      </c>
      <c r="K74" s="27">
        <v>0</v>
      </c>
      <c r="L74" s="27">
        <v>3</v>
      </c>
      <c r="M74" s="27">
        <v>10</v>
      </c>
      <c r="N74" s="27">
        <v>11</v>
      </c>
      <c r="O74" s="27">
        <v>0</v>
      </c>
      <c r="P74" s="27">
        <v>19</v>
      </c>
      <c r="Q74" s="27">
        <v>1</v>
      </c>
      <c r="R74" s="27">
        <v>0</v>
      </c>
      <c r="S74" s="27">
        <v>19</v>
      </c>
      <c r="T74" s="27">
        <v>24</v>
      </c>
      <c r="U74" s="27">
        <v>0</v>
      </c>
      <c r="X74" s="27">
        <v>0.21879999999999999</v>
      </c>
      <c r="Y74" s="27">
        <v>0.3654</v>
      </c>
      <c r="Z74" s="27">
        <v>0.13900000000000001</v>
      </c>
      <c r="AA74" s="27">
        <v>2.8000000000000001E-2</v>
      </c>
      <c r="AB74" s="27">
        <v>3.8399999999999997E-2</v>
      </c>
      <c r="AC74" s="27">
        <v>0.2104</v>
      </c>
      <c r="AF74" s="27">
        <v>0</v>
      </c>
      <c r="AG74" s="27">
        <v>2.4746906636670417E-2</v>
      </c>
      <c r="AH74" s="27">
        <v>6.4825930372148857E-2</v>
      </c>
      <c r="AI74" s="27">
        <v>4.9126637554585149E-2</v>
      </c>
      <c r="AJ74" s="27">
        <v>4.6103183315038418E-2</v>
      </c>
      <c r="AK74" s="27">
        <v>1.953125E-2</v>
      </c>
      <c r="AL74" s="27">
        <v>4.3923865300146414E-3</v>
      </c>
      <c r="AP74" s="27">
        <v>0</v>
      </c>
      <c r="AQ74" s="27">
        <v>1.2484394506866416E-2</v>
      </c>
      <c r="AR74" s="27">
        <v>7.6923076923076927E-2</v>
      </c>
      <c r="AS74" s="27">
        <v>8.2630691399662726E-2</v>
      </c>
      <c r="AT74" s="27">
        <v>9.7315436241610737E-2</v>
      </c>
      <c r="AU74" s="27">
        <v>9.6118299445471345E-2</v>
      </c>
      <c r="AV74" s="27">
        <v>9.9156118143459912E-2</v>
      </c>
      <c r="AW74" s="27">
        <v>7.271718012767138E-2</v>
      </c>
      <c r="AX74" s="27">
        <v>181</v>
      </c>
      <c r="BA74" s="27">
        <v>0</v>
      </c>
      <c r="BB74" s="27">
        <v>0.6097560975609756</v>
      </c>
      <c r="BC74" s="27">
        <v>0.7142857142857143</v>
      </c>
      <c r="BD74" s="27">
        <v>0.68888888888888888</v>
      </c>
      <c r="BE74" s="27">
        <v>0.64556962025316456</v>
      </c>
      <c r="BF74" s="27">
        <v>0.54166666666666663</v>
      </c>
      <c r="BG74" s="27">
        <v>0.25</v>
      </c>
      <c r="BH74" s="27">
        <v>0.65203761755485889</v>
      </c>
      <c r="BK74" s="27">
        <v>3.3189610201508353E-2</v>
      </c>
      <c r="BL74" s="27">
        <v>4.1422569461724977E-2</v>
      </c>
      <c r="BM74" s="27">
        <v>8.511630470992472E-2</v>
      </c>
      <c r="BN74" s="27">
        <v>0.84027151562684188</v>
      </c>
      <c r="BR74" s="27">
        <v>0.38062622309197652</v>
      </c>
      <c r="BS74" s="27">
        <v>0.67214012041598248</v>
      </c>
      <c r="BT74" s="27">
        <v>0.61463414634146341</v>
      </c>
      <c r="BU74" s="27">
        <v>0.63309352517985606</v>
      </c>
      <c r="BV74" s="27">
        <v>0</v>
      </c>
      <c r="BY74" s="27">
        <v>0</v>
      </c>
      <c r="BZ74" s="27">
        <v>0.33458177278401996</v>
      </c>
      <c r="CA74" s="27">
        <v>0.67558528428093645</v>
      </c>
      <c r="CB74" s="27">
        <v>0.69477234401349075</v>
      </c>
      <c r="CC74" s="27">
        <v>0.61912751677852351</v>
      </c>
      <c r="CD74" s="27">
        <v>0.6081330868761553</v>
      </c>
      <c r="CE74" s="27">
        <v>0.63502109704641352</v>
      </c>
      <c r="CI74" s="27">
        <v>0</v>
      </c>
      <c r="CJ74" s="27">
        <v>3.9619651347068144E-2</v>
      </c>
      <c r="CK74" s="27">
        <v>0.24809160305343511</v>
      </c>
      <c r="CL74" s="27">
        <v>0.34361233480176212</v>
      </c>
      <c r="CM74" s="27">
        <v>0.40174672489082969</v>
      </c>
      <c r="CN74" s="27">
        <v>0.33047210300429186</v>
      </c>
      <c r="CO74" s="27">
        <v>0.40609137055837563</v>
      </c>
    </row>
    <row r="75" spans="2:93" x14ac:dyDescent="0.2">
      <c r="B75" s="25">
        <v>0</v>
      </c>
      <c r="C75" s="25">
        <v>27</v>
      </c>
      <c r="D75" s="25">
        <v>87</v>
      </c>
      <c r="E75" s="25">
        <v>85</v>
      </c>
      <c r="F75" s="25">
        <v>66</v>
      </c>
      <c r="G75" s="25">
        <v>46</v>
      </c>
      <c r="H75" s="25">
        <v>18</v>
      </c>
      <c r="K75" s="27">
        <v>0</v>
      </c>
      <c r="L75" s="27">
        <v>10</v>
      </c>
      <c r="M75" s="27">
        <v>9</v>
      </c>
      <c r="N75" s="27">
        <v>8</v>
      </c>
      <c r="O75" s="27">
        <v>0</v>
      </c>
      <c r="P75" s="27">
        <v>19</v>
      </c>
      <c r="Q75" s="27">
        <v>0</v>
      </c>
      <c r="R75" s="27">
        <v>0</v>
      </c>
      <c r="S75" s="27">
        <v>26</v>
      </c>
      <c r="T75" s="27">
        <v>22</v>
      </c>
      <c r="U75" s="27">
        <v>0</v>
      </c>
      <c r="X75" s="27">
        <v>0.21279999999999999</v>
      </c>
      <c r="Y75" s="27">
        <v>0.36940000000000001</v>
      </c>
      <c r="Z75" s="27">
        <v>0.1326</v>
      </c>
      <c r="AA75" s="27">
        <v>3.1800000000000002E-2</v>
      </c>
      <c r="AB75" s="27">
        <v>4.6399999999999997E-2</v>
      </c>
      <c r="AC75" s="27">
        <v>0.20699999999999999</v>
      </c>
      <c r="AF75" s="27">
        <v>0</v>
      </c>
      <c r="AG75" s="27">
        <v>2.1541950113378686E-2</v>
      </c>
      <c r="AH75" s="27">
        <v>6.4593301435406703E-2</v>
      </c>
      <c r="AI75" s="27">
        <v>7.3913043478260873E-2</v>
      </c>
      <c r="AJ75" s="27">
        <v>5.7142857142857141E-2</v>
      </c>
      <c r="AK75" s="27">
        <v>2.8683181225554105E-2</v>
      </c>
      <c r="AL75" s="27">
        <v>2.9197080291970801E-3</v>
      </c>
      <c r="AP75" s="27">
        <v>0</v>
      </c>
      <c r="AQ75" s="27">
        <v>1.8726591760299626E-2</v>
      </c>
      <c r="AR75" s="27">
        <v>5.9308072487644151E-2</v>
      </c>
      <c r="AS75" s="27">
        <v>8.8541666666666671E-2</v>
      </c>
      <c r="AT75" s="27">
        <v>8.4048027444253853E-2</v>
      </c>
      <c r="AU75" s="27">
        <v>9.3109869646182494E-2</v>
      </c>
      <c r="AV75" s="27">
        <v>0.10483870967741936</v>
      </c>
      <c r="AW75" s="27">
        <v>7.0277777777777772E-2</v>
      </c>
      <c r="AX75" s="27">
        <v>217</v>
      </c>
      <c r="BA75" s="27">
        <v>0</v>
      </c>
      <c r="BB75" s="27">
        <v>0.53846153846153844</v>
      </c>
      <c r="BC75" s="27">
        <v>0.73563218390804597</v>
      </c>
      <c r="BD75" s="27">
        <v>0.76767676767676762</v>
      </c>
      <c r="BE75" s="27">
        <v>0.6619718309859155</v>
      </c>
      <c r="BF75" s="27">
        <v>0.65625</v>
      </c>
      <c r="BG75" s="27">
        <v>0.2857142857142857</v>
      </c>
      <c r="BH75" s="27">
        <v>0.68128654970760238</v>
      </c>
      <c r="BK75" s="27">
        <v>4.1027326797343888E-2</v>
      </c>
      <c r="BL75" s="27">
        <v>7.0523914864027079E-2</v>
      </c>
      <c r="BM75" s="27">
        <v>7.0710301862313155E-2</v>
      </c>
      <c r="BN75" s="27">
        <v>0.81773845647631593</v>
      </c>
      <c r="BR75" s="27">
        <v>0.37993920972644379</v>
      </c>
      <c r="BS75" s="27">
        <v>0.68435300487276662</v>
      </c>
      <c r="BT75" s="27">
        <v>0.60461285008237231</v>
      </c>
      <c r="BU75" s="27">
        <v>0.59748427672955973</v>
      </c>
      <c r="BV75" s="27">
        <v>0</v>
      </c>
      <c r="BY75" s="27">
        <v>0</v>
      </c>
      <c r="BZ75" s="27">
        <v>0.3595505617977528</v>
      </c>
      <c r="CA75" s="27">
        <v>0.66721581548599673</v>
      </c>
      <c r="CB75" s="27">
        <v>0.66840277777777779</v>
      </c>
      <c r="CC75" s="27">
        <v>0.65180102915951976</v>
      </c>
      <c r="CD75" s="27">
        <v>0.61266294227188078</v>
      </c>
      <c r="CE75" s="27">
        <v>0.63306451612903225</v>
      </c>
      <c r="CI75" s="27">
        <v>0</v>
      </c>
      <c r="CJ75" s="27">
        <v>5.2631578947368418E-2</v>
      </c>
      <c r="CK75" s="27">
        <v>0.21072796934865901</v>
      </c>
      <c r="CL75" s="27">
        <v>0.388646288209607</v>
      </c>
      <c r="CM75" s="27">
        <v>0.35909090909090907</v>
      </c>
      <c r="CN75" s="27">
        <v>0.34210526315789475</v>
      </c>
      <c r="CO75" s="27">
        <v>0.42328042328042326</v>
      </c>
    </row>
    <row r="76" spans="2:93" x14ac:dyDescent="0.2">
      <c r="B76" s="25">
        <v>0</v>
      </c>
      <c r="C76" s="25">
        <v>24</v>
      </c>
      <c r="D76" s="25">
        <v>61</v>
      </c>
      <c r="E76" s="25">
        <v>87</v>
      </c>
      <c r="F76" s="25">
        <v>74</v>
      </c>
      <c r="G76" s="25">
        <v>26</v>
      </c>
      <c r="H76" s="25">
        <v>12</v>
      </c>
      <c r="K76" s="27">
        <v>0</v>
      </c>
      <c r="L76" s="27">
        <v>7</v>
      </c>
      <c r="M76" s="27">
        <v>10</v>
      </c>
      <c r="N76" s="27">
        <v>5</v>
      </c>
      <c r="O76" s="27">
        <v>0</v>
      </c>
      <c r="P76" s="27">
        <v>22</v>
      </c>
      <c r="Q76" s="27">
        <v>0</v>
      </c>
      <c r="R76" s="27">
        <v>0</v>
      </c>
      <c r="S76" s="27">
        <v>26</v>
      </c>
      <c r="T76" s="27">
        <v>30</v>
      </c>
      <c r="U76" s="27">
        <v>0</v>
      </c>
      <c r="X76" s="27">
        <v>0.2132</v>
      </c>
      <c r="Y76" s="27">
        <v>0.37459999999999999</v>
      </c>
      <c r="Z76" s="27">
        <v>0.13619999999999999</v>
      </c>
      <c r="AA76" s="27">
        <v>3.3799999999999997E-2</v>
      </c>
      <c r="AB76" s="27">
        <v>4.7600000000000003E-2</v>
      </c>
      <c r="AC76" s="27">
        <v>0.1946</v>
      </c>
      <c r="AF76" s="27">
        <v>0</v>
      </c>
      <c r="AG76" s="27">
        <v>2.3702031602708805E-2</v>
      </c>
      <c r="AH76" s="27">
        <v>7.4162679425837319E-2</v>
      </c>
      <c r="AI76" s="27">
        <v>7.8175895765472306E-2</v>
      </c>
      <c r="AJ76" s="27">
        <v>5.1933701657458566E-2</v>
      </c>
      <c r="AK76" s="27">
        <v>2.7450980392156862E-2</v>
      </c>
      <c r="AL76" s="27">
        <v>4.3668122270742356E-3</v>
      </c>
      <c r="AP76" s="27">
        <v>0</v>
      </c>
      <c r="AQ76" s="27">
        <v>1.858736059479554E-2</v>
      </c>
      <c r="AR76" s="27">
        <v>7.796610169491526E-2</v>
      </c>
      <c r="AS76" s="27">
        <v>0.11073825503355705</v>
      </c>
      <c r="AT76" s="27">
        <v>9.7520661157024791E-2</v>
      </c>
      <c r="AU76" s="27">
        <v>8.990825688073395E-2</v>
      </c>
      <c r="AV76" s="27">
        <v>0.13026052104208416</v>
      </c>
      <c r="AW76" s="27">
        <v>8.2372322899505759E-2</v>
      </c>
      <c r="AX76" s="27">
        <v>226</v>
      </c>
      <c r="BA76" s="27">
        <v>0</v>
      </c>
      <c r="BB76" s="27">
        <v>0.61904761904761907</v>
      </c>
      <c r="BC76" s="27">
        <v>0.72340425531914898</v>
      </c>
      <c r="BD76" s="27">
        <v>0.76724137931034486</v>
      </c>
      <c r="BE76" s="27">
        <v>0.68493150684931503</v>
      </c>
      <c r="BF76" s="27">
        <v>0.5161290322580645</v>
      </c>
      <c r="BG76" s="27">
        <v>0.27777777777777779</v>
      </c>
      <c r="BH76" s="27">
        <v>0.67914438502673802</v>
      </c>
      <c r="BK76" s="27">
        <v>5.4460223944695831E-2</v>
      </c>
      <c r="BL76" s="27">
        <v>6.641734059086353E-2</v>
      </c>
      <c r="BM76" s="27">
        <v>8.2716081525630911E-2</v>
      </c>
      <c r="BN76" s="27">
        <v>0.79640635393880976</v>
      </c>
      <c r="BR76" s="27">
        <v>0.37872763419483102</v>
      </c>
      <c r="BS76" s="27">
        <v>0.68499733048585154</v>
      </c>
      <c r="BT76" s="27">
        <v>0.63636363636363635</v>
      </c>
      <c r="BU76" s="27">
        <v>0.7751479289940828</v>
      </c>
      <c r="BV76" s="27">
        <v>0</v>
      </c>
      <c r="BY76" s="27">
        <v>0</v>
      </c>
      <c r="BZ76" s="27">
        <v>0.3593556381660471</v>
      </c>
      <c r="CA76" s="27">
        <v>0.68813559322033901</v>
      </c>
      <c r="CB76" s="27">
        <v>0.69295302013422821</v>
      </c>
      <c r="CC76" s="27">
        <v>0.62809917355371903</v>
      </c>
      <c r="CD76" s="27">
        <v>0.62935779816513759</v>
      </c>
      <c r="CE76" s="27">
        <v>0.68336673346693388</v>
      </c>
      <c r="CI76" s="27">
        <v>0</v>
      </c>
      <c r="CJ76" s="27">
        <v>4.6178343949044583E-2</v>
      </c>
      <c r="CK76" s="27">
        <v>0.26639344262295084</v>
      </c>
      <c r="CL76" s="27">
        <v>0.37704918032786883</v>
      </c>
      <c r="CM76" s="27">
        <v>0.3559322033898305</v>
      </c>
      <c r="CN76" s="27">
        <v>0.3364485981308411</v>
      </c>
      <c r="CO76" s="27">
        <v>0.40196078431372551</v>
      </c>
    </row>
    <row r="77" spans="2:93" x14ac:dyDescent="0.2">
      <c r="B77" s="25">
        <v>0</v>
      </c>
      <c r="C77" s="25">
        <v>24</v>
      </c>
      <c r="D77" s="25">
        <v>79</v>
      </c>
      <c r="E77" s="25">
        <v>86</v>
      </c>
      <c r="F77" s="25">
        <v>68</v>
      </c>
      <c r="G77" s="25">
        <v>16</v>
      </c>
      <c r="H77" s="25">
        <v>15</v>
      </c>
      <c r="K77" s="27">
        <v>0</v>
      </c>
      <c r="L77" s="27">
        <v>7</v>
      </c>
      <c r="M77" s="27">
        <v>10</v>
      </c>
      <c r="N77" s="27">
        <v>11</v>
      </c>
      <c r="O77" s="27">
        <v>0</v>
      </c>
      <c r="P77" s="27">
        <v>22</v>
      </c>
      <c r="Q77" s="27">
        <v>1</v>
      </c>
      <c r="R77" s="27">
        <v>0</v>
      </c>
      <c r="S77" s="27">
        <v>25</v>
      </c>
      <c r="T77" s="27">
        <v>24</v>
      </c>
      <c r="U77" s="27">
        <v>0</v>
      </c>
      <c r="X77" s="27">
        <v>0.2092</v>
      </c>
      <c r="Y77" s="27">
        <v>0.3614</v>
      </c>
      <c r="Z77" s="27">
        <v>0.14660000000000001</v>
      </c>
      <c r="AA77" s="27">
        <v>3.1399999999999997E-2</v>
      </c>
      <c r="AB77" s="27">
        <v>4.1000000000000002E-2</v>
      </c>
      <c r="AC77" s="27">
        <v>0.2104</v>
      </c>
      <c r="AF77" s="27">
        <v>0</v>
      </c>
      <c r="AG77" s="27">
        <v>1.9230769230769232E-2</v>
      </c>
      <c r="AH77" s="27">
        <v>6.4285714285714279E-2</v>
      </c>
      <c r="AI77" s="27">
        <v>5.1142546245919476E-2</v>
      </c>
      <c r="AJ77" s="27">
        <v>4.9504950495049507E-2</v>
      </c>
      <c r="AK77" s="27">
        <v>2.2309711286089239E-2</v>
      </c>
      <c r="AL77" s="27">
        <v>1.020408163265306E-2</v>
      </c>
      <c r="AP77" s="27">
        <v>0</v>
      </c>
      <c r="AQ77" s="27">
        <v>3.1133250311332503E-2</v>
      </c>
      <c r="AR77" s="27">
        <v>8.0267558528428096E-2</v>
      </c>
      <c r="AS77" s="27">
        <v>0.11538461538461539</v>
      </c>
      <c r="AT77" s="27">
        <v>9.6219931271477668E-2</v>
      </c>
      <c r="AU77" s="27">
        <v>7.6635514018691592E-2</v>
      </c>
      <c r="AV77" s="27">
        <v>0.11041666666666666</v>
      </c>
      <c r="AW77" s="27">
        <v>8.1201334816462731E-2</v>
      </c>
      <c r="AX77" s="27">
        <v>187</v>
      </c>
      <c r="BA77" s="27">
        <v>0</v>
      </c>
      <c r="BB77" s="27">
        <v>0.51428571428571423</v>
      </c>
      <c r="BC77" s="27">
        <v>0.67</v>
      </c>
      <c r="BD77" s="27">
        <v>0.69767441860465118</v>
      </c>
      <c r="BE77" s="27">
        <v>0.6966292134831461</v>
      </c>
      <c r="BF77" s="27">
        <v>0.57692307692307687</v>
      </c>
      <c r="BG77" s="27">
        <v>0.34782608695652173</v>
      </c>
      <c r="BH77" s="27">
        <v>0.64066852367688021</v>
      </c>
      <c r="BK77" s="27">
        <v>4.0970145191748748E-2</v>
      </c>
      <c r="BL77" s="27">
        <v>7.8937144105291235E-2</v>
      </c>
      <c r="BM77" s="27">
        <v>7.1823026359367215E-2</v>
      </c>
      <c r="BN77" s="27">
        <v>0.80826968434359281</v>
      </c>
      <c r="BR77" s="27">
        <v>0.41002044989775049</v>
      </c>
      <c r="BS77" s="27">
        <v>0.70337576092971776</v>
      </c>
      <c r="BT77" s="27">
        <v>0.61620795107033643</v>
      </c>
      <c r="BU77" s="27">
        <v>0.6560509554140127</v>
      </c>
      <c r="BV77" s="27">
        <v>0</v>
      </c>
      <c r="BY77" s="27">
        <v>0</v>
      </c>
      <c r="BZ77" s="27">
        <v>0.39352428393524286</v>
      </c>
      <c r="CA77" s="27">
        <v>0.66387959866220736</v>
      </c>
      <c r="CB77" s="27">
        <v>0.69397993311036787</v>
      </c>
      <c r="CC77" s="27">
        <v>0.65979381443298968</v>
      </c>
      <c r="CD77" s="27">
        <v>0.6485981308411215</v>
      </c>
      <c r="CE77" s="27">
        <v>0.6645833333333333</v>
      </c>
      <c r="CI77" s="27">
        <v>0</v>
      </c>
      <c r="CJ77" s="27">
        <v>5.9842519685039369E-2</v>
      </c>
      <c r="CK77" s="27">
        <v>0.31716417910447764</v>
      </c>
      <c r="CL77" s="27">
        <v>0.42358078602620086</v>
      </c>
      <c r="CM77" s="27">
        <v>0.3925619834710744</v>
      </c>
      <c r="CN77" s="27">
        <v>0.34722222222222221</v>
      </c>
      <c r="CO77" s="27">
        <v>0.36499999999999999</v>
      </c>
    </row>
    <row r="78" spans="2:93" x14ac:dyDescent="0.2">
      <c r="B78" s="25">
        <v>0</v>
      </c>
      <c r="C78" s="25">
        <v>28</v>
      </c>
      <c r="D78" s="25">
        <v>76</v>
      </c>
      <c r="E78" s="25">
        <v>88</v>
      </c>
      <c r="F78" s="25">
        <v>63</v>
      </c>
      <c r="G78" s="25">
        <v>34</v>
      </c>
      <c r="H78" s="25">
        <v>13</v>
      </c>
      <c r="K78" s="27">
        <v>0</v>
      </c>
      <c r="L78" s="27">
        <v>4</v>
      </c>
      <c r="M78" s="27">
        <v>11</v>
      </c>
      <c r="N78" s="27">
        <v>4</v>
      </c>
      <c r="O78" s="27">
        <v>0</v>
      </c>
      <c r="P78" s="27">
        <v>17</v>
      </c>
      <c r="Q78" s="27">
        <v>0</v>
      </c>
      <c r="R78" s="27">
        <v>0</v>
      </c>
      <c r="S78" s="27">
        <v>22</v>
      </c>
      <c r="T78" s="27">
        <v>23</v>
      </c>
      <c r="U78" s="27">
        <v>0</v>
      </c>
      <c r="X78" s="27">
        <v>0.20860000000000001</v>
      </c>
      <c r="Y78" s="27">
        <v>0.38200000000000001</v>
      </c>
      <c r="Z78" s="27">
        <v>0.13100000000000001</v>
      </c>
      <c r="AA78" s="27">
        <v>3.4000000000000002E-2</v>
      </c>
      <c r="AB78" s="27">
        <v>4.2799999999999998E-2</v>
      </c>
      <c r="AC78" s="27">
        <v>0.2016</v>
      </c>
      <c r="AF78" s="27">
        <v>0</v>
      </c>
      <c r="AG78" s="27">
        <v>2.4774774774774775E-2</v>
      </c>
      <c r="AH78" s="27">
        <v>6.5710872162485071E-2</v>
      </c>
      <c r="AI78" s="27">
        <v>6.2159214830970554E-2</v>
      </c>
      <c r="AJ78" s="27">
        <v>5.2863436123348019E-2</v>
      </c>
      <c r="AK78" s="27">
        <v>1.4360313315926894E-2</v>
      </c>
      <c r="AL78" s="27">
        <v>1.023391812865497E-2</v>
      </c>
      <c r="AP78" s="27">
        <v>0</v>
      </c>
      <c r="AQ78" s="27">
        <v>2.1250000000000002E-2</v>
      </c>
      <c r="AR78" s="27">
        <v>6.4039408866995079E-2</v>
      </c>
      <c r="AS78" s="27">
        <v>0.10082644628099173</v>
      </c>
      <c r="AT78" s="27">
        <v>7.8947368421052627E-2</v>
      </c>
      <c r="AU78" s="27">
        <v>9.3922651933701654E-2</v>
      </c>
      <c r="AV78" s="27">
        <v>0.11949685534591195</v>
      </c>
      <c r="AW78" s="27">
        <v>7.4958813838550242E-2</v>
      </c>
      <c r="AX78" s="27">
        <v>200</v>
      </c>
      <c r="BA78" s="27">
        <v>0</v>
      </c>
      <c r="BB78" s="27">
        <v>0.63636363636363635</v>
      </c>
      <c r="BC78" s="27">
        <v>0.67816091954022983</v>
      </c>
      <c r="BD78" s="27">
        <v>0.68674698795180722</v>
      </c>
      <c r="BE78" s="27">
        <v>0.71232876712328763</v>
      </c>
      <c r="BF78" s="27">
        <v>0.58823529411764708</v>
      </c>
      <c r="BG78" s="27">
        <v>0.23076923076923078</v>
      </c>
      <c r="BH78" s="27">
        <v>0.64242424242424245</v>
      </c>
      <c r="BK78" s="27">
        <v>3.5976481578925322E-2</v>
      </c>
      <c r="BL78" s="27">
        <v>5.5998949893132081E-2</v>
      </c>
      <c r="BM78" s="27">
        <v>8.255505057400421E-2</v>
      </c>
      <c r="BN78" s="27">
        <v>0.8254695179539383</v>
      </c>
      <c r="BR78" s="27">
        <v>0.3889457523029683</v>
      </c>
      <c r="BS78" s="27">
        <v>0.67486910994764393</v>
      </c>
      <c r="BT78" s="27">
        <v>0.58361774744027306</v>
      </c>
      <c r="BU78" s="27">
        <v>0.7100591715976331</v>
      </c>
      <c r="BV78" s="27">
        <v>0</v>
      </c>
      <c r="BY78" s="27">
        <v>0</v>
      </c>
      <c r="BZ78" s="27">
        <v>0.35375000000000001</v>
      </c>
      <c r="CA78" s="27">
        <v>0.64860426929392445</v>
      </c>
      <c r="CB78" s="27">
        <v>0.71404958677685948</v>
      </c>
      <c r="CC78" s="27">
        <v>0.62335526315789469</v>
      </c>
      <c r="CD78" s="27">
        <v>0.61510128913443829</v>
      </c>
      <c r="CE78" s="27">
        <v>0.64570230607966461</v>
      </c>
      <c r="CI78" s="27">
        <v>0</v>
      </c>
      <c r="CJ78" s="27">
        <v>4.8231511254019289E-2</v>
      </c>
      <c r="CK78" s="27">
        <v>0.2441860465116279</v>
      </c>
      <c r="CL78" s="27">
        <v>0.37219730941704038</v>
      </c>
      <c r="CM78" s="27">
        <v>0.33185840707964603</v>
      </c>
      <c r="CN78" s="27">
        <v>0.39819004524886875</v>
      </c>
      <c r="CO78" s="27">
        <v>0.40760869565217389</v>
      </c>
    </row>
    <row r="79" spans="2:93" x14ac:dyDescent="0.2">
      <c r="B79" s="25">
        <v>0</v>
      </c>
      <c r="C79" s="25">
        <v>26</v>
      </c>
      <c r="D79" s="25">
        <v>73</v>
      </c>
      <c r="E79" s="25">
        <v>76</v>
      </c>
      <c r="F79" s="25">
        <v>56</v>
      </c>
      <c r="G79" s="25">
        <v>30</v>
      </c>
      <c r="H79" s="25">
        <v>17</v>
      </c>
      <c r="K79" s="27">
        <v>0</v>
      </c>
      <c r="L79" s="27">
        <v>4</v>
      </c>
      <c r="M79" s="27">
        <v>10</v>
      </c>
      <c r="N79" s="27">
        <v>11</v>
      </c>
      <c r="O79" s="27">
        <v>0</v>
      </c>
      <c r="P79" s="27">
        <v>18</v>
      </c>
      <c r="Q79" s="27">
        <v>0</v>
      </c>
      <c r="R79" s="27">
        <v>0</v>
      </c>
      <c r="S79" s="27">
        <v>19</v>
      </c>
      <c r="T79" s="27">
        <v>20</v>
      </c>
      <c r="U79" s="27">
        <v>0</v>
      </c>
      <c r="X79" s="27">
        <v>0.20699999999999999</v>
      </c>
      <c r="Y79" s="27">
        <v>0.37040000000000001</v>
      </c>
      <c r="Z79" s="27">
        <v>0.13320000000000001</v>
      </c>
      <c r="AA79" s="27">
        <v>3.6799999999999999E-2</v>
      </c>
      <c r="AB79" s="27">
        <v>4.5400000000000003E-2</v>
      </c>
      <c r="AC79" s="27">
        <v>0.2072</v>
      </c>
      <c r="AF79" s="27">
        <v>0</v>
      </c>
      <c r="AG79" s="27">
        <v>2.4830699774266364E-2</v>
      </c>
      <c r="AH79" s="27">
        <v>5.7553956834532377E-2</v>
      </c>
      <c r="AI79" s="27">
        <v>7.407407407407407E-2</v>
      </c>
      <c r="AJ79" s="27">
        <v>6.2706270627062702E-2</v>
      </c>
      <c r="AK79" s="27">
        <v>1.6971279373368148E-2</v>
      </c>
      <c r="AL79" s="27">
        <v>4.3668122270742356E-3</v>
      </c>
      <c r="AP79" s="27">
        <v>0</v>
      </c>
      <c r="AQ79" s="27">
        <v>2.1437578814627996E-2</v>
      </c>
      <c r="AR79" s="27">
        <v>5.0653594771241831E-2</v>
      </c>
      <c r="AS79" s="27">
        <v>9.0277777777777776E-2</v>
      </c>
      <c r="AT79" s="27">
        <v>8.5714285714285715E-2</v>
      </c>
      <c r="AU79" s="27">
        <v>8.1439393939393936E-2</v>
      </c>
      <c r="AV79" s="27">
        <v>9.7107438016528921E-2</v>
      </c>
      <c r="AW79" s="27">
        <v>6.7168338907469344E-2</v>
      </c>
      <c r="AX79" s="27">
        <v>211</v>
      </c>
      <c r="BA79" s="27">
        <v>0</v>
      </c>
      <c r="BB79" s="27">
        <v>0.57499999999999996</v>
      </c>
      <c r="BC79" s="27">
        <v>0.6853932584269663</v>
      </c>
      <c r="BD79" s="27">
        <v>0.75257731958762886</v>
      </c>
      <c r="BE79" s="27">
        <v>0.74117647058823533</v>
      </c>
      <c r="BF79" s="27">
        <v>0.6</v>
      </c>
      <c r="BG79" s="27">
        <v>0.17647058823529413</v>
      </c>
      <c r="BH79" s="27">
        <v>0.67422096317280455</v>
      </c>
      <c r="BK79" s="27">
        <v>5.7298236435393064E-2</v>
      </c>
      <c r="BL79" s="27">
        <v>6.2589145047746209E-2</v>
      </c>
      <c r="BM79" s="27">
        <v>8.1214630940489405E-2</v>
      </c>
      <c r="BN79" s="27">
        <v>0.79889798757637132</v>
      </c>
      <c r="BR79" s="27">
        <v>0.40269151138716358</v>
      </c>
      <c r="BS79" s="27">
        <v>0.69114470842332609</v>
      </c>
      <c r="BT79" s="27">
        <v>0.61774744027303752</v>
      </c>
      <c r="BU79" s="27">
        <v>0.55978260869565222</v>
      </c>
      <c r="BV79" s="27">
        <v>0</v>
      </c>
      <c r="BY79" s="27">
        <v>0</v>
      </c>
      <c r="BZ79" s="27">
        <v>0.36696090794451452</v>
      </c>
      <c r="CA79" s="27">
        <v>0.67156862745098034</v>
      </c>
      <c r="CB79" s="27">
        <v>0.703125</v>
      </c>
      <c r="CC79" s="27">
        <v>0.64369747899159668</v>
      </c>
      <c r="CD79" s="27">
        <v>0.61553030303030298</v>
      </c>
      <c r="CE79" s="27">
        <v>0.65909090909090906</v>
      </c>
      <c r="CI79" s="27">
        <v>0</v>
      </c>
      <c r="CJ79" s="27">
        <v>5.2631578947368418E-2</v>
      </c>
      <c r="CK79" s="27">
        <v>0.23308270676691728</v>
      </c>
      <c r="CL79" s="27">
        <v>0.43181818181818182</v>
      </c>
      <c r="CM79" s="27">
        <v>0.38392857142857145</v>
      </c>
      <c r="CN79" s="27">
        <v>0.33936651583710409</v>
      </c>
      <c r="CO79" s="27">
        <v>0.40109890109890112</v>
      </c>
    </row>
    <row r="80" spans="2:93" x14ac:dyDescent="0.2">
      <c r="B80" s="25">
        <v>0</v>
      </c>
      <c r="C80" s="25">
        <v>27</v>
      </c>
      <c r="D80" s="25">
        <v>67</v>
      </c>
      <c r="E80" s="25">
        <v>71</v>
      </c>
      <c r="F80" s="25">
        <v>63</v>
      </c>
      <c r="G80" s="25">
        <v>37</v>
      </c>
      <c r="H80" s="25">
        <v>15</v>
      </c>
      <c r="K80" s="27">
        <v>3</v>
      </c>
      <c r="L80" s="27">
        <v>5</v>
      </c>
      <c r="M80" s="27">
        <v>11</v>
      </c>
      <c r="N80" s="27">
        <v>9</v>
      </c>
      <c r="O80" s="27">
        <v>0</v>
      </c>
      <c r="P80" s="27">
        <v>17</v>
      </c>
      <c r="Q80" s="27">
        <v>0</v>
      </c>
      <c r="R80" s="27">
        <v>0</v>
      </c>
      <c r="S80" s="27">
        <v>22</v>
      </c>
      <c r="T80" s="27">
        <v>18</v>
      </c>
      <c r="U80" s="27">
        <v>0</v>
      </c>
      <c r="X80" s="27">
        <v>0.21199999999999999</v>
      </c>
      <c r="Y80" s="27">
        <v>0.372</v>
      </c>
      <c r="Z80" s="27">
        <v>0.13639999999999999</v>
      </c>
      <c r="AA80" s="27">
        <v>3.0599999999999999E-2</v>
      </c>
      <c r="AB80" s="27">
        <v>3.8199999999999998E-2</v>
      </c>
      <c r="AC80" s="27">
        <v>0.21079999999999999</v>
      </c>
      <c r="AF80" s="27">
        <v>0</v>
      </c>
      <c r="AG80" s="27">
        <v>2.4774774774774775E-2</v>
      </c>
      <c r="AH80" s="27">
        <v>6.2200956937799042E-2</v>
      </c>
      <c r="AI80" s="27">
        <v>5.6644880174291937E-2</v>
      </c>
      <c r="AJ80" s="27">
        <v>4.1758241758241756E-2</v>
      </c>
      <c r="AK80" s="27">
        <v>1.4360313315926894E-2</v>
      </c>
      <c r="AL80" s="27">
        <v>7.331378299120235E-3</v>
      </c>
      <c r="AP80" s="27">
        <v>0</v>
      </c>
      <c r="AQ80" s="27">
        <v>1.9950124688279301E-2</v>
      </c>
      <c r="AR80" s="27">
        <v>6.7545304777594725E-2</v>
      </c>
      <c r="AS80" s="27">
        <v>9.1362126245847178E-2</v>
      </c>
      <c r="AT80" s="27">
        <v>9.0759075907590761E-2</v>
      </c>
      <c r="AU80" s="27">
        <v>9.4339622641509441E-2</v>
      </c>
      <c r="AV80" s="27">
        <v>0.11839323467230443</v>
      </c>
      <c r="AW80" s="27">
        <v>7.5414364640883982E-2</v>
      </c>
      <c r="AX80" s="27">
        <v>180</v>
      </c>
      <c r="BA80" s="27">
        <v>0</v>
      </c>
      <c r="BB80" s="27">
        <v>0.56521739130434778</v>
      </c>
      <c r="BC80" s="27">
        <v>0.6292134831460674</v>
      </c>
      <c r="BD80" s="27">
        <v>0.79012345679012341</v>
      </c>
      <c r="BE80" s="27">
        <v>0.6</v>
      </c>
      <c r="BF80" s="27">
        <v>0.59090909090909094</v>
      </c>
      <c r="BG80" s="27">
        <v>0.47058823529411764</v>
      </c>
      <c r="BH80" s="27">
        <v>0.6430769230769231</v>
      </c>
      <c r="BK80" s="27">
        <v>5.1597192018469178E-2</v>
      </c>
      <c r="BL80" s="27">
        <v>5.4651660723016596E-2</v>
      </c>
      <c r="BM80" s="27">
        <v>9.4787555410157889E-2</v>
      </c>
      <c r="BN80" s="27">
        <v>0.7989635918483563</v>
      </c>
      <c r="BR80" s="27">
        <v>0.38253012048192769</v>
      </c>
      <c r="BS80" s="27">
        <v>0.68333333333333335</v>
      </c>
      <c r="BT80" s="27">
        <v>0.62029459901800332</v>
      </c>
      <c r="BU80" s="27">
        <v>0.64052287581699341</v>
      </c>
      <c r="BV80" s="27">
        <v>0</v>
      </c>
      <c r="BY80" s="27">
        <v>0</v>
      </c>
      <c r="BZ80" s="27">
        <v>0.34164588528678302</v>
      </c>
      <c r="CA80" s="27">
        <v>0.64250411861614498</v>
      </c>
      <c r="CB80" s="27">
        <v>0.70930232558139539</v>
      </c>
      <c r="CC80" s="27">
        <v>0.66831683168316836</v>
      </c>
      <c r="CD80" s="27">
        <v>0.6132075471698113</v>
      </c>
      <c r="CE80" s="27">
        <v>0.65116279069767447</v>
      </c>
      <c r="CI80" s="27">
        <v>0</v>
      </c>
      <c r="CJ80" s="27">
        <v>4.746835443037975E-2</v>
      </c>
      <c r="CK80" s="27">
        <v>0.25367647058823528</v>
      </c>
      <c r="CL80" s="27">
        <v>0.4009216589861751</v>
      </c>
      <c r="CM80" s="27">
        <v>0.34632034632034631</v>
      </c>
      <c r="CN80" s="27">
        <v>0.37674418604651161</v>
      </c>
      <c r="CO80" s="27">
        <v>0.41</v>
      </c>
    </row>
    <row r="81" spans="2:93" x14ac:dyDescent="0.2">
      <c r="B81" s="25">
        <v>0</v>
      </c>
      <c r="C81" s="25">
        <v>38</v>
      </c>
      <c r="D81" s="25">
        <v>62</v>
      </c>
      <c r="E81" s="25">
        <v>57</v>
      </c>
      <c r="F81" s="25">
        <v>75</v>
      </c>
      <c r="G81" s="25">
        <v>25</v>
      </c>
      <c r="H81" s="25">
        <v>7</v>
      </c>
      <c r="K81" s="27">
        <v>0</v>
      </c>
      <c r="L81" s="27">
        <v>5</v>
      </c>
      <c r="M81" s="27">
        <v>10</v>
      </c>
      <c r="N81" s="27">
        <v>7</v>
      </c>
      <c r="O81" s="27">
        <v>0</v>
      </c>
      <c r="P81" s="27">
        <v>20</v>
      </c>
      <c r="Q81" s="27">
        <v>0</v>
      </c>
      <c r="R81" s="27">
        <v>0</v>
      </c>
      <c r="S81" s="27">
        <v>24</v>
      </c>
      <c r="T81" s="27">
        <v>38</v>
      </c>
      <c r="U81" s="27">
        <v>0</v>
      </c>
      <c r="X81" s="27">
        <v>0.20899999999999999</v>
      </c>
      <c r="Y81" s="27">
        <v>0.37</v>
      </c>
      <c r="Z81" s="27">
        <v>0.1386</v>
      </c>
      <c r="AA81" s="27">
        <v>3.1800000000000002E-2</v>
      </c>
      <c r="AB81" s="27">
        <v>4.6199999999999998E-2</v>
      </c>
      <c r="AC81" s="27">
        <v>0.2044</v>
      </c>
      <c r="AF81" s="27">
        <v>0</v>
      </c>
      <c r="AG81" s="27">
        <v>2.0316027088036117E-2</v>
      </c>
      <c r="AH81" s="27">
        <v>6.9212410501193311E-2</v>
      </c>
      <c r="AI81" s="27">
        <v>7.0652173913043473E-2</v>
      </c>
      <c r="AJ81" s="27">
        <v>5.9602649006622516E-2</v>
      </c>
      <c r="AK81" s="27">
        <v>2.3529411764705882E-2</v>
      </c>
      <c r="AL81" s="27">
        <v>5.8394160583941602E-3</v>
      </c>
      <c r="AP81" s="27">
        <v>0</v>
      </c>
      <c r="AQ81" s="27">
        <v>1.9753086419753086E-2</v>
      </c>
      <c r="AR81" s="27">
        <v>6.2080536912751678E-2</v>
      </c>
      <c r="AS81" s="27">
        <v>8.1632653061224483E-2</v>
      </c>
      <c r="AT81" s="27">
        <v>9.6718480138169263E-2</v>
      </c>
      <c r="AU81" s="27">
        <v>0.10377358490566038</v>
      </c>
      <c r="AV81" s="27">
        <v>0.11201629327902241</v>
      </c>
      <c r="AW81" s="27">
        <v>7.4290484140233717E-2</v>
      </c>
      <c r="AX81" s="27">
        <v>217</v>
      </c>
      <c r="BA81" s="27">
        <v>0</v>
      </c>
      <c r="BB81" s="27">
        <v>0.65</v>
      </c>
      <c r="BC81" s="27">
        <v>0.651685393258427</v>
      </c>
      <c r="BD81" s="27">
        <v>0.66981132075471694</v>
      </c>
      <c r="BE81" s="27">
        <v>0.61538461538461542</v>
      </c>
      <c r="BF81" s="27">
        <v>0.59375</v>
      </c>
      <c r="BG81" s="27">
        <v>0.41666666666666669</v>
      </c>
      <c r="BH81" s="27">
        <v>0.63513513513513509</v>
      </c>
      <c r="BK81" s="27">
        <v>3.5775463165075114E-2</v>
      </c>
      <c r="BL81" s="27">
        <v>7.5456824822310156E-2</v>
      </c>
      <c r="BM81" s="27">
        <v>8.2214367172654276E-2</v>
      </c>
      <c r="BN81" s="27">
        <v>0.80655334483996055</v>
      </c>
      <c r="BR81" s="27">
        <v>0.39031925849639548</v>
      </c>
      <c r="BS81" s="27">
        <v>0.68918918918918914</v>
      </c>
      <c r="BT81" s="27">
        <v>0.62377850162866455</v>
      </c>
      <c r="BU81" s="27">
        <v>0.68553459119496851</v>
      </c>
      <c r="BV81" s="27">
        <v>0</v>
      </c>
      <c r="BY81" s="27">
        <v>0</v>
      </c>
      <c r="BZ81" s="27">
        <v>0.35308641975308641</v>
      </c>
      <c r="CA81" s="27">
        <v>0.69295302013422821</v>
      </c>
      <c r="CB81" s="27">
        <v>0.68027210884353739</v>
      </c>
      <c r="CC81" s="27">
        <v>0.66666666666666663</v>
      </c>
      <c r="CD81" s="27">
        <v>0.64905660377358487</v>
      </c>
      <c r="CE81" s="27">
        <v>0.64562118126272916</v>
      </c>
      <c r="CI81" s="27">
        <v>0</v>
      </c>
      <c r="CJ81" s="27">
        <v>4.4164037854889593E-2</v>
      </c>
      <c r="CK81" s="27">
        <v>0.2265625</v>
      </c>
      <c r="CL81" s="27">
        <v>0.34513274336283184</v>
      </c>
      <c r="CM81" s="27">
        <v>0.37073170731707317</v>
      </c>
      <c r="CN81" s="27">
        <v>0.39534883720930231</v>
      </c>
      <c r="CO81" s="27">
        <v>0.39903846153846156</v>
      </c>
    </row>
    <row r="82" spans="2:93" x14ac:dyDescent="0.2">
      <c r="B82" s="25">
        <v>0</v>
      </c>
      <c r="C82" s="25">
        <v>26</v>
      </c>
      <c r="D82" s="25">
        <v>68</v>
      </c>
      <c r="E82" s="25">
        <v>65</v>
      </c>
      <c r="F82" s="25">
        <v>64</v>
      </c>
      <c r="G82" s="25">
        <v>40</v>
      </c>
      <c r="H82" s="25">
        <v>13</v>
      </c>
      <c r="K82" s="27">
        <v>0</v>
      </c>
      <c r="L82" s="27">
        <v>8</v>
      </c>
      <c r="M82" s="27">
        <v>11</v>
      </c>
      <c r="N82" s="27">
        <v>8</v>
      </c>
      <c r="O82" s="27">
        <v>0</v>
      </c>
      <c r="P82" s="27">
        <v>23</v>
      </c>
      <c r="Q82" s="27">
        <v>1</v>
      </c>
      <c r="R82" s="27">
        <v>0</v>
      </c>
      <c r="S82" s="27">
        <v>26</v>
      </c>
      <c r="T82" s="27">
        <v>19</v>
      </c>
      <c r="U82" s="27">
        <v>0</v>
      </c>
      <c r="X82" s="27">
        <v>0.20660000000000001</v>
      </c>
      <c r="Y82" s="27">
        <v>0.36840000000000001</v>
      </c>
      <c r="Z82" s="27">
        <v>0.13220000000000001</v>
      </c>
      <c r="AA82" s="27">
        <v>2.9600000000000001E-2</v>
      </c>
      <c r="AB82" s="27">
        <v>4.7E-2</v>
      </c>
      <c r="AC82" s="27">
        <v>0.2162</v>
      </c>
      <c r="AF82" s="27">
        <v>0</v>
      </c>
      <c r="AG82" s="27">
        <v>2.7027027027027029E-2</v>
      </c>
      <c r="AH82" s="27">
        <v>5.861244019138756E-2</v>
      </c>
      <c r="AI82" s="27">
        <v>6.7538126361655779E-2</v>
      </c>
      <c r="AJ82" s="27">
        <v>6.7477876106194684E-2</v>
      </c>
      <c r="AK82" s="27">
        <v>1.950585175552666E-2</v>
      </c>
      <c r="AL82" s="27">
        <v>1.4598540145985401E-2</v>
      </c>
      <c r="AP82" s="27">
        <v>0</v>
      </c>
      <c r="AQ82" s="27">
        <v>2.9739776951672861E-2</v>
      </c>
      <c r="AR82" s="27">
        <v>5.8430717863105178E-2</v>
      </c>
      <c r="AS82" s="27">
        <v>8.4048027444253853E-2</v>
      </c>
      <c r="AT82" s="27">
        <v>8.5409252669039148E-2</v>
      </c>
      <c r="AU82" s="27">
        <v>9.9047619047619051E-2</v>
      </c>
      <c r="AV82" s="27">
        <v>9.8765432098765427E-2</v>
      </c>
      <c r="AW82" s="27">
        <v>7.1869736103312751E-2</v>
      </c>
      <c r="AX82" s="27">
        <v>221</v>
      </c>
      <c r="BA82" s="27">
        <v>0</v>
      </c>
      <c r="BB82" s="27">
        <v>0.60526315789473684</v>
      </c>
      <c r="BC82" s="27">
        <v>0.65979381443298968</v>
      </c>
      <c r="BD82" s="27">
        <v>0.62365591397849462</v>
      </c>
      <c r="BE82" s="27">
        <v>0.70408163265306123</v>
      </c>
      <c r="BF82" s="27">
        <v>0.77272727272727271</v>
      </c>
      <c r="BG82" s="27">
        <v>0.40740740740740738</v>
      </c>
      <c r="BH82" s="27">
        <v>0.64533333333333331</v>
      </c>
      <c r="BK82" s="27">
        <v>3.5607649648206667E-2</v>
      </c>
      <c r="BL82" s="27">
        <v>5.4210055872336932E-2</v>
      </c>
      <c r="BM82" s="27">
        <v>7.0392065073201518E-2</v>
      </c>
      <c r="BN82" s="27">
        <v>0.83979022940625492</v>
      </c>
      <c r="BR82" s="27">
        <v>0.37614678899082571</v>
      </c>
      <c r="BS82" s="27">
        <v>0.69598262757871876</v>
      </c>
      <c r="BT82" s="27">
        <v>0.61655405405405406</v>
      </c>
      <c r="BU82" s="27">
        <v>0.73469387755102045</v>
      </c>
      <c r="BV82" s="27">
        <v>0</v>
      </c>
      <c r="BY82" s="27">
        <v>0</v>
      </c>
      <c r="BZ82" s="27">
        <v>0.35192069392812886</v>
      </c>
      <c r="CA82" s="27">
        <v>0.68781302170283809</v>
      </c>
      <c r="CB82" s="27">
        <v>0.69125214408233271</v>
      </c>
      <c r="CC82" s="27">
        <v>0.66903914590747326</v>
      </c>
      <c r="CD82" s="27">
        <v>0.68</v>
      </c>
      <c r="CE82" s="27">
        <v>0.60082304526748975</v>
      </c>
      <c r="CI82" s="27">
        <v>0</v>
      </c>
      <c r="CJ82" s="27">
        <v>5.388272583201268E-2</v>
      </c>
      <c r="CK82" s="27">
        <v>0.22357723577235772</v>
      </c>
      <c r="CL82" s="27">
        <v>0.35159817351598172</v>
      </c>
      <c r="CM82" s="27">
        <v>0.36574074074074076</v>
      </c>
      <c r="CN82" s="27">
        <v>0.38536585365853659</v>
      </c>
      <c r="CO82" s="27">
        <v>0.3671497584541063</v>
      </c>
    </row>
    <row r="83" spans="2:93" x14ac:dyDescent="0.2">
      <c r="B83" s="25">
        <v>0</v>
      </c>
      <c r="C83" s="25">
        <v>28</v>
      </c>
      <c r="D83" s="25">
        <v>84</v>
      </c>
      <c r="E83" s="25">
        <v>84</v>
      </c>
      <c r="F83" s="25">
        <v>56</v>
      </c>
      <c r="G83" s="25">
        <v>38</v>
      </c>
      <c r="H83" s="25">
        <v>12</v>
      </c>
      <c r="K83" s="27">
        <v>0</v>
      </c>
      <c r="L83" s="27">
        <v>4</v>
      </c>
      <c r="M83" s="27">
        <v>9</v>
      </c>
      <c r="N83" s="27">
        <v>10</v>
      </c>
      <c r="O83" s="27">
        <v>0</v>
      </c>
      <c r="P83" s="27">
        <v>23</v>
      </c>
      <c r="Q83" s="27">
        <v>0</v>
      </c>
      <c r="R83" s="27">
        <v>0</v>
      </c>
      <c r="S83" s="27">
        <v>18</v>
      </c>
      <c r="T83" s="27">
        <v>30</v>
      </c>
      <c r="U83" s="27">
        <v>0</v>
      </c>
      <c r="X83" s="27">
        <v>0.21099999999999999</v>
      </c>
      <c r="Y83" s="27">
        <v>0.36980000000000002</v>
      </c>
      <c r="Z83" s="27">
        <v>0.1376</v>
      </c>
      <c r="AA83" s="27">
        <v>3.5000000000000003E-2</v>
      </c>
      <c r="AB83" s="27">
        <v>0.04</v>
      </c>
      <c r="AC83" s="27">
        <v>0.20660000000000001</v>
      </c>
      <c r="AF83" s="27">
        <v>0</v>
      </c>
      <c r="AG83" s="27">
        <v>2.0338983050847456E-2</v>
      </c>
      <c r="AH83" s="27">
        <v>5.4958183990442055E-2</v>
      </c>
      <c r="AI83" s="27">
        <v>6.3387978142076501E-2</v>
      </c>
      <c r="AJ83" s="27">
        <v>5.0605060506050605E-2</v>
      </c>
      <c r="AK83" s="27">
        <v>1.3054830287206266E-2</v>
      </c>
      <c r="AL83" s="27">
        <v>8.7209302325581394E-3</v>
      </c>
      <c r="AP83" s="27">
        <v>0</v>
      </c>
      <c r="AQ83" s="27">
        <v>2.1276595744680851E-2</v>
      </c>
      <c r="AR83" s="27">
        <v>5.5105348460291734E-2</v>
      </c>
      <c r="AS83" s="27">
        <v>8.8480801335559259E-2</v>
      </c>
      <c r="AT83" s="27">
        <v>7.796610169491526E-2</v>
      </c>
      <c r="AU83" s="27">
        <v>9.5840867992766726E-2</v>
      </c>
      <c r="AV83" s="27">
        <v>0.11134453781512606</v>
      </c>
      <c r="AW83" s="27">
        <v>7.0445789763346173E-2</v>
      </c>
      <c r="AX83" s="27">
        <v>184</v>
      </c>
      <c r="BA83" s="27">
        <v>0</v>
      </c>
      <c r="BB83" s="27">
        <v>0.7</v>
      </c>
      <c r="BC83" s="27">
        <v>0.6506024096385542</v>
      </c>
      <c r="BD83" s="27">
        <v>0.68224299065420557</v>
      </c>
      <c r="BE83" s="27">
        <v>0.69863013698630139</v>
      </c>
      <c r="BF83" s="27">
        <v>0.53125</v>
      </c>
      <c r="BG83" s="27">
        <v>0.4</v>
      </c>
      <c r="BH83" s="27">
        <v>0.65428571428571425</v>
      </c>
      <c r="BK83" s="27">
        <v>2.4308890526853331E-2</v>
      </c>
      <c r="BL83" s="27">
        <v>8.0783236976299688E-2</v>
      </c>
      <c r="BM83" s="27">
        <v>8.014674915816708E-2</v>
      </c>
      <c r="BN83" s="27">
        <v>0.81476112333867989</v>
      </c>
      <c r="BR83" s="27">
        <v>0.38994974874371857</v>
      </c>
      <c r="BS83" s="27">
        <v>0.67441860465116277</v>
      </c>
      <c r="BT83" s="27">
        <v>0.62926829268292683</v>
      </c>
      <c r="BU83" s="27">
        <v>0.65142857142857147</v>
      </c>
      <c r="BV83" s="27">
        <v>0</v>
      </c>
      <c r="BY83" s="27">
        <v>0</v>
      </c>
      <c r="BZ83" s="27">
        <v>0.3642052565707134</v>
      </c>
      <c r="CA83" s="27">
        <v>0.68557536466774716</v>
      </c>
      <c r="CB83" s="27">
        <v>0.67779632721201999</v>
      </c>
      <c r="CC83" s="27">
        <v>0.63050847457627124</v>
      </c>
      <c r="CD83" s="27">
        <v>0.63833634719710675</v>
      </c>
      <c r="CE83" s="27">
        <v>0.6113445378151261</v>
      </c>
      <c r="CI83" s="27">
        <v>0</v>
      </c>
      <c r="CJ83" s="27">
        <v>5.0793650793650794E-2</v>
      </c>
      <c r="CK83" s="27">
        <v>0.21851851851851853</v>
      </c>
      <c r="CL83" s="27">
        <v>0.35319148936170214</v>
      </c>
      <c r="CM83" s="27">
        <v>0.33620689655172414</v>
      </c>
      <c r="CN83" s="27">
        <v>0.39473684210526316</v>
      </c>
      <c r="CO83" s="27">
        <v>0.41450777202072536</v>
      </c>
    </row>
    <row r="84" spans="2:93" x14ac:dyDescent="0.2">
      <c r="B84" s="25">
        <v>0</v>
      </c>
      <c r="C84" s="25">
        <v>24</v>
      </c>
      <c r="D84" s="25">
        <v>70</v>
      </c>
      <c r="E84" s="25">
        <v>79</v>
      </c>
      <c r="F84" s="25">
        <v>63</v>
      </c>
      <c r="G84" s="25">
        <v>38</v>
      </c>
      <c r="H84" s="25">
        <v>16</v>
      </c>
      <c r="K84" s="27">
        <v>0</v>
      </c>
      <c r="L84" s="27">
        <v>4</v>
      </c>
      <c r="M84" s="27">
        <v>9</v>
      </c>
      <c r="N84" s="27">
        <v>6</v>
      </c>
      <c r="O84" s="27">
        <v>0</v>
      </c>
      <c r="P84" s="27">
        <v>20</v>
      </c>
      <c r="Q84" s="27">
        <v>0</v>
      </c>
      <c r="R84" s="27">
        <v>0</v>
      </c>
      <c r="S84" s="27">
        <v>26</v>
      </c>
      <c r="T84" s="27">
        <v>23</v>
      </c>
      <c r="U84" s="27">
        <v>0</v>
      </c>
      <c r="X84" s="27">
        <v>0.20660000000000001</v>
      </c>
      <c r="Y84" s="27">
        <v>0.372</v>
      </c>
      <c r="Z84" s="27">
        <v>0.14480000000000001</v>
      </c>
      <c r="AA84" s="27">
        <v>3.2399999999999998E-2</v>
      </c>
      <c r="AB84" s="27">
        <v>4.24E-2</v>
      </c>
      <c r="AC84" s="27">
        <v>0.20180000000000001</v>
      </c>
      <c r="AF84" s="27">
        <v>0</v>
      </c>
      <c r="AG84" s="27">
        <v>1.8120045300113252E-2</v>
      </c>
      <c r="AH84" s="27">
        <v>6.5710872162485071E-2</v>
      </c>
      <c r="AI84" s="27">
        <v>6.0935799782372145E-2</v>
      </c>
      <c r="AJ84" s="27">
        <v>6.3806380638063806E-2</v>
      </c>
      <c r="AK84" s="27">
        <v>1.1749347258485639E-2</v>
      </c>
      <c r="AL84" s="27">
        <v>7.2886297376093291E-3</v>
      </c>
      <c r="AP84" s="27">
        <v>0</v>
      </c>
      <c r="AQ84" s="27">
        <v>1.9925280199252802E-2</v>
      </c>
      <c r="AR84" s="27">
        <v>6.4676616915422883E-2</v>
      </c>
      <c r="AS84" s="27">
        <v>9.9833610648918464E-2</v>
      </c>
      <c r="AT84" s="27">
        <v>0.10942760942760943</v>
      </c>
      <c r="AU84" s="27">
        <v>0.11007462686567164</v>
      </c>
      <c r="AV84" s="27">
        <v>0.11042944785276074</v>
      </c>
      <c r="AW84" s="27">
        <v>8.080529509100938E-2</v>
      </c>
      <c r="AX84" s="27">
        <v>199</v>
      </c>
      <c r="BA84" s="27">
        <v>0</v>
      </c>
      <c r="BB84" s="27">
        <v>0.55172413793103448</v>
      </c>
      <c r="BC84" s="27">
        <v>0.72941176470588232</v>
      </c>
      <c r="BD84" s="27">
        <v>0.69</v>
      </c>
      <c r="BE84" s="27">
        <v>0.62365591397849462</v>
      </c>
      <c r="BF84" s="27">
        <v>0.57894736842105265</v>
      </c>
      <c r="BG84" s="27">
        <v>0.38461538461538464</v>
      </c>
      <c r="BH84" s="27">
        <v>0.65191740412979349</v>
      </c>
      <c r="BK84" s="27">
        <v>3.4265704316870108E-2</v>
      </c>
      <c r="BL84" s="27">
        <v>4.6680872282276298E-2</v>
      </c>
      <c r="BM84" s="27">
        <v>9.0209045994800008E-2</v>
      </c>
      <c r="BN84" s="27">
        <v>0.82884437740605355</v>
      </c>
      <c r="BR84" s="27">
        <v>0.39585492227979274</v>
      </c>
      <c r="BS84" s="27">
        <v>0.67795698924731185</v>
      </c>
      <c r="BT84" s="27">
        <v>0.60876369327073554</v>
      </c>
      <c r="BU84" s="27">
        <v>0.69135802469135799</v>
      </c>
      <c r="BV84" s="27">
        <v>0</v>
      </c>
      <c r="BY84" s="27">
        <v>0</v>
      </c>
      <c r="BZ84" s="27">
        <v>0.34869240348692404</v>
      </c>
      <c r="CA84" s="27">
        <v>0.65174129353233834</v>
      </c>
      <c r="CB84" s="27">
        <v>0.70216306156405994</v>
      </c>
      <c r="CC84" s="27">
        <v>0.65824915824915819</v>
      </c>
      <c r="CD84" s="27">
        <v>0.64738805970149249</v>
      </c>
      <c r="CE84" s="27">
        <v>0.63599182004089982</v>
      </c>
      <c r="CI84" s="27">
        <v>0</v>
      </c>
      <c r="CJ84" s="27">
        <v>4.2993630573248405E-2</v>
      </c>
      <c r="CK84" s="27">
        <v>0.25384615384615383</v>
      </c>
      <c r="CL84" s="27">
        <v>0.36681222707423583</v>
      </c>
      <c r="CM84" s="27">
        <v>0.42608695652173911</v>
      </c>
      <c r="CN84" s="27">
        <v>0.38596491228070173</v>
      </c>
      <c r="CO84" s="27">
        <v>0.45077720207253885</v>
      </c>
    </row>
    <row r="85" spans="2:93" x14ac:dyDescent="0.2">
      <c r="B85" s="25">
        <v>0</v>
      </c>
      <c r="C85" s="25">
        <v>23</v>
      </c>
      <c r="D85" s="25">
        <v>76</v>
      </c>
      <c r="E85" s="25">
        <v>99</v>
      </c>
      <c r="F85" s="25">
        <v>73</v>
      </c>
      <c r="G85" s="25">
        <v>40</v>
      </c>
      <c r="H85" s="25">
        <v>13</v>
      </c>
      <c r="K85" s="27">
        <v>0</v>
      </c>
      <c r="L85" s="27">
        <v>8</v>
      </c>
      <c r="M85" s="27">
        <v>9</v>
      </c>
      <c r="N85" s="27">
        <v>11</v>
      </c>
      <c r="O85" s="27">
        <v>0</v>
      </c>
      <c r="P85" s="27">
        <v>20</v>
      </c>
      <c r="Q85" s="27">
        <v>1</v>
      </c>
      <c r="R85" s="27">
        <v>0</v>
      </c>
      <c r="S85" s="27">
        <v>23</v>
      </c>
      <c r="T85" s="27">
        <v>16</v>
      </c>
      <c r="U85" s="27">
        <v>0</v>
      </c>
      <c r="X85" s="27">
        <v>0.21260000000000001</v>
      </c>
      <c r="Y85" s="27">
        <v>0.37580000000000002</v>
      </c>
      <c r="Z85" s="27">
        <v>0.13320000000000001</v>
      </c>
      <c r="AA85" s="27">
        <v>3.1800000000000002E-2</v>
      </c>
      <c r="AB85" s="27">
        <v>4.1399999999999999E-2</v>
      </c>
      <c r="AC85" s="27">
        <v>0.20519999999999999</v>
      </c>
      <c r="AF85" s="27">
        <v>0</v>
      </c>
      <c r="AG85" s="27">
        <v>1.9144144144144143E-2</v>
      </c>
      <c r="AH85" s="27">
        <v>4.9160671462829736E-2</v>
      </c>
      <c r="AI85" s="27">
        <v>6.9414316702819959E-2</v>
      </c>
      <c r="AJ85" s="27">
        <v>5.3964757709251104E-2</v>
      </c>
      <c r="AK85" s="27">
        <v>1.4360313315926894E-2</v>
      </c>
      <c r="AL85" s="27">
        <v>1.3196480938416423E-2</v>
      </c>
      <c r="AP85" s="27">
        <v>0</v>
      </c>
      <c r="AQ85" s="27">
        <v>1.9826517967781909E-2</v>
      </c>
      <c r="AR85" s="27">
        <v>7.5163398692810454E-2</v>
      </c>
      <c r="AS85" s="27">
        <v>9.7315436241610737E-2</v>
      </c>
      <c r="AT85" s="27">
        <v>8.673469387755102E-2</v>
      </c>
      <c r="AU85" s="27">
        <v>0.10018552875695733</v>
      </c>
      <c r="AV85" s="27">
        <v>0.10183299389002037</v>
      </c>
      <c r="AW85" s="27">
        <v>7.5695017891549685E-2</v>
      </c>
      <c r="AX85" s="27">
        <v>191</v>
      </c>
      <c r="BA85" s="27">
        <v>0</v>
      </c>
      <c r="BB85" s="27">
        <v>0.39534883720930231</v>
      </c>
      <c r="BC85" s="27">
        <v>0.6470588235294118</v>
      </c>
      <c r="BD85" s="27">
        <v>0.71287128712871284</v>
      </c>
      <c r="BE85" s="27">
        <v>0.63157894736842102</v>
      </c>
      <c r="BF85" s="27">
        <v>0.58064516129032262</v>
      </c>
      <c r="BG85" s="27">
        <v>0.5</v>
      </c>
      <c r="BH85" s="27">
        <v>0.6172106824925816</v>
      </c>
      <c r="BK85" s="27">
        <v>5.5645836869058399E-2</v>
      </c>
      <c r="BL85" s="27">
        <v>4.2873639857646695E-2</v>
      </c>
      <c r="BM85" s="27">
        <v>7.9257869566068562E-2</v>
      </c>
      <c r="BN85" s="27">
        <v>0.82222265370722636</v>
      </c>
      <c r="BR85" s="27">
        <v>0.38645418326693226</v>
      </c>
      <c r="BS85" s="27">
        <v>0.67695582756785522</v>
      </c>
      <c r="BT85" s="27">
        <v>0.6277495769881557</v>
      </c>
      <c r="BU85" s="27">
        <v>0.64779874213836475</v>
      </c>
      <c r="BV85" s="27">
        <v>0</v>
      </c>
      <c r="BY85" s="27">
        <v>0</v>
      </c>
      <c r="BZ85" s="27">
        <v>0.37670384138785623</v>
      </c>
      <c r="CA85" s="27">
        <v>0.65196078431372551</v>
      </c>
      <c r="CB85" s="27">
        <v>0.66946308724832215</v>
      </c>
      <c r="CC85" s="27">
        <v>0.63435374149659862</v>
      </c>
      <c r="CD85" s="27">
        <v>0.63450834879406304</v>
      </c>
      <c r="CE85" s="27">
        <v>0.64562118126272916</v>
      </c>
      <c r="CI85" s="27">
        <v>0</v>
      </c>
      <c r="CJ85" s="27">
        <v>4.7393364928909949E-2</v>
      </c>
      <c r="CK85" s="27">
        <v>0.26923076923076922</v>
      </c>
      <c r="CL85" s="27">
        <v>0.40845070422535212</v>
      </c>
      <c r="CM85" s="27">
        <v>0.34199134199134201</v>
      </c>
      <c r="CN85" s="27">
        <v>0.36486486486486486</v>
      </c>
      <c r="CO85" s="27">
        <v>0.36</v>
      </c>
    </row>
    <row r="86" spans="2:93" x14ac:dyDescent="0.2">
      <c r="B86" s="25">
        <v>0</v>
      </c>
      <c r="C86" s="25">
        <v>26</v>
      </c>
      <c r="D86" s="25">
        <v>78</v>
      </c>
      <c r="E86" s="25">
        <v>87</v>
      </c>
      <c r="F86" s="25">
        <v>94</v>
      </c>
      <c r="G86" s="25">
        <v>27</v>
      </c>
      <c r="H86" s="25">
        <v>10</v>
      </c>
      <c r="K86" s="27">
        <v>0</v>
      </c>
      <c r="L86" s="27">
        <v>9</v>
      </c>
      <c r="M86" s="27">
        <v>9</v>
      </c>
      <c r="N86" s="27">
        <v>11</v>
      </c>
      <c r="O86" s="27">
        <v>0</v>
      </c>
      <c r="P86" s="27">
        <v>22</v>
      </c>
      <c r="Q86" s="27">
        <v>0</v>
      </c>
      <c r="R86" s="27">
        <v>0</v>
      </c>
      <c r="S86" s="27">
        <v>29</v>
      </c>
      <c r="T86" s="27">
        <v>24</v>
      </c>
      <c r="U86" s="27">
        <v>0</v>
      </c>
      <c r="X86" s="27">
        <v>0.2046</v>
      </c>
      <c r="Y86" s="27">
        <v>0.36980000000000002</v>
      </c>
      <c r="Z86" s="27">
        <v>0.13900000000000001</v>
      </c>
      <c r="AA86" s="27">
        <v>3.5799999999999998E-2</v>
      </c>
      <c r="AB86" s="27">
        <v>4.5400000000000003E-2</v>
      </c>
      <c r="AC86" s="27">
        <v>0.2054</v>
      </c>
      <c r="AF86" s="27">
        <v>0</v>
      </c>
      <c r="AG86" s="27">
        <v>2.247191011235955E-2</v>
      </c>
      <c r="AH86" s="27">
        <v>5.9880239520958084E-2</v>
      </c>
      <c r="AI86" s="27">
        <v>6.222707423580786E-2</v>
      </c>
      <c r="AJ86" s="27">
        <v>5.518763796909492E-2</v>
      </c>
      <c r="AK86" s="27">
        <v>2.4771838331160364E-2</v>
      </c>
      <c r="AL86" s="27">
        <v>7.2886297376093291E-3</v>
      </c>
      <c r="AP86" s="27">
        <v>0</v>
      </c>
      <c r="AQ86" s="27">
        <v>2.369077306733167E-2</v>
      </c>
      <c r="AR86" s="27">
        <v>9.6666666666666665E-2</v>
      </c>
      <c r="AS86" s="27">
        <v>0.10099337748344371</v>
      </c>
      <c r="AT86" s="27">
        <v>9.950248756218906E-2</v>
      </c>
      <c r="AU86" s="27">
        <v>0.12115384615384615</v>
      </c>
      <c r="AV86" s="27">
        <v>0.11909650924024641</v>
      </c>
      <c r="AW86" s="27">
        <v>8.8219026548672572E-2</v>
      </c>
      <c r="AX86" s="27">
        <v>201</v>
      </c>
      <c r="BA86" s="27">
        <v>0</v>
      </c>
      <c r="BB86" s="27">
        <v>0.57499999999999996</v>
      </c>
      <c r="BC86" s="27">
        <v>0.64077669902912626</v>
      </c>
      <c r="BD86" s="27">
        <v>0.64601769911504425</v>
      </c>
      <c r="BE86" s="27">
        <v>0.68292682926829273</v>
      </c>
      <c r="BF86" s="27">
        <v>0.7407407407407407</v>
      </c>
      <c r="BG86" s="27">
        <v>0.41176470588235292</v>
      </c>
      <c r="BH86" s="27">
        <v>0.6413612565445026</v>
      </c>
      <c r="BK86" s="27">
        <v>6.6206438619203459E-2</v>
      </c>
      <c r="BL86" s="27">
        <v>5.9341656084185887E-2</v>
      </c>
      <c r="BM86" s="27">
        <v>5.80070083425882E-2</v>
      </c>
      <c r="BN86" s="27">
        <v>0.81644489695402245</v>
      </c>
      <c r="BR86" s="27">
        <v>0.40354535974973932</v>
      </c>
      <c r="BS86" s="27">
        <v>0.69226608977825854</v>
      </c>
      <c r="BT86" s="27">
        <v>0.64864864864864868</v>
      </c>
      <c r="BU86" s="27">
        <v>0.6983240223463687</v>
      </c>
      <c r="BV86" s="27">
        <v>0</v>
      </c>
      <c r="BY86" s="27">
        <v>0</v>
      </c>
      <c r="BZ86" s="27">
        <v>0.38403990024937656</v>
      </c>
      <c r="CA86" s="27">
        <v>0.68</v>
      </c>
      <c r="CB86" s="27">
        <v>0.70364238410596025</v>
      </c>
      <c r="CC86" s="27">
        <v>0.68159203980099503</v>
      </c>
      <c r="CD86" s="27">
        <v>0.60961538461538467</v>
      </c>
      <c r="CE86" s="27">
        <v>0.67967145790554417</v>
      </c>
      <c r="CI86" s="27">
        <v>0</v>
      </c>
      <c r="CJ86" s="27">
        <v>4.588607594936709E-2</v>
      </c>
      <c r="CK86" s="27">
        <v>0.26258992805755393</v>
      </c>
      <c r="CL86" s="27">
        <v>0.42465753424657532</v>
      </c>
      <c r="CM86" s="27">
        <v>0.39826839826839827</v>
      </c>
      <c r="CN86" s="27">
        <v>0.413953488372093</v>
      </c>
      <c r="CO86" s="27">
        <v>0.43877551020408162</v>
      </c>
    </row>
    <row r="87" spans="2:93" x14ac:dyDescent="0.2">
      <c r="B87" s="25">
        <v>0</v>
      </c>
      <c r="C87" s="25">
        <v>28</v>
      </c>
      <c r="D87" s="25">
        <v>63</v>
      </c>
      <c r="E87" s="25">
        <v>72</v>
      </c>
      <c r="F87" s="25">
        <v>74</v>
      </c>
      <c r="G87" s="25">
        <v>26</v>
      </c>
      <c r="H87" s="25">
        <v>10</v>
      </c>
      <c r="K87" s="27">
        <v>0</v>
      </c>
      <c r="L87" s="27">
        <v>3</v>
      </c>
      <c r="M87" s="27">
        <v>10</v>
      </c>
      <c r="N87" s="27">
        <v>9</v>
      </c>
      <c r="O87" s="27">
        <v>0</v>
      </c>
      <c r="P87" s="27">
        <v>18</v>
      </c>
      <c r="Q87" s="27">
        <v>1</v>
      </c>
      <c r="R87" s="27">
        <v>0</v>
      </c>
      <c r="S87" s="27">
        <v>19</v>
      </c>
      <c r="T87" s="27">
        <v>16</v>
      </c>
      <c r="U87" s="27">
        <v>0</v>
      </c>
      <c r="X87" s="27">
        <v>0.21299999999999999</v>
      </c>
      <c r="Y87" s="27">
        <v>0.371</v>
      </c>
      <c r="Z87" s="27">
        <v>0.13539999999999999</v>
      </c>
      <c r="AA87" s="27">
        <v>3.0200000000000001E-2</v>
      </c>
      <c r="AB87" s="27">
        <v>4.02E-2</v>
      </c>
      <c r="AC87" s="27">
        <v>0.2102</v>
      </c>
      <c r="AF87" s="27">
        <v>0</v>
      </c>
      <c r="AG87" s="27">
        <v>2.7057497181510709E-2</v>
      </c>
      <c r="AH87" s="27">
        <v>6.3473053892215567E-2</v>
      </c>
      <c r="AI87" s="27">
        <v>5.3435114503816793E-2</v>
      </c>
      <c r="AJ87" s="27">
        <v>4.3956043956043959E-2</v>
      </c>
      <c r="AK87" s="27">
        <v>2.2193211488250653E-2</v>
      </c>
      <c r="AL87" s="27">
        <v>5.8394160583941602E-3</v>
      </c>
      <c r="AP87" s="27">
        <v>0</v>
      </c>
      <c r="AQ87" s="27">
        <v>1.1264080100125156E-2</v>
      </c>
      <c r="AR87" s="27">
        <v>8.557046979865772E-2</v>
      </c>
      <c r="AS87" s="27">
        <v>8.0944350758853284E-2</v>
      </c>
      <c r="AT87" s="27">
        <v>9.0604026845637578E-2</v>
      </c>
      <c r="AU87" s="27">
        <v>0.10966542750929369</v>
      </c>
      <c r="AV87" s="27">
        <v>0.1069182389937107</v>
      </c>
      <c r="AW87" s="27">
        <v>7.557654904140039E-2</v>
      </c>
      <c r="AX87" s="27">
        <v>187</v>
      </c>
      <c r="BA87" s="27">
        <v>0</v>
      </c>
      <c r="BB87" s="27">
        <v>0.63414634146341464</v>
      </c>
      <c r="BC87" s="27">
        <v>0.71052631578947367</v>
      </c>
      <c r="BD87" s="27">
        <v>0.72727272727272729</v>
      </c>
      <c r="BE87" s="27">
        <v>0.66249999999999998</v>
      </c>
      <c r="BF87" s="27">
        <v>0.63636363636363635</v>
      </c>
      <c r="BG87" s="27">
        <v>0.2</v>
      </c>
      <c r="BH87" s="27">
        <v>0.67192429022082023</v>
      </c>
      <c r="BK87" s="27">
        <v>3.333940020582693E-2</v>
      </c>
      <c r="BL87" s="27">
        <v>4.2230038100382901E-2</v>
      </c>
      <c r="BM87" s="27">
        <v>8.4582952117874977E-2</v>
      </c>
      <c r="BN87" s="27">
        <v>0.8398476095759152</v>
      </c>
      <c r="BR87" s="27">
        <v>0.37688442211055279</v>
      </c>
      <c r="BS87" s="27">
        <v>0.66630727762803232</v>
      </c>
      <c r="BT87" s="27">
        <v>0.63939899833055092</v>
      </c>
      <c r="BU87" s="27">
        <v>0.6333333333333333</v>
      </c>
      <c r="BV87" s="27">
        <v>0</v>
      </c>
      <c r="BY87" s="27">
        <v>0</v>
      </c>
      <c r="BZ87" s="27">
        <v>0.33541927409261579</v>
      </c>
      <c r="CA87" s="27">
        <v>0.66946308724832215</v>
      </c>
      <c r="CB87" s="27">
        <v>0.68802698145025298</v>
      </c>
      <c r="CC87" s="27">
        <v>0.62583892617449666</v>
      </c>
      <c r="CD87" s="27">
        <v>0.63197026022304836</v>
      </c>
      <c r="CE87" s="27">
        <v>0.63102725366876311</v>
      </c>
      <c r="CI87" s="27">
        <v>0</v>
      </c>
      <c r="CJ87" s="27">
        <v>3.5143769968051117E-2</v>
      </c>
      <c r="CK87" s="27">
        <v>0.27413127413127414</v>
      </c>
      <c r="CL87" s="27">
        <v>0.3452914798206278</v>
      </c>
      <c r="CM87" s="27">
        <v>0.38356164383561642</v>
      </c>
      <c r="CN87" s="27">
        <v>0.35087719298245612</v>
      </c>
      <c r="CO87" s="27">
        <v>0.43229166666666669</v>
      </c>
    </row>
    <row r="88" spans="2:93" x14ac:dyDescent="0.2">
      <c r="B88" s="25">
        <v>0</v>
      </c>
      <c r="C88" s="25">
        <v>28</v>
      </c>
      <c r="D88" s="25">
        <v>87</v>
      </c>
      <c r="E88" s="25">
        <v>86</v>
      </c>
      <c r="F88" s="25">
        <v>73</v>
      </c>
      <c r="G88" s="25">
        <v>47</v>
      </c>
      <c r="H88" s="25">
        <v>16</v>
      </c>
      <c r="K88" s="27">
        <v>0</v>
      </c>
      <c r="L88" s="27">
        <v>11</v>
      </c>
      <c r="M88" s="27">
        <v>9</v>
      </c>
      <c r="N88" s="27">
        <v>10</v>
      </c>
      <c r="O88" s="27">
        <v>0</v>
      </c>
      <c r="P88" s="27">
        <v>20</v>
      </c>
      <c r="Q88" s="27">
        <v>0</v>
      </c>
      <c r="R88" s="27">
        <v>0</v>
      </c>
      <c r="S88" s="27">
        <v>27</v>
      </c>
      <c r="T88" s="27">
        <v>23</v>
      </c>
      <c r="U88" s="27">
        <v>0</v>
      </c>
      <c r="X88" s="27">
        <v>0.21079999999999999</v>
      </c>
      <c r="Y88" s="27">
        <v>0.36959999999999998</v>
      </c>
      <c r="Z88" s="27">
        <v>0.13420000000000001</v>
      </c>
      <c r="AA88" s="27">
        <v>3.1E-2</v>
      </c>
      <c r="AB88" s="27">
        <v>4.5999999999999999E-2</v>
      </c>
      <c r="AC88" s="27">
        <v>0.2084</v>
      </c>
      <c r="AF88" s="27">
        <v>0</v>
      </c>
      <c r="AG88" s="27">
        <v>1.9252548131370329E-2</v>
      </c>
      <c r="AH88" s="27">
        <v>6.4593301435406703E-2</v>
      </c>
      <c r="AI88" s="27">
        <v>7.2826086956521735E-2</v>
      </c>
      <c r="AJ88" s="27">
        <v>5.9340659340659338E-2</v>
      </c>
      <c r="AK88" s="27">
        <v>2.7379400260756193E-2</v>
      </c>
      <c r="AL88" s="27">
        <v>2.9239766081871343E-3</v>
      </c>
      <c r="AP88" s="27">
        <v>0</v>
      </c>
      <c r="AQ88" s="27">
        <v>1.8703241895261846E-2</v>
      </c>
      <c r="AR88" s="27">
        <v>5.6384742951907131E-2</v>
      </c>
      <c r="AS88" s="27">
        <v>8.838821490467938E-2</v>
      </c>
      <c r="AT88" s="27">
        <v>8.7328767123287673E-2</v>
      </c>
      <c r="AU88" s="27">
        <v>8.9694656488549615E-2</v>
      </c>
      <c r="AV88" s="27">
        <v>9.8000000000000004E-2</v>
      </c>
      <c r="AW88" s="27">
        <v>6.8802228412256264E-2</v>
      </c>
      <c r="AX88" s="27">
        <v>215</v>
      </c>
      <c r="BA88" s="27">
        <v>0</v>
      </c>
      <c r="BB88" s="27">
        <v>0.53846153846153844</v>
      </c>
      <c r="BC88" s="27">
        <v>0.72941176470588232</v>
      </c>
      <c r="BD88" s="27">
        <v>0.72641509433962259</v>
      </c>
      <c r="BE88" s="27">
        <v>0.65333333333333332</v>
      </c>
      <c r="BF88" s="27">
        <v>0.61764705882352944</v>
      </c>
      <c r="BG88" s="27">
        <v>0.2857142857142857</v>
      </c>
      <c r="BH88" s="27">
        <v>0.66288951841359778</v>
      </c>
      <c r="BK88" s="27">
        <v>4.0333141085322745E-2</v>
      </c>
      <c r="BL88" s="27">
        <v>7.1465397955543852E-2</v>
      </c>
      <c r="BM88" s="27">
        <v>6.6526607345313626E-2</v>
      </c>
      <c r="BN88" s="27">
        <v>0.82167485361381976</v>
      </c>
      <c r="BR88" s="27">
        <v>0.37346938775510202</v>
      </c>
      <c r="BS88" s="27">
        <v>0.68831168831168832</v>
      </c>
      <c r="BT88" s="27">
        <v>0.58649093904448102</v>
      </c>
      <c r="BU88" s="27">
        <v>0.61290322580645162</v>
      </c>
      <c r="BV88" s="27">
        <v>0</v>
      </c>
      <c r="BY88" s="27">
        <v>0</v>
      </c>
      <c r="BZ88" s="27">
        <v>0.36034912718204487</v>
      </c>
      <c r="CA88" s="27">
        <v>0.6766169154228856</v>
      </c>
      <c r="CB88" s="27">
        <v>0.67590987868284225</v>
      </c>
      <c r="CC88" s="27">
        <v>0.64383561643835618</v>
      </c>
      <c r="CD88" s="27">
        <v>0.59351145038167941</v>
      </c>
      <c r="CE88" s="27">
        <v>0.63</v>
      </c>
      <c r="CI88" s="27">
        <v>0</v>
      </c>
      <c r="CJ88" s="27">
        <v>5.7052297939778132E-2</v>
      </c>
      <c r="CK88" s="27">
        <v>0.20610687022900764</v>
      </c>
      <c r="CL88" s="27">
        <v>0.37899543378995432</v>
      </c>
      <c r="CM88" s="27">
        <v>0.38636363636363635</v>
      </c>
      <c r="CN88" s="27">
        <v>0.3574660633484163</v>
      </c>
      <c r="CO88" s="27">
        <v>0.40314136125654448</v>
      </c>
    </row>
    <row r="89" spans="2:93" x14ac:dyDescent="0.2">
      <c r="B89" s="25">
        <v>0</v>
      </c>
      <c r="C89" s="25">
        <v>23</v>
      </c>
      <c r="D89" s="25">
        <v>66</v>
      </c>
      <c r="E89" s="25">
        <v>82</v>
      </c>
      <c r="F89" s="25">
        <v>69</v>
      </c>
      <c r="G89" s="25">
        <v>29</v>
      </c>
      <c r="H89" s="25">
        <v>12</v>
      </c>
      <c r="K89" s="27">
        <v>0</v>
      </c>
      <c r="L89" s="27">
        <v>7</v>
      </c>
      <c r="M89" s="27">
        <v>10</v>
      </c>
      <c r="N89" s="27">
        <v>1</v>
      </c>
      <c r="O89" s="27">
        <v>0</v>
      </c>
      <c r="P89" s="27">
        <v>19</v>
      </c>
      <c r="Q89" s="27">
        <v>0</v>
      </c>
      <c r="R89" s="27">
        <v>0</v>
      </c>
      <c r="S89" s="27">
        <v>26</v>
      </c>
      <c r="T89" s="27">
        <v>31</v>
      </c>
      <c r="U89" s="27">
        <v>0</v>
      </c>
      <c r="X89" s="27">
        <v>0.21740000000000001</v>
      </c>
      <c r="Y89" s="27">
        <v>0.37280000000000002</v>
      </c>
      <c r="Z89" s="27">
        <v>0.1358</v>
      </c>
      <c r="AA89" s="27">
        <v>3.3399999999999999E-2</v>
      </c>
      <c r="AB89" s="27">
        <v>4.7199999999999999E-2</v>
      </c>
      <c r="AC89" s="27">
        <v>0.19339999999999999</v>
      </c>
      <c r="AF89" s="27">
        <v>0</v>
      </c>
      <c r="AG89" s="27">
        <v>2.1517553793884484E-2</v>
      </c>
      <c r="AH89" s="27">
        <v>7.0574162679425831E-2</v>
      </c>
      <c r="AI89" s="27">
        <v>8.017334777898158E-2</v>
      </c>
      <c r="AJ89" s="27">
        <v>5.1705170517051702E-2</v>
      </c>
      <c r="AK89" s="27">
        <v>2.8871391076115485E-2</v>
      </c>
      <c r="AL89" s="27">
        <v>4.3668122270742356E-3</v>
      </c>
      <c r="AP89" s="27">
        <v>0</v>
      </c>
      <c r="AQ89" s="27">
        <v>1.7412935323383085E-2</v>
      </c>
      <c r="AR89" s="27">
        <v>7.4999999999999997E-2</v>
      </c>
      <c r="AS89" s="27">
        <v>0.10631229235880399</v>
      </c>
      <c r="AT89" s="27">
        <v>9.0311986863711002E-2</v>
      </c>
      <c r="AU89" s="27">
        <v>9.1743119266055051E-2</v>
      </c>
      <c r="AV89" s="27">
        <v>0.11693548387096774</v>
      </c>
      <c r="AW89" s="27">
        <v>7.822757111597374E-2</v>
      </c>
      <c r="AX89" s="27">
        <v>224</v>
      </c>
      <c r="BA89" s="27">
        <v>0</v>
      </c>
      <c r="BB89" s="27">
        <v>0.64864864864864868</v>
      </c>
      <c r="BC89" s="27">
        <v>0.7640449438202247</v>
      </c>
      <c r="BD89" s="27">
        <v>0.78181818181818186</v>
      </c>
      <c r="BE89" s="27">
        <v>0.72857142857142854</v>
      </c>
      <c r="BF89" s="27">
        <v>0.5</v>
      </c>
      <c r="BG89" s="27">
        <v>0.23529411764705882</v>
      </c>
      <c r="BH89" s="27">
        <v>0.70140845070422531</v>
      </c>
      <c r="BK89" s="27">
        <v>4.5269400051431138E-2</v>
      </c>
      <c r="BL89" s="27">
        <v>6.3769103607183367E-2</v>
      </c>
      <c r="BM89" s="27">
        <v>8.2613520236455545E-2</v>
      </c>
      <c r="BN89" s="27">
        <v>0.80834797610492992</v>
      </c>
      <c r="BR89" s="27">
        <v>0.3798828125</v>
      </c>
      <c r="BS89" s="27">
        <v>0.68240343347639487</v>
      </c>
      <c r="BT89" s="27">
        <v>0.62895174708818635</v>
      </c>
      <c r="BU89" s="27">
        <v>0.73652694610778446</v>
      </c>
      <c r="BV89" s="27">
        <v>0</v>
      </c>
      <c r="BY89" s="27">
        <v>0</v>
      </c>
      <c r="BZ89" s="27">
        <v>0.35820895522388058</v>
      </c>
      <c r="CA89" s="27">
        <v>0.67833333333333334</v>
      </c>
      <c r="CB89" s="27">
        <v>0.68604651162790697</v>
      </c>
      <c r="CC89" s="27">
        <v>0.62233169129720856</v>
      </c>
      <c r="CD89" s="27">
        <v>0.63119266055045875</v>
      </c>
      <c r="CE89" s="27">
        <v>0.66733870967741937</v>
      </c>
      <c r="CI89" s="27">
        <v>0</v>
      </c>
      <c r="CJ89" s="27">
        <v>4.49438202247191E-2</v>
      </c>
      <c r="CK89" s="27">
        <v>0.25896414342629481</v>
      </c>
      <c r="CL89" s="27">
        <v>0.37354085603112841</v>
      </c>
      <c r="CM89" s="27">
        <v>0.33057851239669422</v>
      </c>
      <c r="CN89" s="27">
        <v>0.31192660550458717</v>
      </c>
      <c r="CO89" s="27">
        <v>0.39500000000000002</v>
      </c>
    </row>
    <row r="90" spans="2:93" x14ac:dyDescent="0.2">
      <c r="B90" s="25">
        <v>0</v>
      </c>
      <c r="C90" s="25">
        <v>27</v>
      </c>
      <c r="D90" s="25">
        <v>81</v>
      </c>
      <c r="E90" s="25">
        <v>88</v>
      </c>
      <c r="F90" s="25">
        <v>67</v>
      </c>
      <c r="G90" s="25">
        <v>13</v>
      </c>
      <c r="H90" s="25">
        <v>15</v>
      </c>
      <c r="K90" s="27">
        <v>0</v>
      </c>
      <c r="L90" s="27">
        <v>6</v>
      </c>
      <c r="M90" s="27">
        <v>10</v>
      </c>
      <c r="N90" s="27">
        <v>13</v>
      </c>
      <c r="O90" s="27">
        <v>0</v>
      </c>
      <c r="P90" s="27">
        <v>24</v>
      </c>
      <c r="Q90" s="27">
        <v>0</v>
      </c>
      <c r="R90" s="27">
        <v>0</v>
      </c>
      <c r="S90" s="27">
        <v>25</v>
      </c>
      <c r="T90" s="27">
        <v>24</v>
      </c>
      <c r="U90" s="27">
        <v>0</v>
      </c>
      <c r="X90" s="27">
        <v>0.2082</v>
      </c>
      <c r="Y90" s="27">
        <v>0.36299999999999999</v>
      </c>
      <c r="Z90" s="27">
        <v>0.14499999999999999</v>
      </c>
      <c r="AA90" s="27">
        <v>3.1800000000000002E-2</v>
      </c>
      <c r="AB90" s="27">
        <v>4.0800000000000003E-2</v>
      </c>
      <c r="AC90" s="27">
        <v>0.2112</v>
      </c>
      <c r="AF90" s="27">
        <v>0</v>
      </c>
      <c r="AG90" s="27">
        <v>2.2624434389140271E-2</v>
      </c>
      <c r="AH90" s="27">
        <v>6.9129916567342076E-2</v>
      </c>
      <c r="AI90" s="27">
        <v>4.5701849836779107E-2</v>
      </c>
      <c r="AJ90" s="27">
        <v>4.9614112458654908E-2</v>
      </c>
      <c r="AK90" s="27">
        <v>1.955671447196871E-2</v>
      </c>
      <c r="AL90" s="27">
        <v>8.771929824561403E-3</v>
      </c>
      <c r="AP90" s="27">
        <v>0</v>
      </c>
      <c r="AQ90" s="27">
        <v>2.9962546816479401E-2</v>
      </c>
      <c r="AR90" s="27">
        <v>8.0808080808080815E-2</v>
      </c>
      <c r="AS90" s="27">
        <v>0.11993243243243243</v>
      </c>
      <c r="AT90" s="27">
        <v>9.8445595854922283E-2</v>
      </c>
      <c r="AU90" s="27">
        <v>7.3260073260073263E-2</v>
      </c>
      <c r="AV90" s="27">
        <v>0.13070539419087138</v>
      </c>
      <c r="AW90" s="27">
        <v>8.4307178631051749E-2</v>
      </c>
      <c r="AX90" s="27">
        <v>186</v>
      </c>
      <c r="BA90" s="27">
        <v>0</v>
      </c>
      <c r="BB90" s="27">
        <v>0.48780487804878048</v>
      </c>
      <c r="BC90" s="27">
        <v>0.68269230769230771</v>
      </c>
      <c r="BD90" s="27">
        <v>0.6705882352941176</v>
      </c>
      <c r="BE90" s="27">
        <v>0.66666666666666663</v>
      </c>
      <c r="BF90" s="27">
        <v>0.56521739130434778</v>
      </c>
      <c r="BG90" s="27">
        <v>0.34782608695652173</v>
      </c>
      <c r="BH90" s="27">
        <v>0.62534435261707988</v>
      </c>
      <c r="BK90" s="27">
        <v>5.068906624715739E-2</v>
      </c>
      <c r="BL90" s="27">
        <v>7.6495514954190907E-2</v>
      </c>
      <c r="BM90" s="27">
        <v>7.477276034576627E-2</v>
      </c>
      <c r="BN90" s="27">
        <v>0.79804265845288547</v>
      </c>
      <c r="BR90" s="27">
        <v>0.41495901639344263</v>
      </c>
      <c r="BS90" s="27">
        <v>0.70523415977961434</v>
      </c>
      <c r="BT90" s="27">
        <v>0.62732919254658381</v>
      </c>
      <c r="BU90" s="27">
        <v>0.69182389937106914</v>
      </c>
      <c r="BV90" s="27">
        <v>0</v>
      </c>
      <c r="BY90" s="27">
        <v>0</v>
      </c>
      <c r="BZ90" s="27">
        <v>0.38951310861423222</v>
      </c>
      <c r="CA90" s="27">
        <v>0.66835016835016836</v>
      </c>
      <c r="CB90" s="27">
        <v>0.69763513513513509</v>
      </c>
      <c r="CC90" s="27">
        <v>0.67012089810017272</v>
      </c>
      <c r="CD90" s="27">
        <v>0.65201465201465203</v>
      </c>
      <c r="CE90" s="27">
        <v>0.6908713692946058</v>
      </c>
      <c r="CI90" s="27">
        <v>0</v>
      </c>
      <c r="CJ90" s="27">
        <v>5.3712480252764615E-2</v>
      </c>
      <c r="CK90" s="27">
        <v>0.31274131274131273</v>
      </c>
      <c r="CL90" s="27">
        <v>0.43049327354260092</v>
      </c>
      <c r="CM90" s="27">
        <v>0.37759336099585061</v>
      </c>
      <c r="CN90" s="27">
        <v>0.34389140271493213</v>
      </c>
      <c r="CO90" s="27">
        <v>0.40196078431372551</v>
      </c>
    </row>
    <row r="91" spans="2:93" x14ac:dyDescent="0.2">
      <c r="B91" s="25">
        <v>0</v>
      </c>
      <c r="C91" s="25">
        <v>25</v>
      </c>
      <c r="D91" s="25">
        <v>74</v>
      </c>
      <c r="E91" s="25">
        <v>89</v>
      </c>
      <c r="F91" s="25">
        <v>67</v>
      </c>
      <c r="G91" s="25">
        <v>33</v>
      </c>
      <c r="H91" s="25">
        <v>15</v>
      </c>
      <c r="K91" s="27">
        <v>0</v>
      </c>
      <c r="L91" s="27">
        <v>5</v>
      </c>
      <c r="M91" s="27">
        <v>11</v>
      </c>
      <c r="N91" s="27">
        <v>6</v>
      </c>
      <c r="O91" s="27">
        <v>0</v>
      </c>
      <c r="P91" s="27">
        <v>17</v>
      </c>
      <c r="Q91" s="27">
        <v>0</v>
      </c>
      <c r="R91" s="27">
        <v>0</v>
      </c>
      <c r="S91" s="27">
        <v>24</v>
      </c>
      <c r="T91" s="27">
        <v>26</v>
      </c>
      <c r="U91" s="27">
        <v>0</v>
      </c>
      <c r="X91" s="27">
        <v>0.2056</v>
      </c>
      <c r="Y91" s="27">
        <v>0.38200000000000001</v>
      </c>
      <c r="Z91" s="27">
        <v>0.1326</v>
      </c>
      <c r="AA91" s="27">
        <v>3.4000000000000002E-2</v>
      </c>
      <c r="AB91" s="27">
        <v>4.2799999999999998E-2</v>
      </c>
      <c r="AC91" s="27">
        <v>0.20300000000000001</v>
      </c>
      <c r="AF91" s="27">
        <v>0</v>
      </c>
      <c r="AG91" s="27">
        <v>2.4774774774774775E-2</v>
      </c>
      <c r="AH91" s="27">
        <v>6.5868263473053898E-2</v>
      </c>
      <c r="AI91" s="27">
        <v>6.5573770491803282E-2</v>
      </c>
      <c r="AJ91" s="27">
        <v>4.856512141280353E-2</v>
      </c>
      <c r="AK91" s="27">
        <v>1.6949152542372881E-2</v>
      </c>
      <c r="AL91" s="27">
        <v>1.1611030478955007E-2</v>
      </c>
      <c r="AP91" s="27">
        <v>0</v>
      </c>
      <c r="AQ91" s="27">
        <v>2.1170610211706103E-2</v>
      </c>
      <c r="AR91" s="27">
        <v>6.7993366500829183E-2</v>
      </c>
      <c r="AS91" s="27">
        <v>9.8169717138103157E-2</v>
      </c>
      <c r="AT91" s="27">
        <v>7.768595041322314E-2</v>
      </c>
      <c r="AU91" s="27">
        <v>9.7785977859778592E-2</v>
      </c>
      <c r="AV91" s="27">
        <v>0.11482254697286012</v>
      </c>
      <c r="AW91" s="27">
        <v>7.4869254060005511E-2</v>
      </c>
      <c r="AX91" s="27">
        <v>202</v>
      </c>
      <c r="BA91" s="27">
        <v>0</v>
      </c>
      <c r="BB91" s="27">
        <v>0.62222222222222223</v>
      </c>
      <c r="BC91" s="27">
        <v>0.64772727272727271</v>
      </c>
      <c r="BD91" s="27">
        <v>0.70930232558139539</v>
      </c>
      <c r="BE91" s="27">
        <v>0.7142857142857143</v>
      </c>
      <c r="BF91" s="27">
        <v>0.63157894736842102</v>
      </c>
      <c r="BG91" s="27">
        <v>0.25</v>
      </c>
      <c r="BH91" s="27">
        <v>0.63988095238095233</v>
      </c>
      <c r="BK91" s="27">
        <v>3.9226654992059642E-2</v>
      </c>
      <c r="BL91" s="27">
        <v>6.1157053990824051E-2</v>
      </c>
      <c r="BM91" s="27">
        <v>7.9528364516979602E-2</v>
      </c>
      <c r="BN91" s="27">
        <v>0.82008792650013673</v>
      </c>
      <c r="BR91" s="27">
        <v>0.39522821576763484</v>
      </c>
      <c r="BS91" s="27">
        <v>0.6712041884816754</v>
      </c>
      <c r="BT91" s="27">
        <v>0.57457627118644072</v>
      </c>
      <c r="BU91" s="27">
        <v>0.68639053254437865</v>
      </c>
      <c r="BV91" s="27">
        <v>0</v>
      </c>
      <c r="BY91" s="27">
        <v>0</v>
      </c>
      <c r="BZ91" s="27">
        <v>0.35740971357409712</v>
      </c>
      <c r="CA91" s="27">
        <v>0.65339966832504148</v>
      </c>
      <c r="CB91" s="27">
        <v>0.71381031613976709</v>
      </c>
      <c r="CC91" s="27">
        <v>0.61487603305785121</v>
      </c>
      <c r="CD91" s="27">
        <v>0.62915129151291516</v>
      </c>
      <c r="CE91" s="27">
        <v>0.615866388308977</v>
      </c>
      <c r="CI91" s="27">
        <v>0</v>
      </c>
      <c r="CJ91" s="27">
        <v>5.2884615384615384E-2</v>
      </c>
      <c r="CK91" s="27">
        <v>0.265625</v>
      </c>
      <c r="CL91" s="27">
        <v>0.37668161434977576</v>
      </c>
      <c r="CM91" s="27">
        <v>0.36073059360730592</v>
      </c>
      <c r="CN91" s="27">
        <v>0.41552511415525112</v>
      </c>
      <c r="CO91" s="27">
        <v>0.40217391304347827</v>
      </c>
    </row>
    <row r="92" spans="2:93" x14ac:dyDescent="0.2">
      <c r="B92" s="25">
        <v>0</v>
      </c>
      <c r="C92" s="25">
        <v>28</v>
      </c>
      <c r="D92" s="25">
        <v>74</v>
      </c>
      <c r="E92" s="25">
        <v>76</v>
      </c>
      <c r="F92" s="25">
        <v>57</v>
      </c>
      <c r="G92" s="25">
        <v>31</v>
      </c>
      <c r="H92" s="25">
        <v>16</v>
      </c>
      <c r="K92" s="27">
        <v>0</v>
      </c>
      <c r="L92" s="27">
        <v>3</v>
      </c>
      <c r="M92" s="27">
        <v>10</v>
      </c>
      <c r="N92" s="27">
        <v>10</v>
      </c>
      <c r="O92" s="27">
        <v>0</v>
      </c>
      <c r="P92" s="27">
        <v>18</v>
      </c>
      <c r="Q92" s="27">
        <v>1</v>
      </c>
      <c r="R92" s="27">
        <v>0</v>
      </c>
      <c r="S92" s="27">
        <v>17</v>
      </c>
      <c r="T92" s="27">
        <v>12</v>
      </c>
      <c r="U92" s="27">
        <v>0</v>
      </c>
      <c r="X92" s="27">
        <v>0.20799999999999999</v>
      </c>
      <c r="Y92" s="27">
        <v>0.37080000000000002</v>
      </c>
      <c r="Z92" s="27">
        <v>0.13320000000000001</v>
      </c>
      <c r="AA92" s="27">
        <v>3.6799999999999999E-2</v>
      </c>
      <c r="AB92" s="27">
        <v>4.48E-2</v>
      </c>
      <c r="AC92" s="27">
        <v>0.2064</v>
      </c>
      <c r="AF92" s="27">
        <v>0</v>
      </c>
      <c r="AG92" s="27">
        <v>2.4746906636670417E-2</v>
      </c>
      <c r="AH92" s="27">
        <v>5.7347670250896057E-2</v>
      </c>
      <c r="AI92" s="27">
        <v>7.0652173913043473E-2</v>
      </c>
      <c r="AJ92" s="27">
        <v>6.4763995609220637E-2</v>
      </c>
      <c r="AK92" s="27">
        <v>1.7060367454068241E-2</v>
      </c>
      <c r="AL92" s="27">
        <v>4.4052863436123352E-3</v>
      </c>
      <c r="AP92" s="27">
        <v>0</v>
      </c>
      <c r="AQ92" s="27">
        <v>2.1303258145363407E-2</v>
      </c>
      <c r="AR92" s="27">
        <v>5.3398058252427182E-2</v>
      </c>
      <c r="AS92" s="27">
        <v>8.9655172413793102E-2</v>
      </c>
      <c r="AT92" s="27">
        <v>8.5141903171953262E-2</v>
      </c>
      <c r="AU92" s="27">
        <v>7.8244274809160311E-2</v>
      </c>
      <c r="AV92" s="27">
        <v>9.4537815126050417E-2</v>
      </c>
      <c r="AW92" s="27">
        <v>6.6481223922114044E-2</v>
      </c>
      <c r="AX92" s="27">
        <v>210</v>
      </c>
      <c r="BA92" s="27">
        <v>0</v>
      </c>
      <c r="BB92" s="27">
        <v>0.6216216216216216</v>
      </c>
      <c r="BC92" s="27">
        <v>0.6741573033707865</v>
      </c>
      <c r="BD92" s="27">
        <v>0.75531914893617025</v>
      </c>
      <c r="BE92" s="27">
        <v>0.73863636363636365</v>
      </c>
      <c r="BF92" s="27">
        <v>0.65217391304347827</v>
      </c>
      <c r="BG92" s="27">
        <v>0.21428571428571427</v>
      </c>
      <c r="BH92" s="27">
        <v>0.68695652173913047</v>
      </c>
      <c r="BK92" s="27">
        <v>5.65113781391842E-2</v>
      </c>
      <c r="BL92" s="27">
        <v>6.1101912650093328E-2</v>
      </c>
      <c r="BM92" s="27">
        <v>8.3643374635282583E-2</v>
      </c>
      <c r="BN92" s="27">
        <v>0.79874333457543989</v>
      </c>
      <c r="BR92" s="27">
        <v>0.39359504132231404</v>
      </c>
      <c r="BS92" s="27">
        <v>0.69687162891046384</v>
      </c>
      <c r="BT92" s="27">
        <v>0.61799660441426141</v>
      </c>
      <c r="BU92" s="27">
        <v>0.57608695652173914</v>
      </c>
      <c r="BV92" s="27">
        <v>0</v>
      </c>
      <c r="BY92" s="27">
        <v>0</v>
      </c>
      <c r="BZ92" s="27">
        <v>0.36340852130325813</v>
      </c>
      <c r="CA92" s="27">
        <v>0.66990291262135926</v>
      </c>
      <c r="CB92" s="27">
        <v>0.70517241379310347</v>
      </c>
      <c r="CC92" s="27">
        <v>0.64941569282136891</v>
      </c>
      <c r="CD92" s="27">
        <v>0.60496183206106868</v>
      </c>
      <c r="CE92" s="27">
        <v>0.68067226890756305</v>
      </c>
      <c r="CI92" s="27">
        <v>0</v>
      </c>
      <c r="CJ92" s="27">
        <v>5.0793650793650794E-2</v>
      </c>
      <c r="CK92" s="27">
        <v>0.22962962962962963</v>
      </c>
      <c r="CL92" s="27">
        <v>0.43055555555555558</v>
      </c>
      <c r="CM92" s="27">
        <v>0.37391304347826088</v>
      </c>
      <c r="CN92" s="27">
        <v>0.33181818181818185</v>
      </c>
      <c r="CO92" s="27">
        <v>0.38547486033519551</v>
      </c>
    </row>
    <row r="93" spans="2:93" x14ac:dyDescent="0.2">
      <c r="B93" s="25">
        <v>0</v>
      </c>
      <c r="C93" s="25">
        <v>25</v>
      </c>
      <c r="D93" s="25">
        <v>66</v>
      </c>
      <c r="E93" s="25">
        <v>75</v>
      </c>
      <c r="F93" s="25">
        <v>58</v>
      </c>
      <c r="G93" s="25">
        <v>35</v>
      </c>
      <c r="H93" s="25">
        <v>16</v>
      </c>
      <c r="K93" s="27">
        <v>0</v>
      </c>
      <c r="L93" s="27">
        <v>5</v>
      </c>
      <c r="M93" s="27">
        <v>11</v>
      </c>
      <c r="N93" s="27">
        <v>10</v>
      </c>
      <c r="O93" s="27">
        <v>0</v>
      </c>
      <c r="P93" s="27">
        <v>19</v>
      </c>
      <c r="Q93" s="27">
        <v>0</v>
      </c>
      <c r="R93" s="27">
        <v>0</v>
      </c>
      <c r="S93" s="27">
        <v>24</v>
      </c>
      <c r="T93" s="27">
        <v>24</v>
      </c>
      <c r="U93" s="27">
        <v>0</v>
      </c>
      <c r="X93" s="27">
        <v>0.21</v>
      </c>
      <c r="Y93" s="27">
        <v>0.37219999999999998</v>
      </c>
      <c r="Z93" s="27">
        <v>0.1356</v>
      </c>
      <c r="AA93" s="27">
        <v>3.0599999999999999E-2</v>
      </c>
      <c r="AB93" s="27">
        <v>0.04</v>
      </c>
      <c r="AC93" s="27">
        <v>0.21160000000000001</v>
      </c>
      <c r="AF93" s="27">
        <v>0</v>
      </c>
      <c r="AG93" s="27">
        <v>2.491506228765572E-2</v>
      </c>
      <c r="AH93" s="27">
        <v>6.235011990407674E-2</v>
      </c>
      <c r="AI93" s="27">
        <v>6.3180827886710242E-2</v>
      </c>
      <c r="AJ93" s="27">
        <v>4.0614709110867182E-2</v>
      </c>
      <c r="AK93" s="27">
        <v>1.4322916666666666E-2</v>
      </c>
      <c r="AL93" s="27">
        <v>5.8309037900874635E-3</v>
      </c>
      <c r="AP93" s="27">
        <v>0</v>
      </c>
      <c r="AQ93" s="27">
        <v>2.1464646464646464E-2</v>
      </c>
      <c r="AR93" s="27">
        <v>6.9536423841059597E-2</v>
      </c>
      <c r="AS93" s="27">
        <v>8.8333333333333333E-2</v>
      </c>
      <c r="AT93" s="27">
        <v>9.6666666666666665E-2</v>
      </c>
      <c r="AU93" s="27">
        <v>9.3808630393996242E-2</v>
      </c>
      <c r="AV93" s="27">
        <v>0.11458333333333333</v>
      </c>
      <c r="AW93" s="27">
        <v>7.6198392906622336E-2</v>
      </c>
      <c r="AX93" s="27">
        <v>184</v>
      </c>
      <c r="BA93" s="27">
        <v>0</v>
      </c>
      <c r="BB93" s="27">
        <v>0.5625</v>
      </c>
      <c r="BC93" s="27">
        <v>0.6179775280898876</v>
      </c>
      <c r="BD93" s="27">
        <v>0.797752808988764</v>
      </c>
      <c r="BE93" s="27">
        <v>0.59420289855072461</v>
      </c>
      <c r="BF93" s="27">
        <v>0.54166666666666663</v>
      </c>
      <c r="BG93" s="27">
        <v>0.36842105263157893</v>
      </c>
      <c r="BH93" s="27">
        <v>0.63313609467455623</v>
      </c>
      <c r="BK93" s="27">
        <v>4.9725608444577199E-2</v>
      </c>
      <c r="BL93" s="27">
        <v>5.4934407642811177E-2</v>
      </c>
      <c r="BM93" s="27">
        <v>9.2929551005437261E-2</v>
      </c>
      <c r="BN93" s="27">
        <v>0.8024104329071744</v>
      </c>
      <c r="BR93" s="27">
        <v>0.38071065989847713</v>
      </c>
      <c r="BS93" s="27">
        <v>0.68189145620634073</v>
      </c>
      <c r="BT93" s="27">
        <v>0.6262295081967213</v>
      </c>
      <c r="BU93" s="27">
        <v>0.6470588235294118</v>
      </c>
      <c r="BV93" s="27">
        <v>0</v>
      </c>
      <c r="BY93" s="27">
        <v>0</v>
      </c>
      <c r="BZ93" s="27">
        <v>0.34974747474747475</v>
      </c>
      <c r="CA93" s="27">
        <v>0.65231788079470199</v>
      </c>
      <c r="CB93" s="27">
        <v>0.70166666666666666</v>
      </c>
      <c r="CC93" s="27">
        <v>0.67166666666666663</v>
      </c>
      <c r="CD93" s="27">
        <v>0.60412757973733588</v>
      </c>
      <c r="CE93" s="27">
        <v>0.64166666666666672</v>
      </c>
      <c r="CI93" s="27">
        <v>0</v>
      </c>
      <c r="CJ93" s="27">
        <v>4.7923322683706068E-2</v>
      </c>
      <c r="CK93" s="27">
        <v>0.26717557251908397</v>
      </c>
      <c r="CL93" s="27">
        <v>0.38914027149321267</v>
      </c>
      <c r="CM93" s="27">
        <v>0.36244541484716158</v>
      </c>
      <c r="CN93" s="27">
        <v>0.37209302325581395</v>
      </c>
      <c r="CO93" s="27">
        <v>0.41</v>
      </c>
    </row>
    <row r="94" spans="2:93" x14ac:dyDescent="0.2">
      <c r="B94" s="25">
        <v>0</v>
      </c>
      <c r="C94" s="25">
        <v>35</v>
      </c>
      <c r="D94" s="25">
        <v>63</v>
      </c>
      <c r="E94" s="25">
        <v>60</v>
      </c>
      <c r="F94" s="25">
        <v>70</v>
      </c>
      <c r="G94" s="25">
        <v>29</v>
      </c>
      <c r="H94" s="25">
        <v>3</v>
      </c>
      <c r="K94" s="27">
        <v>4</v>
      </c>
      <c r="L94" s="27">
        <v>6</v>
      </c>
      <c r="M94" s="27">
        <v>10</v>
      </c>
      <c r="N94" s="27">
        <v>6</v>
      </c>
      <c r="O94" s="27">
        <v>0</v>
      </c>
      <c r="P94" s="27">
        <v>19</v>
      </c>
      <c r="Q94" s="27">
        <v>0</v>
      </c>
      <c r="R94" s="27">
        <v>0</v>
      </c>
      <c r="S94" s="27">
        <v>25</v>
      </c>
      <c r="T94" s="27">
        <v>38</v>
      </c>
      <c r="U94" s="27">
        <v>0</v>
      </c>
      <c r="X94" s="27">
        <v>0.21199999999999999</v>
      </c>
      <c r="Y94" s="27">
        <v>0.36980000000000002</v>
      </c>
      <c r="Z94" s="27">
        <v>0.1396</v>
      </c>
      <c r="AA94" s="27">
        <v>3.1600000000000003E-2</v>
      </c>
      <c r="AB94" s="27">
        <v>4.4600000000000001E-2</v>
      </c>
      <c r="AC94" s="27">
        <v>0.2024</v>
      </c>
      <c r="AF94" s="27">
        <v>0</v>
      </c>
      <c r="AG94" s="27">
        <v>1.5819209039548022E-2</v>
      </c>
      <c r="AH94" s="27">
        <v>6.8965517241379309E-2</v>
      </c>
      <c r="AI94" s="27">
        <v>6.4060803474484257E-2</v>
      </c>
      <c r="AJ94" s="27">
        <v>6.0706401766004413E-2</v>
      </c>
      <c r="AK94" s="27">
        <v>2.4934383202099737E-2</v>
      </c>
      <c r="AL94" s="27">
        <v>5.8394160583941602E-3</v>
      </c>
      <c r="AP94" s="27">
        <v>0</v>
      </c>
      <c r="AQ94" s="27">
        <v>2.0987654320987655E-2</v>
      </c>
      <c r="AR94" s="27">
        <v>5.8139534883720929E-2</v>
      </c>
      <c r="AS94" s="27">
        <v>8.247422680412371E-2</v>
      </c>
      <c r="AT94" s="27">
        <v>9.3537414965986401E-2</v>
      </c>
      <c r="AU94" s="27">
        <v>0.10566037735849057</v>
      </c>
      <c r="AV94" s="27">
        <v>0.12323232323232323</v>
      </c>
      <c r="AW94" s="27">
        <v>7.5408927086221239E-2</v>
      </c>
      <c r="AX94" s="27">
        <v>209</v>
      </c>
      <c r="BA94" s="27">
        <v>0</v>
      </c>
      <c r="BB94" s="27">
        <v>0.5714285714285714</v>
      </c>
      <c r="BC94" s="27">
        <v>0.66304347826086951</v>
      </c>
      <c r="BD94" s="27">
        <v>0.6428571428571429</v>
      </c>
      <c r="BE94" s="27">
        <v>0.61290322580645162</v>
      </c>
      <c r="BF94" s="27">
        <v>0.60606060606060608</v>
      </c>
      <c r="BG94" s="27">
        <v>0.46153846153846156</v>
      </c>
      <c r="BH94" s="27">
        <v>0.62362637362637363</v>
      </c>
      <c r="BK94" s="27">
        <v>3.9733848041381303E-2</v>
      </c>
      <c r="BL94" s="27">
        <v>7.9600494303163044E-2</v>
      </c>
      <c r="BM94" s="27">
        <v>8.7931788366855487E-2</v>
      </c>
      <c r="BN94" s="27">
        <v>0.79273386928860012</v>
      </c>
      <c r="BR94" s="27">
        <v>0.39473684210526316</v>
      </c>
      <c r="BS94" s="27">
        <v>0.69442942130881558</v>
      </c>
      <c r="BT94" s="27">
        <v>0.63398692810457513</v>
      </c>
      <c r="BU94" s="27">
        <v>0.689873417721519</v>
      </c>
      <c r="BV94" s="27">
        <v>0</v>
      </c>
      <c r="BY94" s="27">
        <v>0</v>
      </c>
      <c r="BZ94" s="27">
        <v>0.35679012345679012</v>
      </c>
      <c r="CA94" s="27">
        <v>0.69102990033222589</v>
      </c>
      <c r="CB94" s="27">
        <v>0.69759450171821302</v>
      </c>
      <c r="CC94" s="27">
        <v>0.66496598639455784</v>
      </c>
      <c r="CD94" s="27">
        <v>0.65471698113207544</v>
      </c>
      <c r="CE94" s="27">
        <v>0.65050505050505047</v>
      </c>
      <c r="CI94" s="27">
        <v>0</v>
      </c>
      <c r="CJ94" s="27">
        <v>4.5813586097946286E-2</v>
      </c>
      <c r="CK94" s="27">
        <v>0.2</v>
      </c>
      <c r="CL94" s="27">
        <v>0.3392857142857143</v>
      </c>
      <c r="CM94" s="27">
        <v>0.36097560975609755</v>
      </c>
      <c r="CN94" s="27">
        <v>0.39269406392694062</v>
      </c>
      <c r="CO94" s="27">
        <v>0.41588785046728971</v>
      </c>
    </row>
    <row r="95" spans="2:93" x14ac:dyDescent="0.2">
      <c r="B95" s="25">
        <v>0</v>
      </c>
      <c r="C95" s="25">
        <v>28</v>
      </c>
      <c r="D95" s="25">
        <v>68</v>
      </c>
      <c r="E95" s="25">
        <v>60</v>
      </c>
      <c r="F95" s="25">
        <v>73</v>
      </c>
      <c r="G95" s="25">
        <v>36</v>
      </c>
      <c r="H95" s="25">
        <v>16</v>
      </c>
      <c r="K95" s="27">
        <v>0</v>
      </c>
      <c r="L95" s="27">
        <v>6</v>
      </c>
      <c r="M95" s="27">
        <v>12</v>
      </c>
      <c r="N95" s="27">
        <v>9</v>
      </c>
      <c r="O95" s="27">
        <v>0</v>
      </c>
      <c r="P95" s="27">
        <v>22</v>
      </c>
      <c r="Q95" s="27">
        <v>1</v>
      </c>
      <c r="R95" s="27">
        <v>0</v>
      </c>
      <c r="S95" s="27">
        <v>23</v>
      </c>
      <c r="T95" s="27">
        <v>19</v>
      </c>
      <c r="U95" s="27">
        <v>0</v>
      </c>
      <c r="X95" s="27">
        <v>0.2064</v>
      </c>
      <c r="Y95" s="27">
        <v>0.36799999999999999</v>
      </c>
      <c r="Z95" s="27">
        <v>0.1336</v>
      </c>
      <c r="AA95" s="27">
        <v>3.04E-2</v>
      </c>
      <c r="AB95" s="27">
        <v>4.6600000000000003E-2</v>
      </c>
      <c r="AC95" s="27">
        <v>0.215</v>
      </c>
      <c r="AF95" s="27">
        <v>0</v>
      </c>
      <c r="AG95" s="27">
        <v>3.1425364758698095E-2</v>
      </c>
      <c r="AH95" s="27">
        <v>5.8823529411764705E-2</v>
      </c>
      <c r="AI95" s="27">
        <v>6.768558951965066E-2</v>
      </c>
      <c r="AJ95" s="27">
        <v>6.7403314917127075E-2</v>
      </c>
      <c r="AK95" s="27">
        <v>1.6883116883116882E-2</v>
      </c>
      <c r="AL95" s="27">
        <v>1.3138686131386862E-2</v>
      </c>
      <c r="AP95" s="27">
        <v>0</v>
      </c>
      <c r="AQ95" s="27">
        <v>2.595797280593325E-2</v>
      </c>
      <c r="AR95" s="27">
        <v>5.3962900505902189E-2</v>
      </c>
      <c r="AS95" s="27">
        <v>9.0604026845637578E-2</v>
      </c>
      <c r="AT95" s="27">
        <v>9.236234458259325E-2</v>
      </c>
      <c r="AU95" s="27">
        <v>9.6045197740112997E-2</v>
      </c>
      <c r="AV95" s="27">
        <v>9.9792099792099798E-2</v>
      </c>
      <c r="AW95" s="27">
        <v>7.2208228379513018E-2</v>
      </c>
      <c r="AX95" s="27">
        <v>222</v>
      </c>
      <c r="BA95" s="27">
        <v>0</v>
      </c>
      <c r="BB95" s="27">
        <v>0.71052631578947367</v>
      </c>
      <c r="BC95" s="27">
        <v>0.66315789473684206</v>
      </c>
      <c r="BD95" s="27">
        <v>0.64210526315789473</v>
      </c>
      <c r="BE95" s="27">
        <v>0.71875</v>
      </c>
      <c r="BF95" s="27">
        <v>0.7</v>
      </c>
      <c r="BG95" s="27">
        <v>0.39130434782608697</v>
      </c>
      <c r="BH95" s="27">
        <v>0.66212534059945505</v>
      </c>
      <c r="BK95" s="27">
        <v>3.3127135252015209E-2</v>
      </c>
      <c r="BL95" s="27">
        <v>5.0502158305750375E-2</v>
      </c>
      <c r="BM95" s="27">
        <v>6.3972662147090173E-2</v>
      </c>
      <c r="BN95" s="27">
        <v>0.85239804429514421</v>
      </c>
      <c r="BR95" s="27">
        <v>0.37857142857142856</v>
      </c>
      <c r="BS95" s="27">
        <v>0.68804347826086953</v>
      </c>
      <c r="BT95" s="27">
        <v>0.61960132890365449</v>
      </c>
      <c r="BU95" s="27">
        <v>0.71523178807947019</v>
      </c>
      <c r="BV95" s="27">
        <v>0</v>
      </c>
      <c r="BY95" s="27">
        <v>0</v>
      </c>
      <c r="BZ95" s="27">
        <v>0.34363411619283063</v>
      </c>
      <c r="CA95" s="27">
        <v>0.68128161888701522</v>
      </c>
      <c r="CB95" s="27">
        <v>0.68959731543624159</v>
      </c>
      <c r="CC95" s="27">
        <v>0.6678507992895204</v>
      </c>
      <c r="CD95" s="27">
        <v>0.67231638418079098</v>
      </c>
      <c r="CE95" s="27">
        <v>0.6070686070686071</v>
      </c>
      <c r="CI95" s="27">
        <v>0</v>
      </c>
      <c r="CJ95" s="27">
        <v>4.9128367670364499E-2</v>
      </c>
      <c r="CK95" s="27">
        <v>0.23265306122448978</v>
      </c>
      <c r="CL95" s="27">
        <v>0.36086956521739133</v>
      </c>
      <c r="CM95" s="27">
        <v>0.37777777777777777</v>
      </c>
      <c r="CN95" s="27">
        <v>0.39</v>
      </c>
      <c r="CO95" s="27">
        <v>0.36407766990291263</v>
      </c>
    </row>
    <row r="96" spans="2:93" x14ac:dyDescent="0.2">
      <c r="B96" s="25">
        <v>0</v>
      </c>
      <c r="C96" s="25">
        <v>27</v>
      </c>
      <c r="D96" s="25">
        <v>80</v>
      </c>
      <c r="E96" s="25">
        <v>85</v>
      </c>
      <c r="F96" s="25">
        <v>51</v>
      </c>
      <c r="G96" s="25">
        <v>34</v>
      </c>
      <c r="H96" s="25">
        <v>13</v>
      </c>
      <c r="K96" s="27">
        <v>0</v>
      </c>
      <c r="L96" s="27">
        <v>6</v>
      </c>
      <c r="M96" s="27">
        <v>9</v>
      </c>
      <c r="N96" s="27">
        <v>10</v>
      </c>
      <c r="O96" s="27">
        <v>0</v>
      </c>
      <c r="P96" s="27">
        <v>22</v>
      </c>
      <c r="Q96" s="27">
        <v>0</v>
      </c>
      <c r="R96" s="27">
        <v>0</v>
      </c>
      <c r="S96" s="27">
        <v>19</v>
      </c>
      <c r="T96" s="27">
        <v>27</v>
      </c>
      <c r="U96" s="27">
        <v>0</v>
      </c>
      <c r="X96" s="27">
        <v>0.21060000000000001</v>
      </c>
      <c r="Y96" s="27">
        <v>0.37140000000000001</v>
      </c>
      <c r="Z96" s="27">
        <v>0.1348</v>
      </c>
      <c r="AA96" s="27">
        <v>3.5400000000000001E-2</v>
      </c>
      <c r="AB96" s="27">
        <v>4.0800000000000003E-2</v>
      </c>
      <c r="AC96" s="27">
        <v>0.20699999999999999</v>
      </c>
      <c r="AF96" s="27">
        <v>0</v>
      </c>
      <c r="AG96" s="27">
        <v>2.1517553793884484E-2</v>
      </c>
      <c r="AH96" s="27">
        <v>5.0059594755661505E-2</v>
      </c>
      <c r="AI96" s="27">
        <v>6.7538126361655779E-2</v>
      </c>
      <c r="AJ96" s="27">
        <v>4.9614112458654908E-2</v>
      </c>
      <c r="AK96" s="27">
        <v>1.4379084967320261E-2</v>
      </c>
      <c r="AL96" s="27">
        <v>1.0174418604651164E-2</v>
      </c>
      <c r="AP96" s="27">
        <v>0</v>
      </c>
      <c r="AQ96" s="27">
        <v>2.1250000000000002E-2</v>
      </c>
      <c r="AR96" s="27">
        <v>6.280193236714976E-2</v>
      </c>
      <c r="AS96" s="27">
        <v>8.7986463620981392E-2</v>
      </c>
      <c r="AT96" s="27">
        <v>7.1065989847715741E-2</v>
      </c>
      <c r="AU96" s="27">
        <v>0.10166358595194085</v>
      </c>
      <c r="AV96" s="27">
        <v>0.10537190082644628</v>
      </c>
      <c r="AW96" s="27">
        <v>7.0562293274531424E-2</v>
      </c>
      <c r="AX96" s="27">
        <v>186</v>
      </c>
      <c r="BA96" s="27">
        <v>0</v>
      </c>
      <c r="BB96" s="27">
        <v>0.62222222222222223</v>
      </c>
      <c r="BC96" s="27">
        <v>0.65384615384615385</v>
      </c>
      <c r="BD96" s="27">
        <v>0.69811320754716977</v>
      </c>
      <c r="BE96" s="27">
        <v>0.676056338028169</v>
      </c>
      <c r="BF96" s="27">
        <v>0.51724137931034486</v>
      </c>
      <c r="BG96" s="27">
        <v>0.41176470588235292</v>
      </c>
      <c r="BH96" s="27">
        <v>0.6445086705202312</v>
      </c>
      <c r="BK96" s="27">
        <v>2.3332927642282387E-2</v>
      </c>
      <c r="BL96" s="27">
        <v>7.9090906367508679E-2</v>
      </c>
      <c r="BM96" s="27">
        <v>8.1137225615954364E-2</v>
      </c>
      <c r="BN96" s="27">
        <v>0.81643894037425457</v>
      </c>
      <c r="BR96" s="27">
        <v>0.38028169014084506</v>
      </c>
      <c r="BS96" s="27">
        <v>0.67528271405492735</v>
      </c>
      <c r="BT96" s="27">
        <v>0.6283333333333333</v>
      </c>
      <c r="BU96" s="27">
        <v>0.66666666666666663</v>
      </c>
      <c r="BV96" s="27">
        <v>0</v>
      </c>
      <c r="BY96" s="27">
        <v>0</v>
      </c>
      <c r="BZ96" s="27">
        <v>0.36125000000000002</v>
      </c>
      <c r="CA96" s="27">
        <v>0.69404186795491141</v>
      </c>
      <c r="CB96" s="27">
        <v>0.65989847715736039</v>
      </c>
      <c r="CC96" s="27">
        <v>0.63282571912013541</v>
      </c>
      <c r="CD96" s="27">
        <v>0.64510166358595189</v>
      </c>
      <c r="CE96" s="27">
        <v>0.6074380165289256</v>
      </c>
      <c r="CI96" s="27">
        <v>0</v>
      </c>
      <c r="CJ96" s="27">
        <v>5.0632911392405063E-2</v>
      </c>
      <c r="CK96" s="27">
        <v>0.22878228782287824</v>
      </c>
      <c r="CL96" s="27">
        <v>0.36244541484716158</v>
      </c>
      <c r="CM96" s="27">
        <v>0.30837004405286345</v>
      </c>
      <c r="CN96" s="27">
        <v>0.41095890410958902</v>
      </c>
      <c r="CO96" s="27">
        <v>0.40306122448979592</v>
      </c>
    </row>
    <row r="97" spans="2:93" x14ac:dyDescent="0.2">
      <c r="B97" s="25">
        <v>0</v>
      </c>
      <c r="C97" s="25">
        <v>29</v>
      </c>
      <c r="D97" s="25">
        <v>75</v>
      </c>
      <c r="E97" s="25">
        <v>75</v>
      </c>
      <c r="F97" s="25">
        <v>66</v>
      </c>
      <c r="G97" s="25">
        <v>44</v>
      </c>
      <c r="H97" s="25">
        <v>12</v>
      </c>
      <c r="K97" s="27">
        <v>0</v>
      </c>
      <c r="L97" s="27">
        <v>4</v>
      </c>
      <c r="M97" s="27">
        <v>9</v>
      </c>
      <c r="N97" s="27">
        <v>6</v>
      </c>
      <c r="O97" s="27">
        <v>0</v>
      </c>
      <c r="P97" s="27">
        <v>23</v>
      </c>
      <c r="Q97" s="27">
        <v>0</v>
      </c>
      <c r="R97" s="27">
        <v>0</v>
      </c>
      <c r="S97" s="27">
        <v>26</v>
      </c>
      <c r="T97" s="27">
        <v>25</v>
      </c>
      <c r="U97" s="27">
        <v>0</v>
      </c>
      <c r="X97" s="27">
        <v>0.20960000000000001</v>
      </c>
      <c r="Y97" s="27">
        <v>0.37140000000000001</v>
      </c>
      <c r="Z97" s="27">
        <v>0.14299999999999999</v>
      </c>
      <c r="AA97" s="27">
        <v>3.1800000000000002E-2</v>
      </c>
      <c r="AB97" s="27">
        <v>4.3999999999999997E-2</v>
      </c>
      <c r="AC97" s="27">
        <v>0.20019999999999999</v>
      </c>
      <c r="AF97" s="27">
        <v>0</v>
      </c>
      <c r="AG97" s="27">
        <v>1.8099547511312219E-2</v>
      </c>
      <c r="AH97" s="27">
        <v>7.0658682634730532E-2</v>
      </c>
      <c r="AI97" s="27">
        <v>6.1002178649237473E-2</v>
      </c>
      <c r="AJ97" s="27">
        <v>6.5934065934065936E-2</v>
      </c>
      <c r="AK97" s="27">
        <v>1.3020833333333334E-2</v>
      </c>
      <c r="AL97" s="27">
        <v>8.7591240875912416E-3</v>
      </c>
      <c r="AP97" s="27">
        <v>0</v>
      </c>
      <c r="AQ97" s="27">
        <v>2.247191011235955E-2</v>
      </c>
      <c r="AR97" s="27">
        <v>5.9602649006622516E-2</v>
      </c>
      <c r="AS97" s="27">
        <v>8.7748344370860931E-2</v>
      </c>
      <c r="AT97" s="27">
        <v>0.11409395973154363</v>
      </c>
      <c r="AU97" s="27">
        <v>0.10740740740740741</v>
      </c>
      <c r="AV97" s="27">
        <v>0.11203319502074689</v>
      </c>
      <c r="AW97" s="27">
        <v>7.9128756548111384E-2</v>
      </c>
      <c r="AX97" s="27">
        <v>207</v>
      </c>
      <c r="BA97" s="27">
        <v>0</v>
      </c>
      <c r="BB97" s="27">
        <v>0.62068965517241381</v>
      </c>
      <c r="BC97" s="27">
        <v>0.70652173913043481</v>
      </c>
      <c r="BD97" s="27">
        <v>0.65048543689320393</v>
      </c>
      <c r="BE97" s="27">
        <v>0.63917525773195871</v>
      </c>
      <c r="BF97" s="27">
        <v>0.69565217391304346</v>
      </c>
      <c r="BG97" s="27">
        <v>0.4</v>
      </c>
      <c r="BH97" s="27">
        <v>0.65181058495821731</v>
      </c>
      <c r="BK97" s="27">
        <v>3.4947170358772435E-2</v>
      </c>
      <c r="BL97" s="27">
        <v>4.3922667107224561E-2</v>
      </c>
      <c r="BM97" s="27">
        <v>8.9515410534312723E-2</v>
      </c>
      <c r="BN97" s="27">
        <v>0.83161475199969037</v>
      </c>
      <c r="BR97" s="27">
        <v>0.40205128205128204</v>
      </c>
      <c r="BS97" s="27">
        <v>0.6828217555196554</v>
      </c>
      <c r="BT97" s="27">
        <v>0.60062893081761004</v>
      </c>
      <c r="BU97" s="27">
        <v>0.67295597484276726</v>
      </c>
      <c r="BV97" s="27">
        <v>0</v>
      </c>
      <c r="BY97" s="27">
        <v>0</v>
      </c>
      <c r="BZ97" s="27">
        <v>0.35580524344569286</v>
      </c>
      <c r="CA97" s="27">
        <v>0.63741721854304634</v>
      </c>
      <c r="CB97" s="27">
        <v>0.70529801324503316</v>
      </c>
      <c r="CC97" s="27">
        <v>0.65100671140939592</v>
      </c>
      <c r="CD97" s="27">
        <v>0.65370370370370368</v>
      </c>
      <c r="CE97" s="27">
        <v>0.64730290456431538</v>
      </c>
      <c r="CI97" s="27">
        <v>0</v>
      </c>
      <c r="CJ97" s="27">
        <v>4.7619047619047616E-2</v>
      </c>
      <c r="CK97" s="27">
        <v>0.25</v>
      </c>
      <c r="CL97" s="27">
        <v>0.34801762114537443</v>
      </c>
      <c r="CM97" s="27">
        <v>0.44978165938864628</v>
      </c>
      <c r="CN97" s="27">
        <v>0.37768240343347642</v>
      </c>
      <c r="CO97" s="27">
        <v>0.4375</v>
      </c>
    </row>
    <row r="98" spans="2:93" x14ac:dyDescent="0.2">
      <c r="B98" s="25">
        <v>0</v>
      </c>
      <c r="C98" s="25">
        <v>19</v>
      </c>
      <c r="D98" s="25">
        <v>71</v>
      </c>
      <c r="E98" s="25">
        <v>92</v>
      </c>
      <c r="F98" s="25">
        <v>72</v>
      </c>
      <c r="G98" s="25">
        <v>39</v>
      </c>
      <c r="H98" s="25">
        <v>16</v>
      </c>
      <c r="K98" s="27">
        <v>0</v>
      </c>
      <c r="L98" s="27">
        <v>6</v>
      </c>
      <c r="M98" s="27">
        <v>8</v>
      </c>
      <c r="N98" s="27">
        <v>11</v>
      </c>
      <c r="O98" s="27">
        <v>0</v>
      </c>
      <c r="P98" s="27">
        <v>19</v>
      </c>
      <c r="Q98" s="27">
        <v>1</v>
      </c>
      <c r="R98" s="27">
        <v>0</v>
      </c>
      <c r="S98" s="27">
        <v>23</v>
      </c>
      <c r="T98" s="27">
        <v>18</v>
      </c>
      <c r="U98" s="27">
        <v>0</v>
      </c>
      <c r="X98" s="27">
        <v>0.21099999999999999</v>
      </c>
      <c r="Y98" s="27">
        <v>0.37359999999999999</v>
      </c>
      <c r="Z98" s="27">
        <v>0.13700000000000001</v>
      </c>
      <c r="AA98" s="27">
        <v>3.1399999999999997E-2</v>
      </c>
      <c r="AB98" s="27">
        <v>0.04</v>
      </c>
      <c r="AC98" s="27">
        <v>0.20699999999999999</v>
      </c>
      <c r="AF98" s="27">
        <v>0</v>
      </c>
      <c r="AG98" s="27">
        <v>1.9144144144144143E-2</v>
      </c>
      <c r="AH98" s="27">
        <v>4.6875E-2</v>
      </c>
      <c r="AI98" s="27">
        <v>6.3921993499458291E-2</v>
      </c>
      <c r="AJ98" s="27">
        <v>5.6167400881057268E-2</v>
      </c>
      <c r="AK98" s="27">
        <v>1.1764705882352941E-2</v>
      </c>
      <c r="AL98" s="27">
        <v>1.1695906432748537E-2</v>
      </c>
      <c r="AP98" s="27">
        <v>0</v>
      </c>
      <c r="AQ98" s="27">
        <v>1.9826517967781909E-2</v>
      </c>
      <c r="AR98" s="27">
        <v>7.1895424836601302E-2</v>
      </c>
      <c r="AS98" s="27">
        <v>0.10118043844856661</v>
      </c>
      <c r="AT98" s="27">
        <v>8.838821490467938E-2</v>
      </c>
      <c r="AU98" s="27">
        <v>0.10091743119266056</v>
      </c>
      <c r="AV98" s="27">
        <v>9.4567404426559351E-2</v>
      </c>
      <c r="AW98" s="27">
        <v>7.5185899201321946E-2</v>
      </c>
      <c r="AX98" s="27">
        <v>183</v>
      </c>
      <c r="BA98" s="27">
        <v>0</v>
      </c>
      <c r="BB98" s="27">
        <v>0.40476190476190477</v>
      </c>
      <c r="BC98" s="27">
        <v>0.64179104477611937</v>
      </c>
      <c r="BD98" s="27">
        <v>0.71875</v>
      </c>
      <c r="BE98" s="27">
        <v>0.65822784810126578</v>
      </c>
      <c r="BF98" s="27">
        <v>0.6</v>
      </c>
      <c r="BG98" s="27">
        <v>0.47058823529411764</v>
      </c>
      <c r="BH98" s="27">
        <v>0.62576687116564422</v>
      </c>
      <c r="BK98" s="27">
        <v>5.6398323672370701E-2</v>
      </c>
      <c r="BL98" s="27">
        <v>4.4090416193647654E-2</v>
      </c>
      <c r="BM98" s="27">
        <v>8.5251286245264984E-2</v>
      </c>
      <c r="BN98" s="27">
        <v>0.81425997388871674</v>
      </c>
      <c r="BR98" s="27">
        <v>0.38600000000000001</v>
      </c>
      <c r="BS98" s="27">
        <v>0.6723768736616702</v>
      </c>
      <c r="BT98" s="27">
        <v>0.6270627062706271</v>
      </c>
      <c r="BU98" s="27">
        <v>0.6560509554140127</v>
      </c>
      <c r="BV98" s="27">
        <v>0</v>
      </c>
      <c r="BY98" s="27">
        <v>0</v>
      </c>
      <c r="BZ98" s="27">
        <v>0.36555142503097893</v>
      </c>
      <c r="CA98" s="27">
        <v>0.66013071895424835</v>
      </c>
      <c r="CB98" s="27">
        <v>0.67790893760539628</v>
      </c>
      <c r="CC98" s="27">
        <v>0.64124783362218374</v>
      </c>
      <c r="CD98" s="27">
        <v>0.62935779816513759</v>
      </c>
      <c r="CE98" s="27">
        <v>0.62575452716297786</v>
      </c>
      <c r="CI98" s="27">
        <v>0</v>
      </c>
      <c r="CJ98" s="27">
        <v>4.4233807266982623E-2</v>
      </c>
      <c r="CK98" s="27">
        <v>0.26254826254826252</v>
      </c>
      <c r="CL98" s="27">
        <v>0.41509433962264153</v>
      </c>
      <c r="CM98" s="27">
        <v>0.34051724137931033</v>
      </c>
      <c r="CN98" s="27">
        <v>0.35344827586206895</v>
      </c>
      <c r="CO98" s="27">
        <v>0.36</v>
      </c>
    </row>
    <row r="99" spans="2:93" x14ac:dyDescent="0.2">
      <c r="B99" s="25">
        <v>0</v>
      </c>
      <c r="C99" s="25">
        <v>26</v>
      </c>
      <c r="D99" s="25">
        <v>78</v>
      </c>
      <c r="E99" s="25">
        <v>95</v>
      </c>
      <c r="F99" s="25">
        <v>94</v>
      </c>
      <c r="G99" s="25">
        <v>27</v>
      </c>
      <c r="H99" s="25">
        <v>9</v>
      </c>
      <c r="K99" s="27">
        <v>0</v>
      </c>
      <c r="L99" s="27">
        <v>10</v>
      </c>
      <c r="M99" s="27">
        <v>10</v>
      </c>
      <c r="N99" s="27">
        <v>13</v>
      </c>
      <c r="O99" s="27">
        <v>0</v>
      </c>
      <c r="P99" s="27">
        <v>24</v>
      </c>
      <c r="Q99" s="27">
        <v>0</v>
      </c>
      <c r="R99" s="27">
        <v>0</v>
      </c>
      <c r="S99" s="27">
        <v>28</v>
      </c>
      <c r="T99" s="27">
        <v>20</v>
      </c>
      <c r="U99" s="27">
        <v>0</v>
      </c>
      <c r="X99" s="27">
        <v>0.2026</v>
      </c>
      <c r="Y99" s="27">
        <v>0.37340000000000001</v>
      </c>
      <c r="Z99" s="27">
        <v>0.13619999999999999</v>
      </c>
      <c r="AA99" s="27">
        <v>3.5799999999999998E-2</v>
      </c>
      <c r="AB99" s="27">
        <v>4.4400000000000002E-2</v>
      </c>
      <c r="AC99" s="27">
        <v>0.20760000000000001</v>
      </c>
      <c r="AF99" s="27">
        <v>0</v>
      </c>
      <c r="AG99" s="27">
        <v>2.0270270270270271E-2</v>
      </c>
      <c r="AH99" s="27">
        <v>5.8472553699284009E-2</v>
      </c>
      <c r="AI99" s="27">
        <v>6.6666666666666666E-2</v>
      </c>
      <c r="AJ99" s="27">
        <v>5.0772626931567331E-2</v>
      </c>
      <c r="AK99" s="27">
        <v>2.600780234070221E-2</v>
      </c>
      <c r="AL99" s="27">
        <v>7.3099415204678359E-3</v>
      </c>
      <c r="AP99" s="27">
        <v>0</v>
      </c>
      <c r="AQ99" s="27">
        <v>2.6217228464419477E-2</v>
      </c>
      <c r="AR99" s="27">
        <v>0.1001669449081803</v>
      </c>
      <c r="AS99" s="27">
        <v>0.10543657331136738</v>
      </c>
      <c r="AT99" s="27">
        <v>9.5394736842105268E-2</v>
      </c>
      <c r="AU99" s="27">
        <v>0.11821705426356589</v>
      </c>
      <c r="AV99" s="27">
        <v>0.12108559498956159</v>
      </c>
      <c r="AW99" s="27">
        <v>8.9196675900277009E-2</v>
      </c>
      <c r="AX99" s="27">
        <v>199</v>
      </c>
      <c r="BA99" s="27">
        <v>0</v>
      </c>
      <c r="BB99" s="27">
        <v>0.52500000000000002</v>
      </c>
      <c r="BC99" s="27">
        <v>0.62</v>
      </c>
      <c r="BD99" s="27">
        <v>0.66379310344827591</v>
      </c>
      <c r="BE99" s="27">
        <v>0.62820512820512819</v>
      </c>
      <c r="BF99" s="27">
        <v>0.67741935483870963</v>
      </c>
      <c r="BG99" s="27">
        <v>0.4</v>
      </c>
      <c r="BH99" s="27">
        <v>0.62105263157894741</v>
      </c>
      <c r="BK99" s="27">
        <v>6.7859509502473825E-2</v>
      </c>
      <c r="BL99" s="27">
        <v>5.2011950361750638E-2</v>
      </c>
      <c r="BM99" s="27">
        <v>6.2928455846426673E-2</v>
      </c>
      <c r="BN99" s="27">
        <v>0.81720008428934887</v>
      </c>
      <c r="BR99" s="27">
        <v>0.40063424947145876</v>
      </c>
      <c r="BS99" s="27">
        <v>0.68719871451526515</v>
      </c>
      <c r="BT99" s="27">
        <v>0.6472491909385113</v>
      </c>
      <c r="BU99" s="27">
        <v>0.71508379888268159</v>
      </c>
      <c r="BV99" s="27">
        <v>0</v>
      </c>
      <c r="BY99" s="27">
        <v>0</v>
      </c>
      <c r="BZ99" s="27">
        <v>0.39325842696629215</v>
      </c>
      <c r="CA99" s="27">
        <v>0.67779632721201999</v>
      </c>
      <c r="CB99" s="27">
        <v>0.69028006589785829</v>
      </c>
      <c r="CC99" s="27">
        <v>0.66940789473684215</v>
      </c>
      <c r="CD99" s="27">
        <v>0.61240310077519378</v>
      </c>
      <c r="CE99" s="27">
        <v>0.68267223382045927</v>
      </c>
      <c r="CI99" s="27">
        <v>0</v>
      </c>
      <c r="CJ99" s="27">
        <v>5.2547770700636945E-2</v>
      </c>
      <c r="CK99" s="27">
        <v>0.27611940298507465</v>
      </c>
      <c r="CL99" s="27">
        <v>0.42410714285714285</v>
      </c>
      <c r="CM99" s="27">
        <v>0.3991031390134529</v>
      </c>
      <c r="CN99" s="27">
        <v>0.41013824884792627</v>
      </c>
      <c r="CO99" s="27">
        <v>0.43315508021390375</v>
      </c>
    </row>
    <row r="100" spans="2:93" x14ac:dyDescent="0.2">
      <c r="B100" s="25">
        <v>0</v>
      </c>
      <c r="C100" s="25">
        <v>29</v>
      </c>
      <c r="D100" s="25">
        <v>67</v>
      </c>
      <c r="E100" s="25">
        <v>74</v>
      </c>
      <c r="F100" s="25">
        <v>78</v>
      </c>
      <c r="G100" s="25">
        <v>29</v>
      </c>
      <c r="H100" s="25">
        <v>12</v>
      </c>
      <c r="K100" s="27">
        <v>0</v>
      </c>
      <c r="L100" s="27">
        <v>4</v>
      </c>
      <c r="M100" s="27">
        <v>10</v>
      </c>
      <c r="N100" s="27">
        <v>9</v>
      </c>
      <c r="O100" s="27">
        <v>0</v>
      </c>
      <c r="P100" s="27">
        <v>16</v>
      </c>
      <c r="Q100" s="27">
        <v>1</v>
      </c>
      <c r="R100" s="27">
        <v>0</v>
      </c>
      <c r="S100" s="27">
        <v>21</v>
      </c>
      <c r="T100" s="27">
        <v>18</v>
      </c>
      <c r="U100" s="27">
        <v>0</v>
      </c>
      <c r="X100" s="27">
        <v>0.214</v>
      </c>
      <c r="Y100" s="27">
        <v>0.36720000000000003</v>
      </c>
      <c r="Z100" s="27">
        <v>0.1384</v>
      </c>
      <c r="AA100" s="27">
        <v>2.8799999999999999E-2</v>
      </c>
      <c r="AB100" s="27">
        <v>4.1799999999999997E-2</v>
      </c>
      <c r="AC100" s="27">
        <v>0.20979999999999999</v>
      </c>
      <c r="AF100" s="27">
        <v>0</v>
      </c>
      <c r="AG100" s="27">
        <v>2.2497187851518559E-2</v>
      </c>
      <c r="AH100" s="27">
        <v>6.4825930372148857E-2</v>
      </c>
      <c r="AI100" s="27">
        <v>5.6644880174291937E-2</v>
      </c>
      <c r="AJ100" s="27">
        <v>4.9504950495049507E-2</v>
      </c>
      <c r="AK100" s="27">
        <v>2.3529411764705882E-2</v>
      </c>
      <c r="AL100" s="27">
        <v>7.2886297376093291E-3</v>
      </c>
      <c r="AP100" s="27">
        <v>0</v>
      </c>
      <c r="AQ100" s="27">
        <v>1.1124845488257108E-2</v>
      </c>
      <c r="AR100" s="27">
        <v>8.8135593220338981E-2</v>
      </c>
      <c r="AS100" s="27">
        <v>7.3253833049403749E-2</v>
      </c>
      <c r="AT100" s="27">
        <v>9.29054054054054E-2</v>
      </c>
      <c r="AU100" s="27">
        <v>0.11380597014925373</v>
      </c>
      <c r="AV100" s="27">
        <v>0.11018711018711019</v>
      </c>
      <c r="AW100" s="27">
        <v>7.5938803894297635E-2</v>
      </c>
      <c r="AX100" s="27">
        <v>194</v>
      </c>
      <c r="BA100" s="27">
        <v>0</v>
      </c>
      <c r="BB100" s="27">
        <v>0.57894736842105265</v>
      </c>
      <c r="BC100" s="27">
        <v>0.77922077922077926</v>
      </c>
      <c r="BD100" s="27">
        <v>0.73333333333333328</v>
      </c>
      <c r="BE100" s="27">
        <v>0.68235294117647061</v>
      </c>
      <c r="BF100" s="27">
        <v>0.64</v>
      </c>
      <c r="BG100" s="27">
        <v>0.33333333333333331</v>
      </c>
      <c r="BH100" s="27">
        <v>0.69113149847094801</v>
      </c>
      <c r="BK100" s="27">
        <v>3.2061317535455186E-2</v>
      </c>
      <c r="BL100" s="27">
        <v>5.2585047811732268E-2</v>
      </c>
      <c r="BM100" s="27">
        <v>7.5636447266805018E-2</v>
      </c>
      <c r="BN100" s="27">
        <v>0.83971718738600754</v>
      </c>
      <c r="BR100" s="27">
        <v>0.3827037773359841</v>
      </c>
      <c r="BS100" s="27">
        <v>0.67265795206971679</v>
      </c>
      <c r="BT100" s="27">
        <v>0.6442622950819672</v>
      </c>
      <c r="BU100" s="27">
        <v>0.60839160839160844</v>
      </c>
      <c r="BV100" s="27">
        <v>0</v>
      </c>
      <c r="BY100" s="27">
        <v>0</v>
      </c>
      <c r="BZ100" s="27">
        <v>0.33868974042027195</v>
      </c>
      <c r="CA100" s="27">
        <v>0.66779661016949154</v>
      </c>
      <c r="CB100" s="27">
        <v>0.69505962521294717</v>
      </c>
      <c r="CC100" s="27">
        <v>0.63851351351351349</v>
      </c>
      <c r="CD100" s="27">
        <v>0.63432835820895528</v>
      </c>
      <c r="CE100" s="27">
        <v>0.63617463617463621</v>
      </c>
      <c r="CI100" s="27">
        <v>0</v>
      </c>
      <c r="CJ100" s="27">
        <v>3.4755134281200632E-2</v>
      </c>
      <c r="CK100" s="27">
        <v>0.26865671641791045</v>
      </c>
      <c r="CL100" s="27">
        <v>0.33944954128440369</v>
      </c>
      <c r="CM100" s="27">
        <v>0.38392857142857145</v>
      </c>
      <c r="CN100" s="27">
        <v>0.3755656108597285</v>
      </c>
      <c r="CO100" s="27">
        <v>0.43434343434343436</v>
      </c>
    </row>
    <row r="101" spans="2:93" x14ac:dyDescent="0.2">
      <c r="B101" s="25">
        <v>0</v>
      </c>
      <c r="C101" s="25">
        <v>28</v>
      </c>
      <c r="D101" s="25">
        <v>83</v>
      </c>
      <c r="E101" s="25">
        <v>81</v>
      </c>
      <c r="F101" s="25">
        <v>66</v>
      </c>
      <c r="G101" s="25">
        <v>42</v>
      </c>
      <c r="H101" s="25">
        <v>18</v>
      </c>
      <c r="K101" s="27">
        <v>0</v>
      </c>
      <c r="L101" s="27">
        <v>11</v>
      </c>
      <c r="M101" s="27">
        <v>10</v>
      </c>
      <c r="N101" s="27">
        <v>9</v>
      </c>
      <c r="O101" s="27">
        <v>0</v>
      </c>
      <c r="P101" s="27">
        <v>21</v>
      </c>
      <c r="Q101" s="27">
        <v>0</v>
      </c>
      <c r="R101" s="27">
        <v>0</v>
      </c>
      <c r="S101" s="27">
        <v>26</v>
      </c>
      <c r="T101" s="27">
        <v>23</v>
      </c>
      <c r="U101" s="27">
        <v>0</v>
      </c>
      <c r="X101" s="27">
        <v>0.21199999999999999</v>
      </c>
      <c r="Y101" s="27">
        <v>0.36880000000000002</v>
      </c>
      <c r="Z101" s="27">
        <v>0.1348</v>
      </c>
      <c r="AA101" s="27">
        <v>3.32E-2</v>
      </c>
      <c r="AB101" s="27">
        <v>4.2599999999999999E-2</v>
      </c>
      <c r="AC101" s="27">
        <v>0.20860000000000001</v>
      </c>
      <c r="AF101" s="27">
        <v>0</v>
      </c>
      <c r="AG101" s="27">
        <v>2.3755656108597284E-2</v>
      </c>
      <c r="AH101" s="27">
        <v>6.4670658682634732E-2</v>
      </c>
      <c r="AI101" s="27">
        <v>6.2023939064200215E-2</v>
      </c>
      <c r="AJ101" s="27">
        <v>5.054945054945055E-2</v>
      </c>
      <c r="AK101" s="27">
        <v>2.4739583333333332E-2</v>
      </c>
      <c r="AL101" s="27">
        <v>1.4619883040935672E-3</v>
      </c>
      <c r="AP101" s="27">
        <v>0</v>
      </c>
      <c r="AQ101" s="27">
        <v>1.6290726817042606E-2</v>
      </c>
      <c r="AR101" s="27">
        <v>5.4635761589403975E-2</v>
      </c>
      <c r="AS101" s="27">
        <v>9.6774193548387094E-2</v>
      </c>
      <c r="AT101" s="27">
        <v>7.9931972789115652E-2</v>
      </c>
      <c r="AU101" s="27">
        <v>9.3511450381679392E-2</v>
      </c>
      <c r="AV101" s="27">
        <v>0.10462776659959759</v>
      </c>
      <c r="AW101" s="27">
        <v>6.9722222222222227E-2</v>
      </c>
      <c r="AX101" s="27">
        <v>198</v>
      </c>
      <c r="BA101" s="27">
        <v>0</v>
      </c>
      <c r="BB101" s="27">
        <v>0.6097560975609756</v>
      </c>
      <c r="BC101" s="27">
        <v>0.6853932584269663</v>
      </c>
      <c r="BD101" s="27">
        <v>0.71</v>
      </c>
      <c r="BE101" s="27">
        <v>0.63888888888888884</v>
      </c>
      <c r="BF101" s="27">
        <v>0.5625</v>
      </c>
      <c r="BG101" s="27">
        <v>0.23076923076923078</v>
      </c>
      <c r="BH101" s="27">
        <v>0.64553314121037464</v>
      </c>
      <c r="BK101" s="27">
        <v>4.1861458020521561E-2</v>
      </c>
      <c r="BL101" s="27">
        <v>6.4893662767082375E-2</v>
      </c>
      <c r="BM101" s="27">
        <v>6.9016399297017167E-2</v>
      </c>
      <c r="BN101" s="27">
        <v>0.82422847991537895</v>
      </c>
      <c r="BR101" s="27">
        <v>0.37678207739307534</v>
      </c>
      <c r="BS101" s="27">
        <v>0.68329718004338391</v>
      </c>
      <c r="BT101" s="27">
        <v>0.58388157894736847</v>
      </c>
      <c r="BU101" s="27">
        <v>0.62048192771084343</v>
      </c>
      <c r="BV101" s="27">
        <v>0</v>
      </c>
      <c r="BY101" s="27">
        <v>0</v>
      </c>
      <c r="BZ101" s="27">
        <v>0.36215538847117795</v>
      </c>
      <c r="CA101" s="27">
        <v>0.67052980132450335</v>
      </c>
      <c r="CB101" s="27">
        <v>0.68081494057724956</v>
      </c>
      <c r="CC101" s="27">
        <v>0.63265306122448983</v>
      </c>
      <c r="CD101" s="27">
        <v>0.58778625954198471</v>
      </c>
      <c r="CE101" s="27">
        <v>0.62977867203219318</v>
      </c>
      <c r="CI101" s="27">
        <v>0</v>
      </c>
      <c r="CJ101" s="27">
        <v>5.1118210862619806E-2</v>
      </c>
      <c r="CK101" s="27">
        <v>0.20152091254752852</v>
      </c>
      <c r="CL101" s="27">
        <v>0.38495575221238937</v>
      </c>
      <c r="CM101" s="27">
        <v>0.36486486486486486</v>
      </c>
      <c r="CN101" s="27">
        <v>0.35714285714285715</v>
      </c>
      <c r="CO101" s="27">
        <v>0.41624365482233505</v>
      </c>
    </row>
    <row r="102" spans="2:93" x14ac:dyDescent="0.2">
      <c r="B102" s="25">
        <v>0</v>
      </c>
      <c r="C102" s="25">
        <v>22</v>
      </c>
      <c r="D102" s="25">
        <v>69</v>
      </c>
      <c r="E102" s="25">
        <v>85</v>
      </c>
      <c r="F102" s="25">
        <v>73</v>
      </c>
      <c r="G102" s="25">
        <v>29</v>
      </c>
      <c r="H102" s="25">
        <v>12</v>
      </c>
      <c r="K102" s="27">
        <v>0</v>
      </c>
      <c r="L102" s="27">
        <v>6</v>
      </c>
      <c r="M102" s="27">
        <v>9</v>
      </c>
      <c r="N102" s="27">
        <v>1</v>
      </c>
      <c r="O102" s="27">
        <v>0</v>
      </c>
      <c r="P102" s="27">
        <v>20</v>
      </c>
      <c r="Q102" s="27">
        <v>0</v>
      </c>
      <c r="R102" s="27">
        <v>0</v>
      </c>
      <c r="S102" s="27">
        <v>26</v>
      </c>
      <c r="T102" s="27">
        <v>28</v>
      </c>
      <c r="U102" s="27">
        <v>0</v>
      </c>
      <c r="X102" s="27">
        <v>0.2162</v>
      </c>
      <c r="Y102" s="27">
        <v>0.375</v>
      </c>
      <c r="Z102" s="27">
        <v>0.13320000000000001</v>
      </c>
      <c r="AA102" s="27">
        <v>3.1800000000000002E-2</v>
      </c>
      <c r="AB102" s="27">
        <v>4.9000000000000002E-2</v>
      </c>
      <c r="AC102" s="27">
        <v>0.1948</v>
      </c>
      <c r="AF102" s="27">
        <v>0</v>
      </c>
      <c r="AG102" s="27">
        <v>2.1517553793884484E-2</v>
      </c>
      <c r="AH102" s="27">
        <v>7.0321811680572111E-2</v>
      </c>
      <c r="AI102" s="27">
        <v>8.360477741585233E-2</v>
      </c>
      <c r="AJ102" s="27">
        <v>5.5066079295154183E-2</v>
      </c>
      <c r="AK102" s="27">
        <v>3.0223390275952694E-2</v>
      </c>
      <c r="AL102" s="27">
        <v>5.8139534883720929E-3</v>
      </c>
      <c r="AP102" s="27">
        <v>0</v>
      </c>
      <c r="AQ102" s="27">
        <v>1.8726591760299626E-2</v>
      </c>
      <c r="AR102" s="27">
        <v>7.8073089700996676E-2</v>
      </c>
      <c r="AS102" s="27">
        <v>0.10623946037099494</v>
      </c>
      <c r="AT102" s="27">
        <v>8.8669950738916259E-2</v>
      </c>
      <c r="AU102" s="27">
        <v>7.5229357798165142E-2</v>
      </c>
      <c r="AV102" s="27">
        <v>0.11422845691382766</v>
      </c>
      <c r="AW102" s="27">
        <v>7.5911208550287754E-2</v>
      </c>
      <c r="AX102" s="27">
        <v>232</v>
      </c>
      <c r="BA102" s="27">
        <v>0</v>
      </c>
      <c r="BB102" s="27">
        <v>0.59459459459459463</v>
      </c>
      <c r="BC102" s="27">
        <v>0.77380952380952384</v>
      </c>
      <c r="BD102" s="27">
        <v>0.77570093457943923</v>
      </c>
      <c r="BE102" s="27">
        <v>0.73913043478260865</v>
      </c>
      <c r="BF102" s="27">
        <v>0.5757575757575758</v>
      </c>
      <c r="BG102" s="27">
        <v>0.26315789473684209</v>
      </c>
      <c r="BH102" s="27">
        <v>0.70200573065902583</v>
      </c>
      <c r="BK102" s="27">
        <v>4.5222363357470534E-2</v>
      </c>
      <c r="BL102" s="27">
        <v>6.0414471878474804E-2</v>
      </c>
      <c r="BM102" s="27">
        <v>8.4496136670317842E-2</v>
      </c>
      <c r="BN102" s="27">
        <v>0.80986702809373678</v>
      </c>
      <c r="BR102" s="27">
        <v>0.37414299706170423</v>
      </c>
      <c r="BS102" s="27">
        <v>0.68159999999999998</v>
      </c>
      <c r="BT102" s="27">
        <v>0.63131313131313127</v>
      </c>
      <c r="BU102" s="27">
        <v>0.72327044025157228</v>
      </c>
      <c r="BV102" s="27">
        <v>0</v>
      </c>
      <c r="BY102" s="27">
        <v>0</v>
      </c>
      <c r="BZ102" s="27">
        <v>0.35081148564294634</v>
      </c>
      <c r="CA102" s="27">
        <v>0.68604651162790697</v>
      </c>
      <c r="CB102" s="27">
        <v>0.68128161888701522</v>
      </c>
      <c r="CC102" s="27">
        <v>0.61904761904761907</v>
      </c>
      <c r="CD102" s="27">
        <v>0.62935779816513759</v>
      </c>
      <c r="CE102" s="27">
        <v>0.66533066132264529</v>
      </c>
      <c r="CI102" s="27">
        <v>0</v>
      </c>
      <c r="CJ102" s="27">
        <v>4.9363057324840767E-2</v>
      </c>
      <c r="CK102" s="27">
        <v>0.27016129032258063</v>
      </c>
      <c r="CL102" s="27">
        <v>0.39430894308943087</v>
      </c>
      <c r="CM102" s="27">
        <v>0.33195020746887965</v>
      </c>
      <c r="CN102" s="27">
        <v>0.27699530516431925</v>
      </c>
      <c r="CO102" s="27">
        <v>0.39393939393939392</v>
      </c>
    </row>
    <row r="103" spans="2:93" x14ac:dyDescent="0.2">
      <c r="B103" s="25">
        <v>0</v>
      </c>
      <c r="C103" s="25">
        <v>26</v>
      </c>
      <c r="D103" s="25">
        <v>79</v>
      </c>
      <c r="E103" s="25">
        <v>89</v>
      </c>
      <c r="F103" s="25">
        <v>71</v>
      </c>
      <c r="G103" s="25">
        <v>14</v>
      </c>
      <c r="H103" s="25">
        <v>13</v>
      </c>
      <c r="K103" s="27">
        <v>0</v>
      </c>
      <c r="L103" s="27">
        <v>6</v>
      </c>
      <c r="M103" s="27">
        <v>10</v>
      </c>
      <c r="N103" s="27">
        <v>13</v>
      </c>
      <c r="O103" s="27">
        <v>0</v>
      </c>
      <c r="P103" s="27">
        <v>22</v>
      </c>
      <c r="Q103" s="27">
        <v>0</v>
      </c>
      <c r="R103" s="27">
        <v>0</v>
      </c>
      <c r="S103" s="27">
        <v>26</v>
      </c>
      <c r="T103" s="27">
        <v>23</v>
      </c>
      <c r="U103" s="27">
        <v>0</v>
      </c>
      <c r="X103" s="27">
        <v>0.20960000000000001</v>
      </c>
      <c r="Y103" s="27">
        <v>0.36359999999999998</v>
      </c>
      <c r="Z103" s="27">
        <v>0.14580000000000001</v>
      </c>
      <c r="AA103" s="27">
        <v>3.2000000000000001E-2</v>
      </c>
      <c r="AB103" s="27">
        <v>4.0800000000000003E-2</v>
      </c>
      <c r="AC103" s="27">
        <v>0.2082</v>
      </c>
      <c r="AF103" s="27">
        <v>0</v>
      </c>
      <c r="AG103" s="27">
        <v>2.2598870056497175E-2</v>
      </c>
      <c r="AH103" s="27">
        <v>6.5632458233890217E-2</v>
      </c>
      <c r="AI103" s="27">
        <v>5.1086956521739134E-2</v>
      </c>
      <c r="AJ103" s="27">
        <v>4.7409040793825796E-2</v>
      </c>
      <c r="AK103" s="27">
        <v>1.9607843137254902E-2</v>
      </c>
      <c r="AL103" s="27">
        <v>8.7591240875912416E-3</v>
      </c>
      <c r="AP103" s="27">
        <v>0</v>
      </c>
      <c r="AQ103" s="27">
        <v>0.03</v>
      </c>
      <c r="AR103" s="27">
        <v>7.4750830564784057E-2</v>
      </c>
      <c r="AS103" s="27">
        <v>0.10696095076400679</v>
      </c>
      <c r="AT103" s="27">
        <v>0.10598290598290598</v>
      </c>
      <c r="AU103" s="27">
        <v>8.5610200364298727E-2</v>
      </c>
      <c r="AV103" s="27">
        <v>0.13070539419087138</v>
      </c>
      <c r="AW103" s="27">
        <v>8.4280565566953153E-2</v>
      </c>
      <c r="AX103" s="27">
        <v>186</v>
      </c>
      <c r="BA103" s="27">
        <v>0</v>
      </c>
      <c r="BB103" s="27">
        <v>0.56097560975609762</v>
      </c>
      <c r="BC103" s="27">
        <v>0.69</v>
      </c>
      <c r="BD103" s="27">
        <v>0.66666666666666663</v>
      </c>
      <c r="BE103" s="27">
        <v>0.66666666666666663</v>
      </c>
      <c r="BF103" s="27">
        <v>0.56521739130434778</v>
      </c>
      <c r="BG103" s="27">
        <v>0.36363636363636365</v>
      </c>
      <c r="BH103" s="27">
        <v>0.63636363636363635</v>
      </c>
      <c r="BK103" s="27">
        <v>4.8784797645249914E-2</v>
      </c>
      <c r="BL103" s="27">
        <v>7.862120886978706E-2</v>
      </c>
      <c r="BM103" s="27">
        <v>7.7141625854013671E-2</v>
      </c>
      <c r="BN103" s="27">
        <v>0.7954523676309494</v>
      </c>
      <c r="BR103" s="27">
        <v>0.41928934010152286</v>
      </c>
      <c r="BS103" s="27">
        <v>0.70847084708470842</v>
      </c>
      <c r="BT103" s="27">
        <v>0.62577639751552794</v>
      </c>
      <c r="BU103" s="27">
        <v>0.6875</v>
      </c>
      <c r="BV103" s="27">
        <v>0</v>
      </c>
      <c r="BY103" s="27">
        <v>0</v>
      </c>
      <c r="BZ103" s="27">
        <v>0.39</v>
      </c>
      <c r="CA103" s="27">
        <v>0.67774086378737541</v>
      </c>
      <c r="CB103" s="27">
        <v>0.69439728353140917</v>
      </c>
      <c r="CC103" s="27">
        <v>0.68034188034188037</v>
      </c>
      <c r="CD103" s="27">
        <v>0.6429872495446266</v>
      </c>
      <c r="CE103" s="27">
        <v>0.69294605809128629</v>
      </c>
      <c r="CI103" s="27">
        <v>0</v>
      </c>
      <c r="CJ103" s="27">
        <v>5.4054054054054057E-2</v>
      </c>
      <c r="CK103" s="27">
        <v>0.2988505747126437</v>
      </c>
      <c r="CL103" s="27">
        <v>0.39285714285714285</v>
      </c>
      <c r="CM103" s="27">
        <v>0.38461538461538464</v>
      </c>
      <c r="CN103" s="27">
        <v>0.36842105263157893</v>
      </c>
      <c r="CO103" s="27">
        <v>0.41499999999999998</v>
      </c>
    </row>
    <row r="104" spans="2:93" x14ac:dyDescent="0.2">
      <c r="B104" s="25">
        <v>0</v>
      </c>
      <c r="C104" s="25">
        <v>25</v>
      </c>
      <c r="D104" s="25">
        <v>68</v>
      </c>
      <c r="E104" s="25">
        <v>93</v>
      </c>
      <c r="F104" s="25">
        <v>63</v>
      </c>
      <c r="G104" s="25">
        <v>31</v>
      </c>
      <c r="H104" s="25">
        <v>16</v>
      </c>
      <c r="K104" s="27">
        <v>0</v>
      </c>
      <c r="L104" s="27">
        <v>4</v>
      </c>
      <c r="M104" s="27">
        <v>11</v>
      </c>
      <c r="N104" s="27">
        <v>5</v>
      </c>
      <c r="O104" s="27">
        <v>0</v>
      </c>
      <c r="P104" s="27">
        <v>18</v>
      </c>
      <c r="Q104" s="27">
        <v>1</v>
      </c>
      <c r="R104" s="27">
        <v>0</v>
      </c>
      <c r="S104" s="27">
        <v>25</v>
      </c>
      <c r="T104" s="27">
        <v>28</v>
      </c>
      <c r="U104" s="27">
        <v>0</v>
      </c>
      <c r="X104" s="27">
        <v>0.2082</v>
      </c>
      <c r="Y104" s="27">
        <v>0.37859999999999999</v>
      </c>
      <c r="Z104" s="27">
        <v>0.13539999999999999</v>
      </c>
      <c r="AA104" s="27">
        <v>3.2800000000000003E-2</v>
      </c>
      <c r="AB104" s="27">
        <v>4.2999999999999997E-2</v>
      </c>
      <c r="AC104" s="27">
        <v>0.20200000000000001</v>
      </c>
      <c r="AF104" s="27">
        <v>0</v>
      </c>
      <c r="AG104" s="27">
        <v>2.4774774774774775E-2</v>
      </c>
      <c r="AH104" s="27">
        <v>6.3473053892215567E-2</v>
      </c>
      <c r="AI104" s="27">
        <v>6.222707423580786E-2</v>
      </c>
      <c r="AJ104" s="27">
        <v>5.5126791620727672E-2</v>
      </c>
      <c r="AK104" s="27">
        <v>1.6949152542372881E-2</v>
      </c>
      <c r="AL104" s="27">
        <v>1.1644832605531296E-2</v>
      </c>
      <c r="AP104" s="27">
        <v>0</v>
      </c>
      <c r="AQ104" s="27">
        <v>1.9851116625310174E-2</v>
      </c>
      <c r="AR104" s="27">
        <v>7.4750830564784057E-2</v>
      </c>
      <c r="AS104" s="27">
        <v>0.10361842105263158</v>
      </c>
      <c r="AT104" s="27">
        <v>7.5885328836424959E-2</v>
      </c>
      <c r="AU104" s="27">
        <v>9.2250922509225092E-2</v>
      </c>
      <c r="AV104" s="27">
        <v>0.1022964509394572</v>
      </c>
      <c r="AW104" s="27">
        <v>7.3829201101928379E-2</v>
      </c>
      <c r="AX104" s="27">
        <v>203</v>
      </c>
      <c r="BA104" s="27">
        <v>0</v>
      </c>
      <c r="BB104" s="27">
        <v>0.55813953488372092</v>
      </c>
      <c r="BC104" s="27">
        <v>0.62637362637362637</v>
      </c>
      <c r="BD104" s="27">
        <v>0.74117647058823533</v>
      </c>
      <c r="BE104" s="27">
        <v>0.70886075949367089</v>
      </c>
      <c r="BF104" s="27">
        <v>0.57894736842105265</v>
      </c>
      <c r="BG104" s="27">
        <v>0.30434782608695654</v>
      </c>
      <c r="BH104" s="27">
        <v>0.64117647058823535</v>
      </c>
      <c r="BK104" s="27">
        <v>3.8989103686352646E-2</v>
      </c>
      <c r="BL104" s="27">
        <v>6.854334697273412E-2</v>
      </c>
      <c r="BM104" s="27">
        <v>7.8890372370366349E-2</v>
      </c>
      <c r="BN104" s="27">
        <v>0.81357717697054699</v>
      </c>
      <c r="BR104" s="27">
        <v>0.39072164948453608</v>
      </c>
      <c r="BS104" s="27">
        <v>0.67247754886423661</v>
      </c>
      <c r="BT104" s="27">
        <v>0.57947019867549665</v>
      </c>
      <c r="BU104" s="27">
        <v>0.68711656441717794</v>
      </c>
      <c r="BV104" s="27">
        <v>0</v>
      </c>
      <c r="BY104" s="27">
        <v>0</v>
      </c>
      <c r="BZ104" s="27">
        <v>0.34987593052109184</v>
      </c>
      <c r="CA104" s="27">
        <v>0.65116279069767447</v>
      </c>
      <c r="CB104" s="27">
        <v>0.71546052631578949</v>
      </c>
      <c r="CC104" s="27">
        <v>0.62057335581787521</v>
      </c>
      <c r="CD104" s="27">
        <v>0.63099630996309963</v>
      </c>
      <c r="CE104" s="27">
        <v>0.615866388308977</v>
      </c>
      <c r="CI104" s="27">
        <v>0</v>
      </c>
      <c r="CJ104" s="27">
        <v>5.1200000000000002E-2</v>
      </c>
      <c r="CK104" s="27">
        <v>0.26515151515151514</v>
      </c>
      <c r="CL104" s="27">
        <v>0.38495575221238937</v>
      </c>
      <c r="CM104" s="27">
        <v>0.36529680365296802</v>
      </c>
      <c r="CN104" s="27">
        <v>0.39726027397260272</v>
      </c>
      <c r="CO104" s="27">
        <v>0.36363636363636365</v>
      </c>
    </row>
    <row r="105" spans="2:93" x14ac:dyDescent="0.2">
      <c r="B105" s="25">
        <v>0</v>
      </c>
      <c r="C105" s="25">
        <v>28</v>
      </c>
      <c r="D105" s="25">
        <v>80</v>
      </c>
      <c r="E105" s="25">
        <v>77</v>
      </c>
      <c r="F105" s="25">
        <v>55</v>
      </c>
      <c r="G105" s="25">
        <v>33</v>
      </c>
      <c r="H105" s="25">
        <v>15</v>
      </c>
      <c r="K105" s="27">
        <v>0</v>
      </c>
      <c r="L105" s="27">
        <v>4</v>
      </c>
      <c r="M105" s="27">
        <v>11</v>
      </c>
      <c r="N105" s="27">
        <v>9</v>
      </c>
      <c r="O105" s="27">
        <v>0</v>
      </c>
      <c r="P105" s="27">
        <v>17</v>
      </c>
      <c r="Q105" s="27">
        <v>0</v>
      </c>
      <c r="R105" s="27">
        <v>0</v>
      </c>
      <c r="S105" s="27">
        <v>16</v>
      </c>
      <c r="T105" s="27">
        <v>14</v>
      </c>
      <c r="U105" s="27">
        <v>0</v>
      </c>
      <c r="X105" s="27">
        <v>0.20499999999999999</v>
      </c>
      <c r="Y105" s="27">
        <v>0.37759999999999999</v>
      </c>
      <c r="Z105" s="27">
        <v>0.12959999999999999</v>
      </c>
      <c r="AA105" s="27">
        <v>3.6799999999999999E-2</v>
      </c>
      <c r="AB105" s="27">
        <v>4.4999999999999998E-2</v>
      </c>
      <c r="AC105" s="27">
        <v>0.20599999999999999</v>
      </c>
      <c r="AF105" s="27">
        <v>0</v>
      </c>
      <c r="AG105" s="27">
        <v>2.7057497181510709E-2</v>
      </c>
      <c r="AH105" s="27">
        <v>6.4439140811455853E-2</v>
      </c>
      <c r="AI105" s="27">
        <v>6.8702290076335881E-2</v>
      </c>
      <c r="AJ105" s="27">
        <v>6.043956043956044E-2</v>
      </c>
      <c r="AK105" s="27">
        <v>1.5686274509803921E-2</v>
      </c>
      <c r="AL105" s="27">
        <v>2.9282576866764276E-3</v>
      </c>
      <c r="AP105" s="27">
        <v>0</v>
      </c>
      <c r="AQ105" s="27">
        <v>2.3869346733668341E-2</v>
      </c>
      <c r="AR105" s="27">
        <v>5.2459016393442623E-2</v>
      </c>
      <c r="AS105" s="27">
        <v>9.7103918228279393E-2</v>
      </c>
      <c r="AT105" s="27">
        <v>8.4858569051580693E-2</v>
      </c>
      <c r="AU105" s="27">
        <v>8.3491461100569264E-2</v>
      </c>
      <c r="AV105" s="27">
        <v>0.10438413361169102</v>
      </c>
      <c r="AW105" s="27">
        <v>7.0277777777777772E-2</v>
      </c>
      <c r="AX105" s="27">
        <v>210</v>
      </c>
      <c r="BA105" s="27">
        <v>0</v>
      </c>
      <c r="BB105" s="27">
        <v>0.67500000000000004</v>
      </c>
      <c r="BC105" s="27">
        <v>0.68478260869565222</v>
      </c>
      <c r="BD105" s="27">
        <v>0.73404255319148937</v>
      </c>
      <c r="BE105" s="27">
        <v>0.77500000000000002</v>
      </c>
      <c r="BF105" s="27">
        <v>0.63636363636363635</v>
      </c>
      <c r="BG105" s="27">
        <v>0.11764705882352941</v>
      </c>
      <c r="BH105" s="27">
        <v>0.68695652173913047</v>
      </c>
      <c r="BK105" s="27">
        <v>4.5590918247367551E-2</v>
      </c>
      <c r="BL105" s="27">
        <v>6.7575416057123139E-2</v>
      </c>
      <c r="BM105" s="27">
        <v>8.0837740770976413E-2</v>
      </c>
      <c r="BN105" s="27">
        <v>0.80599592492453287</v>
      </c>
      <c r="BR105" s="27">
        <v>0.38807531380753141</v>
      </c>
      <c r="BS105" s="27">
        <v>0.6986228813559322</v>
      </c>
      <c r="BT105" s="27">
        <v>0.63111888111888115</v>
      </c>
      <c r="BU105" s="27">
        <v>0.625</v>
      </c>
      <c r="BV105" s="27">
        <v>0</v>
      </c>
      <c r="BY105" s="27">
        <v>0</v>
      </c>
      <c r="BZ105" s="27">
        <v>0.37311557788944721</v>
      </c>
      <c r="CA105" s="27">
        <v>0.66557377049180333</v>
      </c>
      <c r="CB105" s="27">
        <v>0.71550255536626917</v>
      </c>
      <c r="CC105" s="27">
        <v>0.65058236272878534</v>
      </c>
      <c r="CD105" s="27">
        <v>0.61669829222011385</v>
      </c>
      <c r="CE105" s="27">
        <v>0.68267223382045927</v>
      </c>
      <c r="CI105" s="27">
        <v>0</v>
      </c>
      <c r="CJ105" s="27">
        <v>5.2631578947368418E-2</v>
      </c>
      <c r="CK105" s="27">
        <v>0.22137404580152673</v>
      </c>
      <c r="CL105" s="27">
        <v>0.43243243243243246</v>
      </c>
      <c r="CM105" s="27">
        <v>0.36405529953917048</v>
      </c>
      <c r="CN105" s="27">
        <v>0.34741784037558687</v>
      </c>
      <c r="CO105" s="27">
        <v>0.4</v>
      </c>
    </row>
    <row r="106" spans="2:93" x14ac:dyDescent="0.2">
      <c r="B106" s="25">
        <v>0</v>
      </c>
      <c r="C106" s="25">
        <v>27</v>
      </c>
      <c r="D106" s="25">
        <v>69</v>
      </c>
      <c r="E106" s="25">
        <v>77</v>
      </c>
      <c r="F106" s="25">
        <v>62</v>
      </c>
      <c r="G106" s="25">
        <v>34</v>
      </c>
      <c r="H106" s="25">
        <v>15</v>
      </c>
      <c r="K106" s="27">
        <v>0</v>
      </c>
      <c r="L106" s="27">
        <v>6</v>
      </c>
      <c r="M106" s="27">
        <v>11</v>
      </c>
      <c r="N106" s="27">
        <v>11</v>
      </c>
      <c r="O106" s="27">
        <v>0</v>
      </c>
      <c r="P106" s="27">
        <v>18</v>
      </c>
      <c r="Q106" s="27">
        <v>0</v>
      </c>
      <c r="R106" s="27">
        <v>0</v>
      </c>
      <c r="S106" s="27">
        <v>24</v>
      </c>
      <c r="T106" s="27">
        <v>19</v>
      </c>
      <c r="U106" s="27">
        <v>0</v>
      </c>
      <c r="X106" s="27">
        <v>0.20860000000000001</v>
      </c>
      <c r="Y106" s="27">
        <v>0.36840000000000001</v>
      </c>
      <c r="Z106" s="27">
        <v>0.13500000000000001</v>
      </c>
      <c r="AA106" s="27">
        <v>3.32E-2</v>
      </c>
      <c r="AB106" s="27">
        <v>4.0800000000000003E-2</v>
      </c>
      <c r="AC106" s="27">
        <v>0.214</v>
      </c>
      <c r="AF106" s="27">
        <v>0</v>
      </c>
      <c r="AG106" s="27">
        <v>2.1420518602029311E-2</v>
      </c>
      <c r="AH106" s="27">
        <v>6.1004784688995214E-2</v>
      </c>
      <c r="AI106" s="27">
        <v>6.9565217391304349E-2</v>
      </c>
      <c r="AJ106" s="27">
        <v>4.405286343612335E-2</v>
      </c>
      <c r="AK106" s="27">
        <v>1.3071895424836602E-2</v>
      </c>
      <c r="AL106" s="27">
        <v>7.3099415204678359E-3</v>
      </c>
      <c r="AP106" s="27">
        <v>0</v>
      </c>
      <c r="AQ106" s="27">
        <v>2.002503128911139E-2</v>
      </c>
      <c r="AR106" s="27">
        <v>6.6445182724252497E-2</v>
      </c>
      <c r="AS106" s="27">
        <v>8.8435374149659865E-2</v>
      </c>
      <c r="AT106" s="27">
        <v>9.6989966555183951E-2</v>
      </c>
      <c r="AU106" s="27">
        <v>8.4586466165413529E-2</v>
      </c>
      <c r="AV106" s="27">
        <v>0.12050739957716702</v>
      </c>
      <c r="AW106" s="27">
        <v>7.4610244988864149E-2</v>
      </c>
      <c r="AX106" s="27">
        <v>189</v>
      </c>
      <c r="BA106" s="27">
        <v>0</v>
      </c>
      <c r="BB106" s="27">
        <v>0.54347826086956519</v>
      </c>
      <c r="BC106" s="27">
        <v>0.68292682926829273</v>
      </c>
      <c r="BD106" s="27">
        <v>0.81914893617021278</v>
      </c>
      <c r="BE106" s="27">
        <v>0.58904109589041098</v>
      </c>
      <c r="BF106" s="27">
        <v>0.61904761904761907</v>
      </c>
      <c r="BG106" s="27">
        <v>0.36363636363636365</v>
      </c>
      <c r="BH106" s="27">
        <v>0.65680473372781067</v>
      </c>
      <c r="BK106" s="27">
        <v>6.2486525395139485E-2</v>
      </c>
      <c r="BL106" s="27">
        <v>5.3492280905389301E-2</v>
      </c>
      <c r="BM106" s="27">
        <v>8.4734019832424193E-2</v>
      </c>
      <c r="BN106" s="27">
        <v>0.79928717386704695</v>
      </c>
      <c r="BR106" s="27">
        <v>0.38689866939611056</v>
      </c>
      <c r="BS106" s="27">
        <v>0.68132464712269269</v>
      </c>
      <c r="BT106" s="27">
        <v>0.60461285008237231</v>
      </c>
      <c r="BU106" s="27">
        <v>0.60843373493975905</v>
      </c>
      <c r="BV106" s="27">
        <v>0</v>
      </c>
      <c r="BY106" s="27">
        <v>0</v>
      </c>
      <c r="BZ106" s="27">
        <v>0.34918648310387984</v>
      </c>
      <c r="CA106" s="27">
        <v>0.64451827242524917</v>
      </c>
      <c r="CB106" s="27">
        <v>0.69897959183673475</v>
      </c>
      <c r="CC106" s="27">
        <v>0.66722408026755853</v>
      </c>
      <c r="CD106" s="27">
        <v>0.59962406015037595</v>
      </c>
      <c r="CE106" s="27">
        <v>0.64482029598308666</v>
      </c>
      <c r="CI106" s="27">
        <v>0</v>
      </c>
      <c r="CJ106" s="27">
        <v>4.4303797468354431E-2</v>
      </c>
      <c r="CK106" s="27">
        <v>0.28735632183908044</v>
      </c>
      <c r="CL106" s="27">
        <v>0.41904761904761906</v>
      </c>
      <c r="CM106" s="27">
        <v>0.375</v>
      </c>
      <c r="CN106" s="27">
        <v>0.34666666666666668</v>
      </c>
      <c r="CO106" s="27">
        <v>0.43877551020408162</v>
      </c>
    </row>
    <row r="107" spans="2:93" x14ac:dyDescent="0.2">
      <c r="B107" s="25">
        <v>0</v>
      </c>
      <c r="C107" s="25">
        <v>34</v>
      </c>
      <c r="D107" s="25">
        <v>65</v>
      </c>
      <c r="E107" s="25">
        <v>54</v>
      </c>
      <c r="F107" s="25">
        <v>71</v>
      </c>
      <c r="G107" s="25">
        <v>30</v>
      </c>
      <c r="H107" s="25">
        <v>4</v>
      </c>
      <c r="K107" s="27">
        <v>4</v>
      </c>
      <c r="L107" s="27">
        <v>6</v>
      </c>
      <c r="M107" s="27">
        <v>10</v>
      </c>
      <c r="N107" s="27">
        <v>7</v>
      </c>
      <c r="O107" s="27">
        <v>0</v>
      </c>
      <c r="P107" s="27">
        <v>20</v>
      </c>
      <c r="Q107" s="27">
        <v>0</v>
      </c>
      <c r="R107" s="27">
        <v>0</v>
      </c>
      <c r="S107" s="27">
        <v>25</v>
      </c>
      <c r="T107" s="27">
        <v>41</v>
      </c>
      <c r="U107" s="27">
        <v>0</v>
      </c>
      <c r="X107" s="27">
        <v>0.21640000000000001</v>
      </c>
      <c r="Y107" s="27">
        <v>0.36480000000000001</v>
      </c>
      <c r="Z107" s="27">
        <v>0.1426</v>
      </c>
      <c r="AA107" s="27">
        <v>3.0599999999999999E-2</v>
      </c>
      <c r="AB107" s="27">
        <v>4.36E-2</v>
      </c>
      <c r="AC107" s="27">
        <v>0.20200000000000001</v>
      </c>
      <c r="AF107" s="27">
        <v>0</v>
      </c>
      <c r="AG107" s="27">
        <v>1.6930022573363433E-2</v>
      </c>
      <c r="AH107" s="27">
        <v>6.8181818181818177E-2</v>
      </c>
      <c r="AI107" s="27">
        <v>6.0869565217391307E-2</v>
      </c>
      <c r="AJ107" s="27">
        <v>5.7331863285556783E-2</v>
      </c>
      <c r="AK107" s="27">
        <v>2.8720626631853787E-2</v>
      </c>
      <c r="AL107" s="27">
        <v>5.8394160583941602E-3</v>
      </c>
      <c r="AP107" s="27">
        <v>0</v>
      </c>
      <c r="AQ107" s="27">
        <v>1.9875776397515529E-2</v>
      </c>
      <c r="AR107" s="27">
        <v>6.0855263157894739E-2</v>
      </c>
      <c r="AS107" s="27">
        <v>8.5910652920962199E-2</v>
      </c>
      <c r="AT107" s="27">
        <v>8.8628762541806017E-2</v>
      </c>
      <c r="AU107" s="27">
        <v>0.11259541984732824</v>
      </c>
      <c r="AV107" s="27">
        <v>0.12072434607645875</v>
      </c>
      <c r="AW107" s="27">
        <v>7.6092971776425017E-2</v>
      </c>
      <c r="AX107" s="27">
        <v>206</v>
      </c>
      <c r="BA107" s="27">
        <v>0</v>
      </c>
      <c r="BB107" s="27">
        <v>0.5714285714285714</v>
      </c>
      <c r="BC107" s="27">
        <v>0.6262626262626263</v>
      </c>
      <c r="BD107" s="27">
        <v>0.63440860215053763</v>
      </c>
      <c r="BE107" s="27">
        <v>0.6067415730337079</v>
      </c>
      <c r="BF107" s="27">
        <v>0.5641025641025641</v>
      </c>
      <c r="BG107" s="27">
        <v>0.41666666666666669</v>
      </c>
      <c r="BH107" s="27">
        <v>0.60490463215258861</v>
      </c>
      <c r="BK107" s="27">
        <v>3.4549627279506182E-2</v>
      </c>
      <c r="BL107" s="27">
        <v>7.7896052679384042E-2</v>
      </c>
      <c r="BM107" s="27">
        <v>9.5694750387555746E-2</v>
      </c>
      <c r="BN107" s="27">
        <v>0.79185956965355397</v>
      </c>
      <c r="BR107" s="27">
        <v>0.39126117179741809</v>
      </c>
      <c r="BS107" s="27">
        <v>0.69407894736842102</v>
      </c>
      <c r="BT107" s="27">
        <v>0.64126984126984132</v>
      </c>
      <c r="BU107" s="27">
        <v>0.6797385620915033</v>
      </c>
      <c r="BV107" s="27">
        <v>0</v>
      </c>
      <c r="BY107" s="27">
        <v>0</v>
      </c>
      <c r="BZ107" s="27">
        <v>0.35900621118012421</v>
      </c>
      <c r="CA107" s="27">
        <v>0.69407894736842102</v>
      </c>
      <c r="CB107" s="27">
        <v>0.69243986254295531</v>
      </c>
      <c r="CC107" s="27">
        <v>0.65551839464882944</v>
      </c>
      <c r="CD107" s="27">
        <v>0.65458015267175573</v>
      </c>
      <c r="CE107" s="27">
        <v>0.64185110663983902</v>
      </c>
      <c r="CI107" s="27">
        <v>0</v>
      </c>
      <c r="CJ107" s="27">
        <v>4.8895899053627762E-2</v>
      </c>
      <c r="CK107" s="27">
        <v>0.19485294117647059</v>
      </c>
      <c r="CL107" s="27">
        <v>0.32340425531914896</v>
      </c>
      <c r="CM107" s="27">
        <v>0.34597156398104267</v>
      </c>
      <c r="CN107" s="27">
        <v>0.41474654377880182</v>
      </c>
      <c r="CO107" s="27">
        <v>0.40723981900452488</v>
      </c>
    </row>
    <row r="108" spans="2:93" x14ac:dyDescent="0.2">
      <c r="B108" s="25">
        <v>0</v>
      </c>
      <c r="C108" s="25">
        <v>26</v>
      </c>
      <c r="D108" s="25">
        <v>63</v>
      </c>
      <c r="E108" s="25">
        <v>61</v>
      </c>
      <c r="F108" s="25">
        <v>72</v>
      </c>
      <c r="G108" s="25">
        <v>33</v>
      </c>
      <c r="H108" s="25">
        <v>13</v>
      </c>
      <c r="K108" s="27">
        <v>0</v>
      </c>
      <c r="L108" s="27">
        <v>5</v>
      </c>
      <c r="M108" s="27">
        <v>12</v>
      </c>
      <c r="N108" s="27">
        <v>7</v>
      </c>
      <c r="O108" s="27">
        <v>0</v>
      </c>
      <c r="P108" s="27">
        <v>21</v>
      </c>
      <c r="Q108" s="27">
        <v>1</v>
      </c>
      <c r="R108" s="27">
        <v>0</v>
      </c>
      <c r="S108" s="27">
        <v>21</v>
      </c>
      <c r="T108" s="27">
        <v>21</v>
      </c>
      <c r="U108" s="27">
        <v>0</v>
      </c>
      <c r="X108" s="27">
        <v>0.20380000000000001</v>
      </c>
      <c r="Y108" s="27">
        <v>0.37459999999999999</v>
      </c>
      <c r="Z108" s="27">
        <v>0.13139999999999999</v>
      </c>
      <c r="AA108" s="27">
        <v>3.1199999999999999E-2</v>
      </c>
      <c r="AB108" s="27">
        <v>4.4999999999999998E-2</v>
      </c>
      <c r="AC108" s="27">
        <v>0.214</v>
      </c>
      <c r="AF108" s="27">
        <v>0</v>
      </c>
      <c r="AG108" s="27">
        <v>2.8216704288939052E-2</v>
      </c>
      <c r="AH108" s="27">
        <v>5.8472553699284009E-2</v>
      </c>
      <c r="AI108" s="27">
        <v>6.4200217627856368E-2</v>
      </c>
      <c r="AJ108" s="27">
        <v>6.9383259911894271E-2</v>
      </c>
      <c r="AK108" s="27">
        <v>1.1780104712041885E-2</v>
      </c>
      <c r="AL108" s="27">
        <v>1.3138686131386862E-2</v>
      </c>
      <c r="AP108" s="27">
        <v>0</v>
      </c>
      <c r="AQ108" s="27">
        <v>2.729528535980149E-2</v>
      </c>
      <c r="AR108" s="27">
        <v>5.3691275167785234E-2</v>
      </c>
      <c r="AS108" s="27">
        <v>8.7458745874587462E-2</v>
      </c>
      <c r="AT108" s="27">
        <v>9.4474153297682703E-2</v>
      </c>
      <c r="AU108" s="27">
        <v>8.646616541353383E-2</v>
      </c>
      <c r="AV108" s="27">
        <v>0.10266940451745379</v>
      </c>
      <c r="AW108" s="27">
        <v>7.1348940914158304E-2</v>
      </c>
      <c r="AX108" s="27">
        <v>214</v>
      </c>
      <c r="BA108" s="27">
        <v>0</v>
      </c>
      <c r="BB108" s="27">
        <v>0.69444444444444442</v>
      </c>
      <c r="BC108" s="27">
        <v>0.66666666666666663</v>
      </c>
      <c r="BD108" s="27">
        <v>0.63917525773195871</v>
      </c>
      <c r="BE108" s="27">
        <v>0.71134020618556704</v>
      </c>
      <c r="BF108" s="27">
        <v>0.76923076923076927</v>
      </c>
      <c r="BG108" s="27">
        <v>0.45454545454545453</v>
      </c>
      <c r="BH108" s="27">
        <v>0.6647887323943662</v>
      </c>
      <c r="BK108" s="27">
        <v>3.8092350984220077E-2</v>
      </c>
      <c r="BL108" s="27">
        <v>5.0056565377423298E-2</v>
      </c>
      <c r="BM108" s="27">
        <v>5.9586290721823289E-2</v>
      </c>
      <c r="BN108" s="27">
        <v>0.85226479291653334</v>
      </c>
      <c r="BR108" s="27">
        <v>0.389917695473251</v>
      </c>
      <c r="BS108" s="27">
        <v>0.68606513614522158</v>
      </c>
      <c r="BT108" s="27">
        <v>0.61394557823129248</v>
      </c>
      <c r="BU108" s="27">
        <v>0.70967741935483875</v>
      </c>
      <c r="BV108" s="27">
        <v>0</v>
      </c>
      <c r="BY108" s="27">
        <v>0</v>
      </c>
      <c r="BZ108" s="27">
        <v>0.34367245657568241</v>
      </c>
      <c r="CA108" s="27">
        <v>0.68456375838926176</v>
      </c>
      <c r="CB108" s="27">
        <v>0.69306930693069302</v>
      </c>
      <c r="CC108" s="27">
        <v>0.67201426024955435</v>
      </c>
      <c r="CD108" s="27">
        <v>0.66729323308270672</v>
      </c>
      <c r="CE108" s="27">
        <v>0.61190965092402461</v>
      </c>
      <c r="CI108" s="27">
        <v>0</v>
      </c>
      <c r="CJ108" s="27">
        <v>5.0955414012738856E-2</v>
      </c>
      <c r="CK108" s="27">
        <v>0.22950819672131148</v>
      </c>
      <c r="CL108" s="27">
        <v>0.36086956521739133</v>
      </c>
      <c r="CM108" s="27">
        <v>0.36607142857142855</v>
      </c>
      <c r="CN108" s="27">
        <v>0.39361702127659576</v>
      </c>
      <c r="CO108" s="27">
        <v>0.37681159420289856</v>
      </c>
    </row>
    <row r="109" spans="2:93" x14ac:dyDescent="0.2">
      <c r="B109" s="25">
        <v>0</v>
      </c>
      <c r="C109" s="25">
        <v>32</v>
      </c>
      <c r="D109" s="25">
        <v>74</v>
      </c>
      <c r="E109" s="25">
        <v>84</v>
      </c>
      <c r="F109" s="25">
        <v>53</v>
      </c>
      <c r="G109" s="25">
        <v>39</v>
      </c>
      <c r="H109" s="25">
        <v>17</v>
      </c>
      <c r="K109" s="27">
        <v>0</v>
      </c>
      <c r="L109" s="27">
        <v>8</v>
      </c>
      <c r="M109" s="27">
        <v>10</v>
      </c>
      <c r="N109" s="27">
        <v>11</v>
      </c>
      <c r="O109" s="27">
        <v>0</v>
      </c>
      <c r="P109" s="27">
        <v>22</v>
      </c>
      <c r="Q109" s="27">
        <v>1</v>
      </c>
      <c r="R109" s="27">
        <v>0</v>
      </c>
      <c r="S109" s="27">
        <v>22</v>
      </c>
      <c r="T109" s="27">
        <v>24</v>
      </c>
      <c r="U109" s="27">
        <v>0</v>
      </c>
      <c r="X109" s="27">
        <v>0.20880000000000001</v>
      </c>
      <c r="Y109" s="27">
        <v>0.36840000000000001</v>
      </c>
      <c r="Z109" s="27">
        <v>0.13600000000000001</v>
      </c>
      <c r="AA109" s="27">
        <v>3.4200000000000001E-2</v>
      </c>
      <c r="AB109" s="27">
        <v>4.2799999999999998E-2</v>
      </c>
      <c r="AC109" s="27">
        <v>0.20979999999999999</v>
      </c>
      <c r="AF109" s="27">
        <v>0</v>
      </c>
      <c r="AG109" s="27">
        <v>2.2547914317925591E-2</v>
      </c>
      <c r="AH109" s="27">
        <v>5.3892215568862277E-2</v>
      </c>
      <c r="AI109" s="27">
        <v>7.2210065645514229E-2</v>
      </c>
      <c r="AJ109" s="27">
        <v>4.6460176991150445E-2</v>
      </c>
      <c r="AK109" s="27">
        <v>1.9430051813471502E-2</v>
      </c>
      <c r="AL109" s="27">
        <v>1.0174418604651164E-2</v>
      </c>
      <c r="AP109" s="27">
        <v>0</v>
      </c>
      <c r="AQ109" s="27">
        <v>1.9826517967781909E-2</v>
      </c>
      <c r="AR109" s="27">
        <v>6.2193126022913256E-2</v>
      </c>
      <c r="AS109" s="27">
        <v>9.1065292096219927E-2</v>
      </c>
      <c r="AT109" s="27">
        <v>8.0617495711835338E-2</v>
      </c>
      <c r="AU109" s="27">
        <v>0.11439114391143912</v>
      </c>
      <c r="AV109" s="27">
        <v>0.10208333333333333</v>
      </c>
      <c r="AW109" s="27">
        <v>7.3509015256588067E-2</v>
      </c>
      <c r="AX109" s="27">
        <v>195</v>
      </c>
      <c r="BA109" s="27">
        <v>0</v>
      </c>
      <c r="BB109" s="27">
        <v>0.61702127659574468</v>
      </c>
      <c r="BC109" s="27">
        <v>0.65116279069767447</v>
      </c>
      <c r="BD109" s="27">
        <v>0.7142857142857143</v>
      </c>
      <c r="BE109" s="27">
        <v>0.676056338028169</v>
      </c>
      <c r="BF109" s="27">
        <v>0.54285714285714282</v>
      </c>
      <c r="BG109" s="27">
        <v>0.36842105263157893</v>
      </c>
      <c r="BH109" s="27">
        <v>0.64462809917355368</v>
      </c>
      <c r="BK109" s="27">
        <v>2.5232627910183554E-2</v>
      </c>
      <c r="BL109" s="27">
        <v>7.4921829629415293E-2</v>
      </c>
      <c r="BM109" s="27">
        <v>8.1044152085743434E-2</v>
      </c>
      <c r="BN109" s="27">
        <v>0.81880139037465782</v>
      </c>
      <c r="BR109" s="27">
        <v>0.36734693877551022</v>
      </c>
      <c r="BS109" s="27">
        <v>0.67969598262757869</v>
      </c>
      <c r="BT109" s="27">
        <v>0.63398692810457513</v>
      </c>
      <c r="BU109" s="27">
        <v>0.68421052631578949</v>
      </c>
      <c r="BV109" s="27">
        <v>0</v>
      </c>
      <c r="BY109" s="27">
        <v>0</v>
      </c>
      <c r="BZ109" s="27">
        <v>0.35687732342007433</v>
      </c>
      <c r="CA109" s="27">
        <v>0.68903436988543376</v>
      </c>
      <c r="CB109" s="27">
        <v>0.67353951890034369</v>
      </c>
      <c r="CC109" s="27">
        <v>0.64150943396226412</v>
      </c>
      <c r="CD109" s="27">
        <v>0.64760147601476015</v>
      </c>
      <c r="CE109" s="27">
        <v>0.60624999999999996</v>
      </c>
      <c r="CI109" s="27">
        <v>0</v>
      </c>
      <c r="CJ109" s="27">
        <v>4.4374009508716325E-2</v>
      </c>
      <c r="CK109" s="27">
        <v>0.22097378277153559</v>
      </c>
      <c r="CL109" s="27">
        <v>0.36771300448430494</v>
      </c>
      <c r="CM109" s="27">
        <v>0.33183856502242154</v>
      </c>
      <c r="CN109" s="27">
        <v>0.41592920353982299</v>
      </c>
      <c r="CO109" s="27">
        <v>0.39487179487179486</v>
      </c>
    </row>
    <row r="110" spans="2:93" x14ac:dyDescent="0.2">
      <c r="B110" s="25">
        <v>0</v>
      </c>
      <c r="C110" s="25">
        <v>28</v>
      </c>
      <c r="D110" s="25">
        <v>84</v>
      </c>
      <c r="E110" s="25">
        <v>75</v>
      </c>
      <c r="F110" s="25">
        <v>60</v>
      </c>
      <c r="G110" s="25">
        <v>45</v>
      </c>
      <c r="H110" s="25">
        <v>12</v>
      </c>
      <c r="K110" s="27">
        <v>0</v>
      </c>
      <c r="L110" s="27">
        <v>3</v>
      </c>
      <c r="M110" s="27">
        <v>8</v>
      </c>
      <c r="N110" s="27">
        <v>8</v>
      </c>
      <c r="O110" s="27">
        <v>0</v>
      </c>
      <c r="P110" s="27">
        <v>23</v>
      </c>
      <c r="Q110" s="27">
        <v>0</v>
      </c>
      <c r="R110" s="27">
        <v>0</v>
      </c>
      <c r="S110" s="27">
        <v>23</v>
      </c>
      <c r="T110" s="27">
        <v>20</v>
      </c>
      <c r="U110" s="27">
        <v>0</v>
      </c>
      <c r="X110" s="27">
        <v>0.2104</v>
      </c>
      <c r="Y110" s="27">
        <v>0.37140000000000001</v>
      </c>
      <c r="Z110" s="27">
        <v>0.14360000000000001</v>
      </c>
      <c r="AA110" s="27">
        <v>3.2599999999999997E-2</v>
      </c>
      <c r="AB110" s="27">
        <v>4.3200000000000002E-2</v>
      </c>
      <c r="AC110" s="27">
        <v>0.1988</v>
      </c>
      <c r="AF110" s="27">
        <v>0</v>
      </c>
      <c r="AG110" s="27">
        <v>2.1517553793884484E-2</v>
      </c>
      <c r="AH110" s="27">
        <v>6.3397129186602869E-2</v>
      </c>
      <c r="AI110" s="27">
        <v>6.2975027144408252E-2</v>
      </c>
      <c r="AJ110" s="27">
        <v>6.5861690450054883E-2</v>
      </c>
      <c r="AK110" s="27">
        <v>1.0484927916120577E-2</v>
      </c>
      <c r="AL110" s="27">
        <v>5.8309037900874635E-3</v>
      </c>
      <c r="AP110" s="27">
        <v>0</v>
      </c>
      <c r="AQ110" s="27">
        <v>2.2528160200250311E-2</v>
      </c>
      <c r="AR110" s="27">
        <v>5.7096247960848286E-2</v>
      </c>
      <c r="AS110" s="27">
        <v>8.0267558528428096E-2</v>
      </c>
      <c r="AT110" s="27">
        <v>0.10981697171381032</v>
      </c>
      <c r="AU110" s="27">
        <v>0.10036496350364964</v>
      </c>
      <c r="AV110" s="27">
        <v>0.11666666666666667</v>
      </c>
      <c r="AW110" s="27">
        <v>7.6394613904918932E-2</v>
      </c>
      <c r="AX110" s="27">
        <v>202</v>
      </c>
      <c r="BA110" s="27">
        <v>0</v>
      </c>
      <c r="BB110" s="27">
        <v>0.64516129032258063</v>
      </c>
      <c r="BC110" s="27">
        <v>0.70370370370370372</v>
      </c>
      <c r="BD110" s="27">
        <v>0.62857142857142856</v>
      </c>
      <c r="BE110" s="27">
        <v>0.66666666666666663</v>
      </c>
      <c r="BF110" s="27">
        <v>0.63636363636363635</v>
      </c>
      <c r="BG110" s="27">
        <v>0.41666666666666669</v>
      </c>
      <c r="BH110" s="27">
        <v>0.65129682997118155</v>
      </c>
      <c r="BK110" s="27">
        <v>3.4822036102878998E-2</v>
      </c>
      <c r="BL110" s="27">
        <v>5.2067071443517479E-2</v>
      </c>
      <c r="BM110" s="27">
        <v>9.0888894477768767E-2</v>
      </c>
      <c r="BN110" s="27">
        <v>0.82222199797583473</v>
      </c>
      <c r="BR110" s="27">
        <v>0.40163098878695208</v>
      </c>
      <c r="BS110" s="27">
        <v>0.68336025848142168</v>
      </c>
      <c r="BT110" s="27">
        <v>0.60188087774294674</v>
      </c>
      <c r="BU110" s="27">
        <v>0.66871165644171782</v>
      </c>
      <c r="BV110" s="27">
        <v>0</v>
      </c>
      <c r="BY110" s="27">
        <v>0</v>
      </c>
      <c r="BZ110" s="27">
        <v>0.36170212765957449</v>
      </c>
      <c r="CA110" s="27">
        <v>0.63784665579119082</v>
      </c>
      <c r="CB110" s="27">
        <v>0.69230769230769229</v>
      </c>
      <c r="CC110" s="27">
        <v>0.64392678868552411</v>
      </c>
      <c r="CD110" s="27">
        <v>0.66058394160583944</v>
      </c>
      <c r="CE110" s="27">
        <v>0.65208333333333335</v>
      </c>
      <c r="CI110" s="27">
        <v>0</v>
      </c>
      <c r="CJ110" s="27">
        <v>5.0713153724247229E-2</v>
      </c>
      <c r="CK110" s="27">
        <v>0.25475285171102663</v>
      </c>
      <c r="CL110" s="27">
        <v>0.33482142857142855</v>
      </c>
      <c r="CM110" s="27">
        <v>0.45378151260504201</v>
      </c>
      <c r="CN110" s="27">
        <v>0.36324786324786323</v>
      </c>
      <c r="CO110" s="27">
        <v>0.42783505154639173</v>
      </c>
    </row>
    <row r="111" spans="2:93" x14ac:dyDescent="0.2">
      <c r="B111" s="25">
        <v>0</v>
      </c>
      <c r="C111" s="25">
        <v>20</v>
      </c>
      <c r="D111" s="25">
        <v>72</v>
      </c>
      <c r="E111" s="25">
        <v>90</v>
      </c>
      <c r="F111" s="25">
        <v>72</v>
      </c>
      <c r="G111" s="25">
        <v>37</v>
      </c>
      <c r="H111" s="25">
        <v>15</v>
      </c>
      <c r="K111" s="27">
        <v>0</v>
      </c>
      <c r="L111" s="27">
        <v>6</v>
      </c>
      <c r="M111" s="27">
        <v>9</v>
      </c>
      <c r="N111" s="27">
        <v>12</v>
      </c>
      <c r="O111" s="27">
        <v>0</v>
      </c>
      <c r="P111" s="27">
        <v>18</v>
      </c>
      <c r="Q111" s="27">
        <v>1</v>
      </c>
      <c r="R111" s="27">
        <v>0</v>
      </c>
      <c r="S111" s="27">
        <v>27</v>
      </c>
      <c r="T111" s="27">
        <v>24</v>
      </c>
      <c r="U111" s="27">
        <v>0</v>
      </c>
      <c r="X111" s="27">
        <v>0.21079999999999999</v>
      </c>
      <c r="Y111" s="27">
        <v>0.375</v>
      </c>
      <c r="Z111" s="27">
        <v>0.13320000000000001</v>
      </c>
      <c r="AA111" s="27">
        <v>3.1E-2</v>
      </c>
      <c r="AB111" s="27">
        <v>4.1399999999999999E-2</v>
      </c>
      <c r="AC111" s="27">
        <v>0.20860000000000001</v>
      </c>
      <c r="AF111" s="27">
        <v>0</v>
      </c>
      <c r="AG111" s="27">
        <v>2.0247469066366704E-2</v>
      </c>
      <c r="AH111" s="27">
        <v>5.2631578947368418E-2</v>
      </c>
      <c r="AI111" s="27">
        <v>5.8695652173913045E-2</v>
      </c>
      <c r="AJ111" s="27">
        <v>6.0506050605060507E-2</v>
      </c>
      <c r="AK111" s="27">
        <v>1.4379084967320261E-2</v>
      </c>
      <c r="AL111" s="27">
        <v>1.4684287812041116E-2</v>
      </c>
      <c r="AP111" s="27">
        <v>0</v>
      </c>
      <c r="AQ111" s="27">
        <v>1.7412935323383085E-2</v>
      </c>
      <c r="AR111" s="27">
        <v>7.6547231270358312E-2</v>
      </c>
      <c r="AS111" s="27">
        <v>0.11092715231788079</v>
      </c>
      <c r="AT111" s="27">
        <v>8.8028169014084501E-2</v>
      </c>
      <c r="AU111" s="27">
        <v>0.10131332082551595</v>
      </c>
      <c r="AV111" s="27">
        <v>8.3844580777096112E-2</v>
      </c>
      <c r="AW111" s="27">
        <v>7.5581395348837205E-2</v>
      </c>
      <c r="AX111" s="27">
        <v>192</v>
      </c>
      <c r="BA111" s="27">
        <v>0</v>
      </c>
      <c r="BB111" s="27">
        <v>0.46341463414634149</v>
      </c>
      <c r="BC111" s="27">
        <v>0.63513513513513509</v>
      </c>
      <c r="BD111" s="27">
        <v>0.72527472527472525</v>
      </c>
      <c r="BE111" s="27">
        <v>0.64634146341463417</v>
      </c>
      <c r="BF111" s="27">
        <v>0.65384615384615385</v>
      </c>
      <c r="BG111" s="27">
        <v>0.47368421052631576</v>
      </c>
      <c r="BH111" s="27">
        <v>0.63363363363363367</v>
      </c>
      <c r="BK111" s="27">
        <v>4.5738445824380344E-2</v>
      </c>
      <c r="BL111" s="27">
        <v>4.2048526868058836E-2</v>
      </c>
      <c r="BM111" s="27">
        <v>8.7011527169298719E-2</v>
      </c>
      <c r="BN111" s="27">
        <v>0.82520150013826221</v>
      </c>
      <c r="BR111" s="27">
        <v>0.38877755511022044</v>
      </c>
      <c r="BS111" s="27">
        <v>0.67413333333333336</v>
      </c>
      <c r="BT111" s="27">
        <v>0.63356164383561642</v>
      </c>
      <c r="BU111" s="27">
        <v>0.67741935483870963</v>
      </c>
      <c r="BV111" s="27">
        <v>0</v>
      </c>
      <c r="BY111" s="27">
        <v>0</v>
      </c>
      <c r="BZ111" s="27">
        <v>0.35696517412935325</v>
      </c>
      <c r="CA111" s="27">
        <v>0.67263843648208466</v>
      </c>
      <c r="CB111" s="27">
        <v>0.6887417218543046</v>
      </c>
      <c r="CC111" s="27">
        <v>0.65140845070422537</v>
      </c>
      <c r="CD111" s="27">
        <v>0.6303939962476548</v>
      </c>
      <c r="CE111" s="27">
        <v>0.62372188139059304</v>
      </c>
      <c r="CI111" s="27">
        <v>0</v>
      </c>
      <c r="CJ111" s="27">
        <v>4.2789223454833596E-2</v>
      </c>
      <c r="CK111" s="27">
        <v>0.26515151515151514</v>
      </c>
      <c r="CL111" s="27">
        <v>0.42790697674418604</v>
      </c>
      <c r="CM111" s="27">
        <v>0.31674208144796379</v>
      </c>
      <c r="CN111" s="27">
        <v>0.35</v>
      </c>
      <c r="CO111" s="27">
        <v>0.34554973821989526</v>
      </c>
    </row>
    <row r="112" spans="2:93" x14ac:dyDescent="0.2">
      <c r="B112" s="25">
        <v>0</v>
      </c>
      <c r="C112" s="25">
        <v>23</v>
      </c>
      <c r="D112" s="25">
        <v>77</v>
      </c>
      <c r="E112" s="25">
        <v>97</v>
      </c>
      <c r="F112" s="25">
        <v>91</v>
      </c>
      <c r="G112" s="25">
        <v>31</v>
      </c>
      <c r="H112" s="25">
        <v>9</v>
      </c>
      <c r="K112" s="27">
        <v>0</v>
      </c>
      <c r="L112" s="27">
        <v>10</v>
      </c>
      <c r="M112" s="27">
        <v>10</v>
      </c>
      <c r="N112" s="27">
        <v>11</v>
      </c>
      <c r="O112" s="27">
        <v>0</v>
      </c>
      <c r="P112" s="27">
        <v>24</v>
      </c>
      <c r="Q112" s="27">
        <v>0</v>
      </c>
      <c r="R112" s="27">
        <v>0</v>
      </c>
      <c r="S112" s="27">
        <v>26</v>
      </c>
      <c r="T112" s="27">
        <v>18</v>
      </c>
      <c r="U112" s="27">
        <v>0</v>
      </c>
      <c r="X112" s="27">
        <v>0.2036</v>
      </c>
      <c r="Y112" s="27">
        <v>0.37119999999999997</v>
      </c>
      <c r="Z112" s="27">
        <v>0.14099999999999999</v>
      </c>
      <c r="AA112" s="27">
        <v>3.5200000000000002E-2</v>
      </c>
      <c r="AB112" s="27">
        <v>4.36E-2</v>
      </c>
      <c r="AC112" s="27">
        <v>0.2054</v>
      </c>
      <c r="AF112" s="27">
        <v>0</v>
      </c>
      <c r="AG112" s="27">
        <v>1.92090395480226E-2</v>
      </c>
      <c r="AH112" s="27">
        <v>5.2821128451380553E-2</v>
      </c>
      <c r="AI112" s="27">
        <v>6.9716775599128547E-2</v>
      </c>
      <c r="AJ112" s="27">
        <v>4.8404840484048403E-2</v>
      </c>
      <c r="AK112" s="27">
        <v>2.4675324675324677E-2</v>
      </c>
      <c r="AL112" s="27">
        <v>7.2992700729927005E-3</v>
      </c>
      <c r="AP112" s="27">
        <v>0</v>
      </c>
      <c r="AQ112" s="27">
        <v>2.5094102885821833E-2</v>
      </c>
      <c r="AR112" s="27">
        <v>9.3489148580968282E-2</v>
      </c>
      <c r="AS112" s="27">
        <v>9.6505823627287851E-2</v>
      </c>
      <c r="AT112" s="27">
        <v>9.4155844155844159E-2</v>
      </c>
      <c r="AU112" s="27">
        <v>0.11516314779270634</v>
      </c>
      <c r="AV112" s="27">
        <v>0.12731006160164271</v>
      </c>
      <c r="AW112" s="27">
        <v>8.6716376691521685E-2</v>
      </c>
      <c r="AX112" s="27">
        <v>193</v>
      </c>
      <c r="BA112" s="27">
        <v>0</v>
      </c>
      <c r="BB112" s="27">
        <v>0.5</v>
      </c>
      <c r="BC112" s="27">
        <v>0.59793814432989689</v>
      </c>
      <c r="BD112" s="27">
        <v>0.67226890756302526</v>
      </c>
      <c r="BE112" s="27">
        <v>0.61538461538461542</v>
      </c>
      <c r="BF112" s="27">
        <v>0.64516129032258063</v>
      </c>
      <c r="BG112" s="27">
        <v>0.45454545454545453</v>
      </c>
      <c r="BH112" s="27">
        <v>0.61436170212765961</v>
      </c>
      <c r="BK112" s="27">
        <v>7.2567246142417122E-2</v>
      </c>
      <c r="BL112" s="27">
        <v>5.2657035902540984E-2</v>
      </c>
      <c r="BM112" s="27">
        <v>6.0988951606154654E-2</v>
      </c>
      <c r="BN112" s="27">
        <v>0.81378676634888714</v>
      </c>
      <c r="BR112" s="27">
        <v>0.39769150052465896</v>
      </c>
      <c r="BS112" s="27">
        <v>0.68696120689655171</v>
      </c>
      <c r="BT112" s="27">
        <v>0.63364779874213839</v>
      </c>
      <c r="BU112" s="27">
        <v>0.6875</v>
      </c>
      <c r="BV112" s="27">
        <v>0</v>
      </c>
      <c r="BY112" s="27">
        <v>0</v>
      </c>
      <c r="BZ112" s="27">
        <v>0.38895859473023842</v>
      </c>
      <c r="CA112" s="27">
        <v>0.65776293823038401</v>
      </c>
      <c r="CB112" s="27">
        <v>0.67387687188019962</v>
      </c>
      <c r="CC112" s="27">
        <v>0.66720779220779225</v>
      </c>
      <c r="CD112" s="27">
        <v>0.61420345489443373</v>
      </c>
      <c r="CE112" s="27">
        <v>0.69404517453798764</v>
      </c>
      <c r="CI112" s="27">
        <v>0</v>
      </c>
      <c r="CJ112" s="27">
        <v>5.0874403815580289E-2</v>
      </c>
      <c r="CK112" s="27">
        <v>0.27067669172932329</v>
      </c>
      <c r="CL112" s="27">
        <v>0.41517857142857145</v>
      </c>
      <c r="CM112" s="27">
        <v>0.41228070175438597</v>
      </c>
      <c r="CN112" s="27">
        <v>0.40350877192982454</v>
      </c>
      <c r="CO112" s="27">
        <v>0.45077720207253885</v>
      </c>
    </row>
    <row r="113" spans="2:93" x14ac:dyDescent="0.2">
      <c r="B113" s="25">
        <v>0</v>
      </c>
      <c r="C113" s="25">
        <v>30</v>
      </c>
      <c r="D113" s="25">
        <v>67</v>
      </c>
      <c r="E113" s="25">
        <v>78</v>
      </c>
      <c r="F113" s="25">
        <v>84</v>
      </c>
      <c r="G113" s="25">
        <v>29</v>
      </c>
      <c r="H113" s="25">
        <v>12</v>
      </c>
      <c r="K113" s="27">
        <v>0</v>
      </c>
      <c r="L113" s="27">
        <v>6</v>
      </c>
      <c r="M113" s="27">
        <v>10</v>
      </c>
      <c r="N113" s="27">
        <v>9</v>
      </c>
      <c r="O113" s="27">
        <v>0</v>
      </c>
      <c r="P113" s="27">
        <v>17</v>
      </c>
      <c r="Q113" s="27">
        <v>1</v>
      </c>
      <c r="R113" s="27">
        <v>0</v>
      </c>
      <c r="S113" s="27">
        <v>23</v>
      </c>
      <c r="T113" s="27">
        <v>18</v>
      </c>
      <c r="U113" s="27">
        <v>0</v>
      </c>
      <c r="X113" s="27">
        <v>0.21299999999999999</v>
      </c>
      <c r="Y113" s="27">
        <v>0.36599999999999999</v>
      </c>
      <c r="Z113" s="27">
        <v>0.13719999999999999</v>
      </c>
      <c r="AA113" s="27">
        <v>3.0800000000000001E-2</v>
      </c>
      <c r="AB113" s="27">
        <v>4.2000000000000003E-2</v>
      </c>
      <c r="AC113" s="27">
        <v>0.21099999999999999</v>
      </c>
      <c r="AF113" s="27">
        <v>0</v>
      </c>
      <c r="AG113" s="27">
        <v>2.1324354657687991E-2</v>
      </c>
      <c r="AH113" s="27">
        <v>6.9377990430622011E-2</v>
      </c>
      <c r="AI113" s="27">
        <v>5.3493449781659388E-2</v>
      </c>
      <c r="AJ113" s="27">
        <v>5.1933701657458566E-2</v>
      </c>
      <c r="AK113" s="27">
        <v>2.356020942408377E-2</v>
      </c>
      <c r="AL113" s="27">
        <v>5.8139534883720929E-3</v>
      </c>
      <c r="AP113" s="27">
        <v>0</v>
      </c>
      <c r="AQ113" s="27">
        <v>1.4742014742014743E-2</v>
      </c>
      <c r="AR113" s="27">
        <v>9.1222030981067126E-2</v>
      </c>
      <c r="AS113" s="27">
        <v>8.4717607973421927E-2</v>
      </c>
      <c r="AT113" s="27">
        <v>9.1680814940577254E-2</v>
      </c>
      <c r="AU113" s="27">
        <v>0.1224105461393597</v>
      </c>
      <c r="AV113" s="27">
        <v>0.1125</v>
      </c>
      <c r="AW113" s="27">
        <v>8.0344731720878512E-2</v>
      </c>
      <c r="AX113" s="27">
        <v>195</v>
      </c>
      <c r="BA113" s="27">
        <v>0</v>
      </c>
      <c r="BB113" s="27">
        <v>0.56756756756756754</v>
      </c>
      <c r="BC113" s="27">
        <v>0.80246913580246915</v>
      </c>
      <c r="BD113" s="27">
        <v>0.68888888888888888</v>
      </c>
      <c r="BE113" s="27">
        <v>0.67816091954022983</v>
      </c>
      <c r="BF113" s="27">
        <v>0.66666666666666663</v>
      </c>
      <c r="BG113" s="27">
        <v>0.25</v>
      </c>
      <c r="BH113" s="27">
        <v>0.67761194029850746</v>
      </c>
      <c r="BK113" s="27">
        <v>3.228378863669408E-2</v>
      </c>
      <c r="BL113" s="27">
        <v>5.3072830333729545E-2</v>
      </c>
      <c r="BM113" s="27">
        <v>7.3492728107252131E-2</v>
      </c>
      <c r="BN113" s="27">
        <v>0.84115065292232427</v>
      </c>
      <c r="BR113" s="27">
        <v>0.38346613545816732</v>
      </c>
      <c r="BS113" s="27">
        <v>0.66448087431693992</v>
      </c>
      <c r="BT113" s="27">
        <v>0.65573770491803274</v>
      </c>
      <c r="BU113" s="27">
        <v>0.62745098039215685</v>
      </c>
      <c r="BV113" s="27">
        <v>0</v>
      </c>
      <c r="BY113" s="27">
        <v>0</v>
      </c>
      <c r="BZ113" s="27">
        <v>0.34766584766584768</v>
      </c>
      <c r="CA113" s="27">
        <v>0.68502581755593805</v>
      </c>
      <c r="CB113" s="27">
        <v>0.69102990033222589</v>
      </c>
      <c r="CC113" s="27">
        <v>0.63327674023769098</v>
      </c>
      <c r="CD113" s="27">
        <v>0.62335216572504704</v>
      </c>
      <c r="CE113" s="27">
        <v>0.6166666666666667</v>
      </c>
      <c r="CI113" s="27">
        <v>0</v>
      </c>
      <c r="CJ113" s="27">
        <v>3.4700315457413249E-2</v>
      </c>
      <c r="CK113" s="27">
        <v>0.26335877862595419</v>
      </c>
      <c r="CL113" s="27">
        <v>0.36842105263157893</v>
      </c>
      <c r="CM113" s="27">
        <v>0.37229437229437229</v>
      </c>
      <c r="CN113" s="27">
        <v>0.38181818181818183</v>
      </c>
      <c r="CO113" s="27">
        <v>0.44102564102564101</v>
      </c>
    </row>
  </sheetData>
  <mergeCells count="4">
    <mergeCell ref="CS1:CV1"/>
    <mergeCell ref="CX1:DA1"/>
    <mergeCell ref="DE1:DH1"/>
    <mergeCell ref="DJ1:DM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5" tint="0.59999389629810485"/>
  </sheetPr>
  <dimension ref="A1:BK108"/>
  <sheetViews>
    <sheetView showGridLines="0" workbookViewId="0">
      <selection activeCell="C21" sqref="C21"/>
    </sheetView>
  </sheetViews>
  <sheetFormatPr baseColWidth="10" defaultColWidth="8.83203125" defaultRowHeight="15" x14ac:dyDescent="0.2"/>
  <cols>
    <col min="1" max="1" width="19.33203125" customWidth="1"/>
    <col min="2" max="2" width="13.1640625" bestFit="1" customWidth="1"/>
    <col min="3" max="3" width="13.1640625" customWidth="1"/>
    <col min="7" max="7" width="4" customWidth="1"/>
    <col min="8" max="8" width="13.1640625" bestFit="1" customWidth="1"/>
    <col min="9" max="9" width="13.1640625" customWidth="1"/>
    <col min="13" max="13" width="4.83203125" customWidth="1"/>
    <col min="14" max="17" width="11.83203125" customWidth="1"/>
    <col min="18" max="18" width="5.33203125" customWidth="1"/>
    <col min="19" max="22" width="12.33203125" customWidth="1"/>
    <col min="35" max="38" width="8.83203125" style="87"/>
    <col min="42" max="42" width="11.33203125" customWidth="1"/>
    <col min="45" max="45" width="12" bestFit="1" customWidth="1"/>
  </cols>
  <sheetData>
    <row r="1" spans="1:63" x14ac:dyDescent="0.2">
      <c r="B1" s="224" t="s">
        <v>82</v>
      </c>
      <c r="C1" s="224"/>
      <c r="D1" s="224"/>
      <c r="E1" s="224"/>
      <c r="F1" s="224"/>
      <c r="H1" s="224" t="s">
        <v>84</v>
      </c>
      <c r="I1" s="224"/>
      <c r="J1" s="224"/>
      <c r="K1" s="224"/>
      <c r="L1" s="224"/>
      <c r="N1" s="224" t="s">
        <v>83</v>
      </c>
      <c r="O1" s="224"/>
      <c r="P1" s="224"/>
      <c r="Q1" s="224"/>
      <c r="S1" s="224" t="s">
        <v>85</v>
      </c>
      <c r="T1" s="224"/>
      <c r="U1" s="224"/>
      <c r="V1" s="224"/>
      <c r="AN1" s="59" t="s">
        <v>77</v>
      </c>
      <c r="AX1" s="59" t="s">
        <v>139</v>
      </c>
      <c r="AY1" s="161"/>
      <c r="AZ1" s="161"/>
      <c r="BA1" s="161"/>
      <c r="BC1" s="161"/>
      <c r="BD1" s="161"/>
      <c r="BE1" s="161"/>
      <c r="BF1" s="161"/>
      <c r="BG1" s="161"/>
      <c r="BH1" s="59" t="s">
        <v>140</v>
      </c>
      <c r="BI1" s="161"/>
      <c r="BJ1" s="161"/>
      <c r="BK1" s="161"/>
    </row>
    <row r="2" spans="1:63" x14ac:dyDescent="0.2">
      <c r="B2" s="86"/>
      <c r="C2" s="225" t="s">
        <v>81</v>
      </c>
      <c r="D2" s="225"/>
      <c r="E2" s="225"/>
      <c r="F2" s="225"/>
      <c r="H2" s="86"/>
      <c r="I2" s="225" t="s">
        <v>81</v>
      </c>
      <c r="J2" s="225"/>
      <c r="K2" s="225"/>
      <c r="L2" s="225"/>
      <c r="N2" s="225" t="s">
        <v>81</v>
      </c>
      <c r="O2" s="225"/>
      <c r="P2" s="225"/>
      <c r="Q2" s="225"/>
      <c r="R2" s="90"/>
      <c r="S2" s="225" t="s">
        <v>81</v>
      </c>
      <c r="T2" s="225"/>
      <c r="U2" s="225"/>
      <c r="V2" s="225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223" t="s">
        <v>79</v>
      </c>
      <c r="AJ2" s="223"/>
      <c r="AK2" s="223"/>
      <c r="AL2" s="89"/>
      <c r="AN2" s="46" t="s">
        <v>78</v>
      </c>
      <c r="AO2" s="88"/>
      <c r="AP2" s="94"/>
      <c r="AQ2" s="94"/>
      <c r="AS2" s="223" t="s">
        <v>79</v>
      </c>
      <c r="AT2" s="223"/>
      <c r="AU2" s="223"/>
      <c r="AV2" s="185"/>
      <c r="AX2" s="46" t="s">
        <v>78</v>
      </c>
      <c r="AY2" s="88"/>
      <c r="AZ2" s="94"/>
      <c r="BA2" s="94"/>
      <c r="BC2" s="223" t="s">
        <v>79</v>
      </c>
      <c r="BD2" s="223"/>
      <c r="BE2" s="223"/>
      <c r="BF2" s="185"/>
      <c r="BG2" s="161"/>
      <c r="BH2" s="46" t="s">
        <v>78</v>
      </c>
      <c r="BI2" s="88"/>
      <c r="BJ2" s="94"/>
      <c r="BK2" s="94"/>
    </row>
    <row r="3" spans="1:63" s="27" customFormat="1" x14ac:dyDescent="0.2">
      <c r="A3" s="103"/>
      <c r="B3" s="103" t="s">
        <v>76</v>
      </c>
      <c r="C3" s="104">
        <v>0.25</v>
      </c>
      <c r="D3" s="105">
        <v>0.5</v>
      </c>
      <c r="E3" s="105">
        <v>0.75</v>
      </c>
      <c r="F3" s="105">
        <v>1</v>
      </c>
      <c r="H3" s="103" t="s">
        <v>76</v>
      </c>
      <c r="I3" s="104">
        <v>0.25</v>
      </c>
      <c r="J3" s="105">
        <v>0.5</v>
      </c>
      <c r="K3" s="105">
        <v>0.75</v>
      </c>
      <c r="L3" s="105">
        <v>1</v>
      </c>
      <c r="N3" s="104">
        <f>C3</f>
        <v>0.25</v>
      </c>
      <c r="O3" s="104">
        <f t="shared" ref="O3:Q3" si="0">D3</f>
        <v>0.5</v>
      </c>
      <c r="P3" s="104">
        <f t="shared" si="0"/>
        <v>0.75</v>
      </c>
      <c r="Q3" s="104">
        <f t="shared" si="0"/>
        <v>1</v>
      </c>
      <c r="R3" s="107"/>
      <c r="S3" s="106">
        <f>C3</f>
        <v>0.25</v>
      </c>
      <c r="T3" s="106">
        <f t="shared" ref="T3:V3" si="1">D3</f>
        <v>0.5</v>
      </c>
      <c r="U3" s="106">
        <f t="shared" si="1"/>
        <v>0.75</v>
      </c>
      <c r="V3" s="106">
        <f t="shared" si="1"/>
        <v>1</v>
      </c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8" t="s">
        <v>73</v>
      </c>
      <c r="AJ3" s="108">
        <v>0.05</v>
      </c>
      <c r="AK3" s="108">
        <v>0.1</v>
      </c>
      <c r="AL3" s="107">
        <v>0.12</v>
      </c>
      <c r="AN3" s="108" t="s">
        <v>73</v>
      </c>
      <c r="AO3" s="108">
        <v>0.05</v>
      </c>
      <c r="AP3" s="108">
        <v>0.1</v>
      </c>
      <c r="AQ3" s="104">
        <v>0.12</v>
      </c>
      <c r="AS3" s="127">
        <v>2.5000000000000001E-2</v>
      </c>
      <c r="AT3" s="127">
        <v>0.05</v>
      </c>
      <c r="AU3" s="127">
        <v>0.1</v>
      </c>
      <c r="AV3" s="127">
        <v>0.12</v>
      </c>
      <c r="AX3" s="108" t="s">
        <v>73</v>
      </c>
      <c r="AY3" s="108">
        <v>0.05</v>
      </c>
      <c r="AZ3" s="108">
        <v>0.1</v>
      </c>
      <c r="BA3" s="104">
        <v>0.12</v>
      </c>
      <c r="BC3" s="127">
        <v>-2.5000000000000001E-2</v>
      </c>
      <c r="BD3" s="127">
        <v>-0.05</v>
      </c>
      <c r="BE3" s="127">
        <v>-0.1</v>
      </c>
      <c r="BF3" s="127">
        <v>-0.12</v>
      </c>
      <c r="BH3" s="127">
        <v>-2.5000000000000001E-2</v>
      </c>
      <c r="BI3" s="127">
        <v>-0.05</v>
      </c>
      <c r="BJ3" s="127">
        <v>-0.1</v>
      </c>
      <c r="BK3" s="171">
        <v>-0.12</v>
      </c>
    </row>
    <row r="4" spans="1:63" x14ac:dyDescent="0.2">
      <c r="A4" s="62" t="s">
        <v>88</v>
      </c>
      <c r="B4" s="78">
        <f>AVERAGE(B9:B1002)</f>
        <v>10.111599999999997</v>
      </c>
      <c r="C4" s="78">
        <f t="shared" ref="C4:F4" si="2">AVERAGE(C9:C1002)</f>
        <v>7.6157999999999992</v>
      </c>
      <c r="D4" s="78">
        <f t="shared" si="2"/>
        <v>5.0872000000000002</v>
      </c>
      <c r="E4" s="78">
        <f t="shared" si="2"/>
        <v>2.5164</v>
      </c>
      <c r="F4" s="78">
        <f t="shared" si="2"/>
        <v>0</v>
      </c>
      <c r="H4" s="83">
        <f>AVERAGE(H9:H1002)</f>
        <v>0.22343911085008339</v>
      </c>
      <c r="I4" s="83">
        <f t="shared" ref="I4:L4" si="3">AVERAGE(I9:I1002)</f>
        <v>0.19307330064325057</v>
      </c>
      <c r="J4" s="83">
        <f t="shared" si="3"/>
        <v>0.15504840890395374</v>
      </c>
      <c r="K4" s="83">
        <f t="shared" si="3"/>
        <v>0.12055232137014223</v>
      </c>
      <c r="L4" s="83">
        <f t="shared" si="3"/>
        <v>8.982680891646147E-2</v>
      </c>
      <c r="N4" s="83">
        <f>MEDIAN(N9:N1002)</f>
        <v>0.2453791753994593</v>
      </c>
      <c r="O4" s="83">
        <f>MEDIAN(O9:O1002)</f>
        <v>0.49800264719015114</v>
      </c>
      <c r="P4" s="83">
        <f t="shared" ref="P4" si="4">MEDIAN(P9:P1002)</f>
        <v>0.74904545388303534</v>
      </c>
      <c r="Q4" s="83">
        <f>MEDIAN(Q9:Q1002)</f>
        <v>1</v>
      </c>
      <c r="R4" s="91"/>
      <c r="S4" s="83">
        <f>MEDIAN(S9:S1002)</f>
        <v>0.13014595696887368</v>
      </c>
      <c r="T4" s="83">
        <f>MEDIAN(T9:T1002)</f>
        <v>0.31206753129674025</v>
      </c>
      <c r="U4" s="83">
        <f t="shared" ref="U4" si="5">MEDIAN(U9:U1002)</f>
        <v>0.45204897453659965</v>
      </c>
      <c r="V4" s="83">
        <f>MEDIAN(V9:V1002)</f>
        <v>0.58826072890614312</v>
      </c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2">
        <f>MEDIAN(AI9:AI1002)</f>
        <v>9.56</v>
      </c>
      <c r="AJ4" s="92">
        <f t="shared" ref="AJ4:AQ4" si="6">MEDIAN(AJ9:AJ1002)</f>
        <v>9.4</v>
      </c>
      <c r="AK4" s="92">
        <f t="shared" si="6"/>
        <v>9.08</v>
      </c>
      <c r="AL4" s="92">
        <f t="shared" si="6"/>
        <v>8.9600000000000009</v>
      </c>
      <c r="AM4" s="93"/>
      <c r="AN4" s="96">
        <f>MEDIAN(AN9:AN1002)</f>
        <v>5.4551208512994692E-2</v>
      </c>
      <c r="AO4" s="96">
        <f t="shared" si="6"/>
        <v>7.0374619249178899E-2</v>
      </c>
      <c r="AP4" s="96">
        <f t="shared" si="6"/>
        <v>0.1020214407215473</v>
      </c>
      <c r="AQ4" s="96">
        <f t="shared" si="6"/>
        <v>0.11388899877368536</v>
      </c>
    </row>
    <row r="5" spans="1:63" ht="15.75" customHeight="1" x14ac:dyDescent="0.2">
      <c r="A5" s="62" t="s">
        <v>135</v>
      </c>
      <c r="B5" s="76">
        <f>_xlfn.PERCENTILE.INC(B9:B1002,alpha/2)</f>
        <v>9.4495000000000005</v>
      </c>
      <c r="C5" s="76">
        <f>_xlfn.PERCENTILE.INC(C9:C1002,alpha/2)</f>
        <v>7.0874999999999995</v>
      </c>
      <c r="D5" s="76">
        <f>_xlfn.PERCENTILE.INC(D9:D1002,alpha/2)</f>
        <v>4.5190000000000001</v>
      </c>
      <c r="E5" s="76">
        <f>_xlfn.PERCENTILE.INC(E9:E1002,alpha/2)</f>
        <v>2.1180000000000003</v>
      </c>
      <c r="F5" s="76">
        <f>_xlfn.PERCENTILE.INC(F9:F1002,alpha/2)</f>
        <v>0</v>
      </c>
      <c r="H5" s="84">
        <f>_xlfn.PERCENTILE.INC(H9:H1002,alpha/2)</f>
        <v>0.1763209474892892</v>
      </c>
      <c r="I5" s="84">
        <f>_xlfn.PERCENTILE.INC(I9:I1002,alpha/2)</f>
        <v>0.1531421535935977</v>
      </c>
      <c r="J5" s="84">
        <f>_xlfn.PERCENTILE.INC(J9:J1002,alpha/2)</f>
        <v>0.12402782983508247</v>
      </c>
      <c r="K5" s="84">
        <f>_xlfn.PERCENTILE.INC(K9:K1002,alpha/2)</f>
        <v>7.0673699383255406E-2</v>
      </c>
      <c r="L5" s="84">
        <f>_xlfn.PERCENTILE.INC(L9:L1002,alpha/2)</f>
        <v>5.3266699845167E-2</v>
      </c>
      <c r="N5" s="84">
        <f>_xlfn.PERCENTILE.INC(N9:N1002,alpha/2)</f>
        <v>0.21319309298413427</v>
      </c>
      <c r="O5" s="84">
        <f>_xlfn.PERCENTILE.INC(O9:O1002,alpha/2)</f>
        <v>0.44301739849943533</v>
      </c>
      <c r="P5" s="84">
        <f>_xlfn.PERCENTILE.INC(P9:P1002,alpha/2)</f>
        <v>0.72568757890249702</v>
      </c>
      <c r="Q5" s="84">
        <f>_xlfn.PERCENTILE.INC(Q9:Q1002,alpha/2)</f>
        <v>1</v>
      </c>
      <c r="R5" s="84"/>
      <c r="S5" s="84">
        <f>_xlfn.PERCENTILE.INC(S9:S1002,alpha/2)</f>
        <v>8.3747842347525872E-2</v>
      </c>
      <c r="T5" s="84">
        <f>_xlfn.PERCENTILE.INC(T9:T1002,alpha/2)</f>
        <v>0.18849916763911712</v>
      </c>
      <c r="U5" s="84">
        <f>_xlfn.PERCENTILE.INC(U9:U1002,alpha/2)</f>
        <v>0.36256668873010306</v>
      </c>
      <c r="V5" s="84">
        <f>_xlfn.PERCENTILE.INC(V9:V1002,alpha/2)</f>
        <v>0.50613198907286849</v>
      </c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7">
        <f>_xlfn.PERCENTILE.INC(AI9:AI1002,alpha/2)</f>
        <v>9.0990000000000002</v>
      </c>
      <c r="AJ5" s="87">
        <f>_xlfn.PERCENTILE.INC(AJ9:AJ1002,alpha/2)</f>
        <v>8.8979999999999997</v>
      </c>
      <c r="AK5" s="87">
        <f>_xlfn.PERCENTILE.INC(AK9:AK1002,alpha/2)</f>
        <v>8.6</v>
      </c>
      <c r="AL5" s="87">
        <f>_xlfn.PERCENTILE.INC(AL9:AL1002,alpha/2)</f>
        <v>8.3800000000000008</v>
      </c>
      <c r="AM5" s="87"/>
      <c r="AN5" s="95">
        <f>_xlfn.PERCENTILE.INC(AN9:AN1002,alpha/2)</f>
        <v>1.0878594881107433E-4</v>
      </c>
      <c r="AO5" s="95">
        <f>_xlfn.PERCENTILE.INC(AO9:AO1002,alpha/2)</f>
        <v>1.5437715099489432E-2</v>
      </c>
      <c r="AP5" s="95">
        <f>_xlfn.PERCENTILE.INC(AP9:AP1002,alpha/2)</f>
        <v>3.6552078800585294E-2</v>
      </c>
      <c r="AQ5" s="95">
        <f>_xlfn.PERCENTILE.INC(AQ9:AQ1002,alpha/2)</f>
        <v>4.4562680485778459E-2</v>
      </c>
    </row>
    <row r="6" spans="1:63" s="161" customFormat="1" ht="15.75" customHeight="1" x14ac:dyDescent="0.2">
      <c r="A6" s="62" t="s">
        <v>136</v>
      </c>
      <c r="B6" s="76"/>
      <c r="C6" s="76"/>
      <c r="D6" s="76"/>
      <c r="E6" s="76"/>
      <c r="F6" s="76"/>
      <c r="H6" s="84"/>
      <c r="I6" s="84"/>
      <c r="J6" s="84"/>
      <c r="K6" s="84"/>
      <c r="L6" s="84"/>
      <c r="N6" s="84"/>
      <c r="O6" s="84"/>
      <c r="P6" s="84"/>
      <c r="Q6" s="84"/>
      <c r="R6" s="84"/>
      <c r="S6" s="84"/>
      <c r="T6" s="84"/>
      <c r="U6" s="84"/>
      <c r="V6" s="84"/>
      <c r="W6" s="84">
        <f>AN4-AN5</f>
        <v>5.4442422564183621E-2</v>
      </c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180"/>
      <c r="AJ6" s="180"/>
      <c r="AK6" s="180"/>
      <c r="AL6" s="180"/>
      <c r="AM6" s="180"/>
      <c r="AN6" s="189">
        <f>AN4-AN5</f>
        <v>5.4442422564183621E-2</v>
      </c>
      <c r="AO6" s="189">
        <f t="shared" ref="AO6:AQ6" si="7">AO4-AO5</f>
        <v>5.4936904149689464E-2</v>
      </c>
      <c r="AP6" s="189">
        <f t="shared" si="7"/>
        <v>6.5469361920962005E-2</v>
      </c>
      <c r="AQ6" s="189">
        <f t="shared" si="7"/>
        <v>6.9326318287906891E-2</v>
      </c>
      <c r="AS6"/>
      <c r="AT6"/>
      <c r="AU6"/>
      <c r="AV6"/>
      <c r="AX6"/>
      <c r="AY6"/>
      <c r="AZ6"/>
      <c r="BA6"/>
    </row>
    <row r="7" spans="1:63" x14ac:dyDescent="0.2">
      <c r="A7" s="21" t="s">
        <v>138</v>
      </c>
      <c r="B7" s="186">
        <f>_xlfn.PERCENTILE.INC(B9:B1002,1-alpha/2)</f>
        <v>10.6905</v>
      </c>
      <c r="C7" s="186">
        <f>_xlfn.PERCENTILE.INC(C9:C1002,1-alpha/2)</f>
        <v>8.0705000000000009</v>
      </c>
      <c r="D7" s="186">
        <f>_xlfn.PERCENTILE.INC(D9:D1002,1-alpha/2)</f>
        <v>5.641</v>
      </c>
      <c r="E7" s="186">
        <f>_xlfn.PERCENTILE.INC(E9:E1002,1-alpha/2)</f>
        <v>2.78</v>
      </c>
      <c r="F7" s="186">
        <f>_xlfn.PERCENTILE.INC(F9:F1002,1-alpha/2)</f>
        <v>0</v>
      </c>
      <c r="G7" s="6"/>
      <c r="H7" s="187">
        <f>_xlfn.PERCENTILE.INC(H9:H1002,1-alpha/2)</f>
        <v>0.25620199146514933</v>
      </c>
      <c r="I7" s="187">
        <f>_xlfn.PERCENTILE.INC(I9:I1002,1-alpha/2)</f>
        <v>0.22895962732919253</v>
      </c>
      <c r="J7" s="187">
        <f>_xlfn.PERCENTILE.INC(J9:J1002,1-alpha/2)</f>
        <v>0.18056486412045539</v>
      </c>
      <c r="K7" s="187">
        <f>_xlfn.PERCENTILE.INC(K9:K1002,1-alpha/2)</f>
        <v>0.14686592958589056</v>
      </c>
      <c r="L7" s="187">
        <f>_xlfn.PERCENTILE.INC(L9:L1002,1-alpha/2)</f>
        <v>0.11376740004375648</v>
      </c>
      <c r="M7" s="6"/>
      <c r="N7" s="187">
        <f>_xlfn.PERCENTILE.INC(N9:N1002,1-alpha/2)</f>
        <v>0.27875522335589126</v>
      </c>
      <c r="O7" s="187">
        <f>_xlfn.PERCENTILE.INC(O9:O1002,1-alpha/2)</f>
        <v>0.54618837595859615</v>
      </c>
      <c r="P7" s="187">
        <f>_xlfn.PERCENTILE.INC(P9:P1002,1-alpha/2)</f>
        <v>0.78553621481090297</v>
      </c>
      <c r="Q7" s="187">
        <f>_xlfn.PERCENTILE.INC(Q9:Q1002,1-alpha/2)</f>
        <v>1</v>
      </c>
      <c r="R7" s="187"/>
      <c r="S7" s="187">
        <f>_xlfn.PERCENTILE.INC(S9:S1002,1-alpha/2)</f>
        <v>0.21460337568181165</v>
      </c>
      <c r="T7" s="187">
        <f>_xlfn.PERCENTILE.INC(T9:T1002,1-alpha/2)</f>
        <v>0.39360316060844946</v>
      </c>
      <c r="U7" s="187">
        <f>_xlfn.PERCENTILE.INC(U9:U1002,1-alpha/2)</f>
        <v>0.60670518262927309</v>
      </c>
      <c r="V7" s="187">
        <f>_xlfn.PERCENTILE.INC(V9:V1002,1-alpha/2)</f>
        <v>0.70743130461205972</v>
      </c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7">
        <f>_xlfn.PERCENTILE.INC(AI9:AI1002,1-alpha/2)</f>
        <v>10.1105</v>
      </c>
      <c r="AJ7" s="7">
        <f>_xlfn.PERCENTILE.INC(AJ9:AJ1002,1-alpha/2)</f>
        <v>9.9554999999999989</v>
      </c>
      <c r="AK7" s="7">
        <f>_xlfn.PERCENTILE.INC(AK9:AK1002,1-alpha/2)</f>
        <v>9.7419999999999991</v>
      </c>
      <c r="AL7" s="7">
        <f>_xlfn.PERCENTILE.INC(AL9:AL1002,1-alpha/2)</f>
        <v>9.6609999999999996</v>
      </c>
      <c r="AM7" s="7"/>
      <c r="AN7" s="188">
        <f>_xlfn.PERCENTILE.INC(AN9:AN1002,1-alpha/2)</f>
        <v>0.10014241069662543</v>
      </c>
      <c r="AO7" s="188">
        <f>_xlfn.PERCENTILE.INC(AO9:AO1002,1-alpha/2)</f>
        <v>0.12002057043395681</v>
      </c>
      <c r="AP7" s="188">
        <f>_xlfn.PERCENTILE.INC(AP9:AP1002,1-alpha/2)</f>
        <v>0.14949167293009991</v>
      </c>
      <c r="AQ7" s="188">
        <f>_xlfn.PERCENTILE.INC(AQ9:AQ1002,1-alpha/2)</f>
        <v>0.17124886269235307</v>
      </c>
    </row>
    <row r="8" spans="1:63" s="161" customFormat="1" x14ac:dyDescent="0.2">
      <c r="A8" s="63" t="s">
        <v>137</v>
      </c>
      <c r="B8" s="77"/>
      <c r="C8" s="77"/>
      <c r="D8" s="77"/>
      <c r="E8" s="77"/>
      <c r="F8" s="77"/>
      <c r="G8" s="31"/>
      <c r="H8" s="85"/>
      <c r="I8" s="85"/>
      <c r="J8" s="85"/>
      <c r="K8" s="85"/>
      <c r="L8" s="85"/>
      <c r="M8" s="31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32"/>
      <c r="AJ8" s="32"/>
      <c r="AK8" s="32"/>
      <c r="AL8" s="32"/>
      <c r="AM8" s="32"/>
      <c r="AN8" s="190">
        <f>AN7-AN4</f>
        <v>4.5591202183630733E-2</v>
      </c>
      <c r="AO8" s="190">
        <f t="shared" ref="AO8:AQ8" si="8">AO7-AO4</f>
        <v>4.9645951184777909E-2</v>
      </c>
      <c r="AP8" s="190">
        <f t="shared" si="8"/>
        <v>4.7470232208552607E-2</v>
      </c>
      <c r="AQ8" s="190">
        <f t="shared" si="8"/>
        <v>5.7359863918667708E-2</v>
      </c>
      <c r="AX8"/>
      <c r="AY8"/>
      <c r="AZ8"/>
      <c r="BA8"/>
    </row>
    <row r="9" spans="1:63" x14ac:dyDescent="0.2">
      <c r="B9" s="101">
        <v>9.76</v>
      </c>
      <c r="C9" s="98">
        <v>7.5</v>
      </c>
      <c r="D9" s="98">
        <v>4.9000000000000004</v>
      </c>
      <c r="E9" s="98">
        <v>2.04</v>
      </c>
      <c r="F9" s="98">
        <v>0</v>
      </c>
      <c r="H9" s="98">
        <v>0.22105263157894736</v>
      </c>
      <c r="I9" s="98">
        <v>0.17847769028871391</v>
      </c>
      <c r="J9" s="98">
        <v>0.13984168865435356</v>
      </c>
      <c r="K9" s="98">
        <v>0.10626702997275204</v>
      </c>
      <c r="L9" s="98">
        <v>7.9670329670329665E-2</v>
      </c>
      <c r="N9" s="29">
        <f t="shared" ref="N9:N40" si="9">($B9-C9)/$B9</f>
        <v>0.23155737704918031</v>
      </c>
      <c r="O9" s="29">
        <f t="shared" ref="O9:O40" si="10">($B9-D9)/$B9</f>
        <v>0.49795081967213112</v>
      </c>
      <c r="P9" s="29">
        <f t="shared" ref="P9:P40" si="11">($B9-E9)/$B9</f>
        <v>0.79098360655737709</v>
      </c>
      <c r="Q9" s="29">
        <f t="shared" ref="Q9:Q40" si="12">($B9-F9)/$B9</f>
        <v>1</v>
      </c>
      <c r="R9" s="29"/>
      <c r="S9" s="29">
        <f>($H9-I9)/$H9</f>
        <v>0.19260092488438943</v>
      </c>
      <c r="T9" s="29">
        <f>($H9-J9)/$H9</f>
        <v>0.3673828370398291</v>
      </c>
      <c r="U9" s="29">
        <f t="shared" ref="U9:V9" si="13">($H9-K9)/$H9</f>
        <v>0.51926819774231214</v>
      </c>
      <c r="V9" s="29">
        <f t="shared" si="13"/>
        <v>0.63958660387231814</v>
      </c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87">
        <v>9.1199999999999992</v>
      </c>
      <c r="AJ9" s="29">
        <v>8.82</v>
      </c>
      <c r="AK9" s="87">
        <v>8.6</v>
      </c>
      <c r="AL9">
        <v>8.48</v>
      </c>
      <c r="AN9">
        <f>($B$4-AI9)/$B$4</f>
        <v>9.8065588037501331E-2</v>
      </c>
      <c r="AO9">
        <f>($B$4-AJ9)/$B$4</f>
        <v>0.12773448316784658</v>
      </c>
      <c r="AP9">
        <f>($B$4-AK9)/$B$4</f>
        <v>0.14949167293009991</v>
      </c>
      <c r="AQ9">
        <f>($B$4-AL9)/$B$4</f>
        <v>0.16135923098223798</v>
      </c>
    </row>
    <row r="10" spans="1:63" x14ac:dyDescent="0.2">
      <c r="B10" s="101">
        <v>10.78</v>
      </c>
      <c r="C10" s="98">
        <v>8.08</v>
      </c>
      <c r="D10" s="98">
        <v>5.48</v>
      </c>
      <c r="E10" s="98">
        <v>2.6</v>
      </c>
      <c r="F10" s="98">
        <v>0</v>
      </c>
      <c r="H10" s="98">
        <v>0.22807017543859648</v>
      </c>
      <c r="I10" s="98">
        <v>0.18965517241379309</v>
      </c>
      <c r="J10" s="98">
        <v>0.15970515970515969</v>
      </c>
      <c r="K10" s="98">
        <v>0.12406947890818859</v>
      </c>
      <c r="L10" s="98">
        <v>8.9743589743589744E-2</v>
      </c>
      <c r="N10" s="29">
        <f t="shared" si="9"/>
        <v>0.25046382189239325</v>
      </c>
      <c r="O10" s="29">
        <f t="shared" si="10"/>
        <v>0.49165120593692013</v>
      </c>
      <c r="P10" s="29">
        <f t="shared" si="11"/>
        <v>0.75881261595547311</v>
      </c>
      <c r="Q10" s="29">
        <f t="shared" si="12"/>
        <v>1</v>
      </c>
      <c r="R10" s="29"/>
      <c r="S10" s="29">
        <f t="shared" ref="S10:S73" si="14">($H10-I10)/$H10</f>
        <v>0.16843501326259946</v>
      </c>
      <c r="T10" s="29">
        <f t="shared" ref="T10:T73" si="15">($H10-J10)/$H10</f>
        <v>0.29975429975429979</v>
      </c>
      <c r="U10" s="29">
        <f t="shared" ref="U10:U73" si="16">($H10-K10)/$H10</f>
        <v>0.45600305401794228</v>
      </c>
      <c r="V10" s="29">
        <f t="shared" ref="V10:V73" si="17">($H10-L10)/$H10</f>
        <v>0.60650887573964485</v>
      </c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87">
        <v>10.32</v>
      </c>
      <c r="AJ10" s="29">
        <v>10.28</v>
      </c>
      <c r="AK10" s="87">
        <v>9.92</v>
      </c>
      <c r="AL10">
        <v>9.68</v>
      </c>
      <c r="AN10">
        <f t="shared" ref="AN10:AN73" si="18">($B$4-AI10)/$B$4</f>
        <v>-2.0609992483880183E-2</v>
      </c>
      <c r="AO10">
        <f t="shared" ref="AO10:AO73" si="19">($B$4-AJ10)/$B$4</f>
        <v>-1.6654139799834045E-2</v>
      </c>
      <c r="AP10">
        <f t="shared" ref="AP10:AP73" si="20">($B$4-AK10)/$B$4</f>
        <v>1.8948534356580324E-2</v>
      </c>
      <c r="AQ10">
        <f t="shared" ref="AQ10:AQ73" si="21">($B$4-AL10)/$B$4</f>
        <v>4.2683650460856627E-2</v>
      </c>
    </row>
    <row r="11" spans="1:63" x14ac:dyDescent="0.2">
      <c r="B11" s="101">
        <v>10.220000000000001</v>
      </c>
      <c r="C11" s="98">
        <v>7.66</v>
      </c>
      <c r="D11" s="98">
        <v>5.3</v>
      </c>
      <c r="E11" s="98">
        <v>2.56</v>
      </c>
      <c r="F11" s="98">
        <v>0</v>
      </c>
      <c r="H11" s="98">
        <v>0.24804177545691905</v>
      </c>
      <c r="I11" s="98">
        <v>0.22222222222222221</v>
      </c>
      <c r="J11" s="98">
        <v>0.16279069767441862</v>
      </c>
      <c r="K11" s="98">
        <v>0.13766233766233765</v>
      </c>
      <c r="L11" s="98">
        <v>9.4147582697201013E-2</v>
      </c>
      <c r="N11" s="29">
        <f t="shared" si="9"/>
        <v>0.2504892367906067</v>
      </c>
      <c r="O11" s="29">
        <f t="shared" si="10"/>
        <v>0.48140900195694719</v>
      </c>
      <c r="P11" s="29">
        <f t="shared" si="11"/>
        <v>0.74951076320939336</v>
      </c>
      <c r="Q11" s="29">
        <f t="shared" si="12"/>
        <v>1</v>
      </c>
      <c r="R11" s="29"/>
      <c r="S11" s="29">
        <f t="shared" si="14"/>
        <v>0.104093567251462</v>
      </c>
      <c r="T11" s="29">
        <f t="shared" si="15"/>
        <v>0.34369645042839653</v>
      </c>
      <c r="U11" s="29">
        <f t="shared" si="16"/>
        <v>0.44500341763499662</v>
      </c>
      <c r="V11" s="29">
        <f t="shared" si="17"/>
        <v>0.620436587652337</v>
      </c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87">
        <v>9.34</v>
      </c>
      <c r="AJ11" s="29">
        <v>9.24</v>
      </c>
      <c r="AK11" s="87">
        <v>8.94</v>
      </c>
      <c r="AL11">
        <v>8.84</v>
      </c>
      <c r="AN11">
        <f t="shared" si="18"/>
        <v>7.6308398275248018E-2</v>
      </c>
      <c r="AO11">
        <f t="shared" si="19"/>
        <v>8.6198029985363092E-2</v>
      </c>
      <c r="AP11">
        <f t="shared" si="20"/>
        <v>0.11586692511570852</v>
      </c>
      <c r="AQ11">
        <f t="shared" si="21"/>
        <v>0.1257565568258236</v>
      </c>
    </row>
    <row r="12" spans="1:63" x14ac:dyDescent="0.2">
      <c r="B12" s="101">
        <v>9.9</v>
      </c>
      <c r="C12" s="98">
        <v>7.52</v>
      </c>
      <c r="D12" s="98">
        <v>4.9400000000000004</v>
      </c>
      <c r="E12" s="98">
        <v>2.6</v>
      </c>
      <c r="F12" s="98">
        <v>0</v>
      </c>
      <c r="H12" s="98">
        <v>0.20356234096692111</v>
      </c>
      <c r="I12" s="98">
        <v>0.18320610687022901</v>
      </c>
      <c r="J12" s="98">
        <v>0.14833759590792839</v>
      </c>
      <c r="K12" s="98">
        <v>0.11794871794871795</v>
      </c>
      <c r="L12" s="98">
        <v>0.10282776349614396</v>
      </c>
      <c r="N12" s="29">
        <f t="shared" si="9"/>
        <v>0.24040404040404048</v>
      </c>
      <c r="O12" s="29">
        <f t="shared" si="10"/>
        <v>0.50101010101010102</v>
      </c>
      <c r="P12" s="29">
        <f t="shared" si="11"/>
        <v>0.73737373737373746</v>
      </c>
      <c r="Q12" s="29">
        <f t="shared" si="12"/>
        <v>1</v>
      </c>
      <c r="R12" s="29"/>
      <c r="S12" s="29">
        <f t="shared" si="14"/>
        <v>9.999999999999995E-2</v>
      </c>
      <c r="T12" s="29">
        <f t="shared" si="15"/>
        <v>0.27129156010230177</v>
      </c>
      <c r="U12" s="29">
        <f t="shared" si="16"/>
        <v>0.42057692307692307</v>
      </c>
      <c r="V12" s="29">
        <f t="shared" si="17"/>
        <v>0.49485861182519275</v>
      </c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87">
        <v>9.44</v>
      </c>
      <c r="AJ12" s="29">
        <v>9.14</v>
      </c>
      <c r="AK12" s="87">
        <v>8.84</v>
      </c>
      <c r="AL12">
        <v>8.7200000000000006</v>
      </c>
      <c r="AN12">
        <f t="shared" si="18"/>
        <v>6.6418766565132931E-2</v>
      </c>
      <c r="AO12">
        <f t="shared" si="19"/>
        <v>9.608766169547818E-2</v>
      </c>
      <c r="AP12">
        <f t="shared" si="20"/>
        <v>0.1257565568258236</v>
      </c>
      <c r="AQ12">
        <f t="shared" si="21"/>
        <v>0.13762411487796167</v>
      </c>
    </row>
    <row r="13" spans="1:63" x14ac:dyDescent="0.2">
      <c r="B13" s="101">
        <v>10.28</v>
      </c>
      <c r="C13" s="98">
        <v>7.32</v>
      </c>
      <c r="D13" s="98">
        <v>4.66</v>
      </c>
      <c r="E13" s="98">
        <v>2.08</v>
      </c>
      <c r="F13" s="98">
        <v>0</v>
      </c>
      <c r="H13" s="98">
        <v>0.24264705882352941</v>
      </c>
      <c r="I13" s="98">
        <v>0.20347394540942929</v>
      </c>
      <c r="J13" s="98">
        <v>0.16290726817042606</v>
      </c>
      <c r="K13" s="98">
        <v>0.13399503722084366</v>
      </c>
      <c r="L13" s="98">
        <v>0.105</v>
      </c>
      <c r="N13" s="29">
        <f t="shared" si="9"/>
        <v>0.2879377431906614</v>
      </c>
      <c r="O13" s="29">
        <f t="shared" si="10"/>
        <v>0.546692607003891</v>
      </c>
      <c r="P13" s="29">
        <f t="shared" si="11"/>
        <v>0.79766536964980539</v>
      </c>
      <c r="Q13" s="29">
        <f t="shared" si="12"/>
        <v>1</v>
      </c>
      <c r="R13" s="29"/>
      <c r="S13" s="29">
        <f t="shared" si="14"/>
        <v>0.16144070982780659</v>
      </c>
      <c r="T13" s="29">
        <f t="shared" si="15"/>
        <v>0.32862459178248654</v>
      </c>
      <c r="U13" s="29">
        <f t="shared" si="16"/>
        <v>0.44777802842318976</v>
      </c>
      <c r="V13" s="29">
        <f t="shared" si="17"/>
        <v>0.56727272727272726</v>
      </c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87">
        <v>9.74</v>
      </c>
      <c r="AJ13" s="29">
        <v>9.48</v>
      </c>
      <c r="AK13" s="87">
        <v>9.3000000000000007</v>
      </c>
      <c r="AL13">
        <v>9.14</v>
      </c>
      <c r="AN13">
        <f t="shared" si="18"/>
        <v>3.6749871434787508E-2</v>
      </c>
      <c r="AO13">
        <f t="shared" si="19"/>
        <v>6.2462913881086796E-2</v>
      </c>
      <c r="AP13">
        <f t="shared" si="20"/>
        <v>8.0264250959293973E-2</v>
      </c>
      <c r="AQ13">
        <f t="shared" si="21"/>
        <v>9.608766169547818E-2</v>
      </c>
    </row>
    <row r="14" spans="1:63" x14ac:dyDescent="0.2">
      <c r="B14" s="101">
        <v>9.44</v>
      </c>
      <c r="C14" s="98">
        <v>6.94</v>
      </c>
      <c r="D14" s="98">
        <v>4.58</v>
      </c>
      <c r="E14" s="98">
        <v>2.16</v>
      </c>
      <c r="F14" s="98">
        <v>0</v>
      </c>
      <c r="H14" s="98">
        <v>0.21893491124260356</v>
      </c>
      <c r="I14" s="98">
        <v>0.19047619047619047</v>
      </c>
      <c r="J14" s="98">
        <v>0.15178571428571427</v>
      </c>
      <c r="K14" s="98">
        <v>0.1130952380952381</v>
      </c>
      <c r="L14" s="98">
        <v>8.6567164179104483E-2</v>
      </c>
      <c r="N14" s="29">
        <f t="shared" si="9"/>
        <v>0.26483050847457618</v>
      </c>
      <c r="O14" s="29">
        <f t="shared" si="10"/>
        <v>0.51483050847457623</v>
      </c>
      <c r="P14" s="29">
        <f t="shared" si="11"/>
        <v>0.77118644067796605</v>
      </c>
      <c r="Q14" s="29">
        <f t="shared" si="12"/>
        <v>1</v>
      </c>
      <c r="R14" s="29"/>
      <c r="S14" s="29">
        <f t="shared" si="14"/>
        <v>0.12998712998713008</v>
      </c>
      <c r="T14" s="29">
        <f t="shared" si="15"/>
        <v>0.30670849420849428</v>
      </c>
      <c r="U14" s="29">
        <f t="shared" si="16"/>
        <v>0.48342985842985847</v>
      </c>
      <c r="V14" s="29">
        <f t="shared" si="17"/>
        <v>0.60459862847922552</v>
      </c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87">
        <v>8.9600000000000009</v>
      </c>
      <c r="AJ14" s="29">
        <v>8.76</v>
      </c>
      <c r="AK14" s="87">
        <v>8.2799999999999994</v>
      </c>
      <c r="AL14">
        <v>8.18</v>
      </c>
      <c r="AN14">
        <f t="shared" si="18"/>
        <v>0.11388899877368536</v>
      </c>
      <c r="AO14">
        <f t="shared" si="19"/>
        <v>0.1336682621939157</v>
      </c>
      <c r="AP14">
        <f t="shared" si="20"/>
        <v>0.18113849440246832</v>
      </c>
      <c r="AQ14">
        <f t="shared" si="21"/>
        <v>0.19102812611258341</v>
      </c>
    </row>
    <row r="15" spans="1:63" x14ac:dyDescent="0.2">
      <c r="B15" s="101">
        <v>9.94</v>
      </c>
      <c r="C15" s="98">
        <v>7.54</v>
      </c>
      <c r="D15" s="98">
        <v>4.9400000000000004</v>
      </c>
      <c r="E15" s="98">
        <v>2.66</v>
      </c>
      <c r="F15" s="98">
        <v>0</v>
      </c>
      <c r="H15" s="98">
        <v>0.24289405684754523</v>
      </c>
      <c r="I15" s="98">
        <v>0.21827411167512689</v>
      </c>
      <c r="J15" s="98">
        <v>0.16414141414141414</v>
      </c>
      <c r="K15" s="98">
        <v>0.13810741687979539</v>
      </c>
      <c r="L15" s="98">
        <v>8.3756345177664976E-2</v>
      </c>
      <c r="N15" s="29">
        <f t="shared" si="9"/>
        <v>0.24144869215291748</v>
      </c>
      <c r="O15" s="29">
        <f t="shared" si="10"/>
        <v>0.50301810865191143</v>
      </c>
      <c r="P15" s="29">
        <f t="shared" si="11"/>
        <v>0.73239436619718312</v>
      </c>
      <c r="Q15" s="29">
        <f t="shared" si="12"/>
        <v>1</v>
      </c>
      <c r="R15" s="29"/>
      <c r="S15" s="29">
        <f t="shared" si="14"/>
        <v>0.10136083810346697</v>
      </c>
      <c r="T15" s="29">
        <f t="shared" si="15"/>
        <v>0.32422630560928434</v>
      </c>
      <c r="U15" s="29">
        <f t="shared" si="16"/>
        <v>0.4314088262502041</v>
      </c>
      <c r="V15" s="29">
        <f t="shared" si="17"/>
        <v>0.65517334485365586</v>
      </c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87">
        <v>9.48</v>
      </c>
      <c r="AJ15" s="29">
        <v>9.2799999999999994</v>
      </c>
      <c r="AK15" s="87">
        <v>8.92</v>
      </c>
      <c r="AL15">
        <v>8.68</v>
      </c>
      <c r="AN15">
        <f t="shared" si="18"/>
        <v>6.2462913881086796E-2</v>
      </c>
      <c r="AO15">
        <f t="shared" si="19"/>
        <v>8.2242177301317138E-2</v>
      </c>
      <c r="AP15">
        <f t="shared" si="20"/>
        <v>0.11784485145773151</v>
      </c>
      <c r="AQ15">
        <f t="shared" si="21"/>
        <v>0.1415799675620078</v>
      </c>
    </row>
    <row r="16" spans="1:63" x14ac:dyDescent="0.2">
      <c r="B16" s="101">
        <v>10.54</v>
      </c>
      <c r="C16" s="98">
        <v>7.92</v>
      </c>
      <c r="D16" s="98">
        <v>5.2</v>
      </c>
      <c r="E16" s="98">
        <v>2.78</v>
      </c>
      <c r="F16" s="98">
        <v>0</v>
      </c>
      <c r="H16" s="98">
        <v>0.19220055710306408</v>
      </c>
      <c r="I16" s="98">
        <v>0.16483516483516483</v>
      </c>
      <c r="J16" s="98">
        <v>0.12771739130434784</v>
      </c>
      <c r="K16" s="98">
        <v>9.8314606741573038E-2</v>
      </c>
      <c r="L16" s="98">
        <v>6.5527065527065526E-2</v>
      </c>
      <c r="N16" s="29">
        <f t="shared" si="9"/>
        <v>0.24857685009487659</v>
      </c>
      <c r="O16" s="29">
        <f t="shared" si="10"/>
        <v>0.50664136622390887</v>
      </c>
      <c r="P16" s="29">
        <f t="shared" si="11"/>
        <v>0.73624288425047446</v>
      </c>
      <c r="Q16" s="29">
        <f t="shared" si="12"/>
        <v>1</v>
      </c>
      <c r="R16" s="29"/>
      <c r="S16" s="29">
        <f t="shared" si="14"/>
        <v>0.14237935977066418</v>
      </c>
      <c r="T16" s="29">
        <f t="shared" si="15"/>
        <v>0.33549936988027723</v>
      </c>
      <c r="U16" s="29">
        <f t="shared" si="16"/>
        <v>0.48847907506920696</v>
      </c>
      <c r="V16" s="29">
        <f t="shared" si="17"/>
        <v>0.65906932573599242</v>
      </c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87">
        <v>9.82</v>
      </c>
      <c r="AJ16" s="29">
        <v>9.6</v>
      </c>
      <c r="AK16" s="87">
        <v>9.1999999999999993</v>
      </c>
      <c r="AL16">
        <v>9.02</v>
      </c>
      <c r="AN16">
        <f t="shared" si="18"/>
        <v>2.8838166066695405E-2</v>
      </c>
      <c r="AO16">
        <f t="shared" si="19"/>
        <v>5.0595355828948731E-2</v>
      </c>
      <c r="AP16">
        <f t="shared" si="20"/>
        <v>9.0153882669409241E-2</v>
      </c>
      <c r="AQ16">
        <f t="shared" si="21"/>
        <v>0.10795521974761642</v>
      </c>
    </row>
    <row r="17" spans="2:43" x14ac:dyDescent="0.2">
      <c r="B17" s="101">
        <v>10.4</v>
      </c>
      <c r="C17" s="98">
        <v>7.96</v>
      </c>
      <c r="D17" s="98">
        <v>5.48</v>
      </c>
      <c r="E17" s="98">
        <v>2.56</v>
      </c>
      <c r="F17" s="98">
        <v>0</v>
      </c>
      <c r="H17" s="98">
        <v>0.21802325581395349</v>
      </c>
      <c r="I17" s="98">
        <v>0.19710144927536233</v>
      </c>
      <c r="J17" s="98">
        <v>0.17086834733893558</v>
      </c>
      <c r="K17" s="98">
        <v>0.13186813186813187</v>
      </c>
      <c r="L17" s="98">
        <v>9.1397849462365593E-2</v>
      </c>
      <c r="N17" s="29">
        <f t="shared" si="9"/>
        <v>0.23461538461538464</v>
      </c>
      <c r="O17" s="29">
        <f t="shared" si="10"/>
        <v>0.47307692307692306</v>
      </c>
      <c r="P17" s="29">
        <f t="shared" si="11"/>
        <v>0.75384615384615383</v>
      </c>
      <c r="Q17" s="29">
        <f t="shared" si="12"/>
        <v>1</v>
      </c>
      <c r="R17" s="29"/>
      <c r="S17" s="29">
        <f t="shared" si="14"/>
        <v>9.5961352657004784E-2</v>
      </c>
      <c r="T17" s="29">
        <f t="shared" si="15"/>
        <v>0.21628384687208216</v>
      </c>
      <c r="U17" s="29">
        <f t="shared" si="16"/>
        <v>0.39516483516483514</v>
      </c>
      <c r="V17" s="29">
        <f t="shared" si="17"/>
        <v>0.5807885304659498</v>
      </c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87">
        <v>9.6</v>
      </c>
      <c r="AJ17" s="29">
        <v>9.44</v>
      </c>
      <c r="AK17" s="87">
        <v>8.8800000000000008</v>
      </c>
      <c r="AL17">
        <v>8.94</v>
      </c>
      <c r="AN17">
        <f t="shared" si="18"/>
        <v>5.0595355828948731E-2</v>
      </c>
      <c r="AO17">
        <f t="shared" si="19"/>
        <v>6.6418766565132931E-2</v>
      </c>
      <c r="AP17">
        <f t="shared" si="20"/>
        <v>0.12180070414177746</v>
      </c>
      <c r="AQ17">
        <f t="shared" si="21"/>
        <v>0.11586692511570852</v>
      </c>
    </row>
    <row r="18" spans="2:43" x14ac:dyDescent="0.2">
      <c r="B18" s="101">
        <v>9.74</v>
      </c>
      <c r="C18" s="98">
        <v>7.04</v>
      </c>
      <c r="D18" s="98">
        <v>4.6399999999999997</v>
      </c>
      <c r="E18" s="98">
        <v>2.2000000000000002</v>
      </c>
      <c r="F18" s="98">
        <v>0</v>
      </c>
      <c r="H18" s="98">
        <v>0.25814536340852129</v>
      </c>
      <c r="I18" s="98">
        <v>0.23573200992555832</v>
      </c>
      <c r="J18" s="98">
        <v>0.1691919191919192</v>
      </c>
      <c r="K18" s="98">
        <v>0.1275</v>
      </c>
      <c r="L18" s="98">
        <v>8.3333333333333329E-2</v>
      </c>
      <c r="N18" s="29">
        <f t="shared" si="9"/>
        <v>0.27720739219712526</v>
      </c>
      <c r="O18" s="29">
        <f t="shared" si="10"/>
        <v>0.52361396303901442</v>
      </c>
      <c r="P18" s="29">
        <f t="shared" si="11"/>
        <v>0.77412731006160163</v>
      </c>
      <c r="Q18" s="29">
        <f t="shared" si="12"/>
        <v>1</v>
      </c>
      <c r="R18" s="29"/>
      <c r="S18" s="29">
        <f t="shared" si="14"/>
        <v>8.6824544074778895E-2</v>
      </c>
      <c r="T18" s="29">
        <f t="shared" si="15"/>
        <v>0.34458664313033238</v>
      </c>
      <c r="U18" s="29">
        <f t="shared" si="16"/>
        <v>0.50609223300970874</v>
      </c>
      <c r="V18" s="29">
        <f t="shared" si="17"/>
        <v>0.67718446601941751</v>
      </c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87">
        <v>9.16</v>
      </c>
      <c r="AJ18" s="29">
        <v>8.9600000000000009</v>
      </c>
      <c r="AK18" s="87">
        <v>8.82</v>
      </c>
      <c r="AL18">
        <v>8.76</v>
      </c>
      <c r="AN18">
        <f t="shared" si="18"/>
        <v>9.4109735353455196E-2</v>
      </c>
      <c r="AO18">
        <f t="shared" si="19"/>
        <v>0.11388899877368536</v>
      </c>
      <c r="AP18">
        <f t="shared" si="20"/>
        <v>0.12773448316784658</v>
      </c>
      <c r="AQ18">
        <f t="shared" si="21"/>
        <v>0.1336682621939157</v>
      </c>
    </row>
    <row r="19" spans="2:43" x14ac:dyDescent="0.2">
      <c r="B19" s="101">
        <v>10.68</v>
      </c>
      <c r="C19" s="98">
        <v>8.02</v>
      </c>
      <c r="D19" s="98">
        <v>5.56</v>
      </c>
      <c r="E19" s="98">
        <v>2.68</v>
      </c>
      <c r="F19" s="98">
        <v>0</v>
      </c>
      <c r="H19" s="98">
        <v>0.23039215686274508</v>
      </c>
      <c r="I19" s="98">
        <v>0.19221411192214111</v>
      </c>
      <c r="J19" s="98">
        <v>0.16176470588235295</v>
      </c>
      <c r="K19" s="98">
        <v>0.1206896551724138</v>
      </c>
      <c r="L19" s="98">
        <v>9.3301435406698566E-2</v>
      </c>
      <c r="N19" s="29">
        <f t="shared" si="9"/>
        <v>0.24906367041198504</v>
      </c>
      <c r="O19" s="29">
        <f t="shared" si="10"/>
        <v>0.47940074906367042</v>
      </c>
      <c r="P19" s="29">
        <f t="shared" si="11"/>
        <v>0.74906367041198507</v>
      </c>
      <c r="Q19" s="29">
        <f t="shared" si="12"/>
        <v>1</v>
      </c>
      <c r="R19" s="29"/>
      <c r="S19" s="29">
        <f t="shared" si="14"/>
        <v>0.16570896101879173</v>
      </c>
      <c r="T19" s="29">
        <f t="shared" si="15"/>
        <v>0.29787234042553185</v>
      </c>
      <c r="U19" s="29">
        <f t="shared" si="16"/>
        <v>0.47615553925165072</v>
      </c>
      <c r="V19" s="29">
        <f t="shared" si="17"/>
        <v>0.59503206759645721</v>
      </c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87">
        <v>10.16</v>
      </c>
      <c r="AJ19" s="29">
        <v>10.08</v>
      </c>
      <c r="AK19" s="87">
        <v>10.06</v>
      </c>
      <c r="AL19">
        <v>9.98</v>
      </c>
      <c r="AN19">
        <f t="shared" si="18"/>
        <v>-4.7865817476959805E-3</v>
      </c>
      <c r="AO19">
        <f t="shared" si="19"/>
        <v>3.1251236203961208E-3</v>
      </c>
      <c r="AP19">
        <f t="shared" si="20"/>
        <v>5.103049962419102E-3</v>
      </c>
      <c r="AQ19">
        <f t="shared" si="21"/>
        <v>1.3014755330511203E-2</v>
      </c>
    </row>
    <row r="20" spans="2:43" x14ac:dyDescent="0.2">
      <c r="B20" s="101">
        <v>9.94</v>
      </c>
      <c r="C20" s="98">
        <v>7.54</v>
      </c>
      <c r="D20" s="98">
        <v>5.0199999999999996</v>
      </c>
      <c r="E20" s="98">
        <v>2.68</v>
      </c>
      <c r="F20" s="98">
        <v>0</v>
      </c>
      <c r="H20" s="98">
        <v>0.21330275229357798</v>
      </c>
      <c r="I20" s="98">
        <v>0.18244803695150116</v>
      </c>
      <c r="J20" s="98">
        <v>0.13856812933025403</v>
      </c>
      <c r="K20" s="98">
        <v>0.11057692307692307</v>
      </c>
      <c r="L20" s="98">
        <v>8.2324455205811137E-2</v>
      </c>
      <c r="N20" s="29">
        <f t="shared" si="9"/>
        <v>0.24144869215291748</v>
      </c>
      <c r="O20" s="29">
        <f t="shared" si="10"/>
        <v>0.49496981891348091</v>
      </c>
      <c r="P20" s="29">
        <f t="shared" si="11"/>
        <v>0.73038229376257546</v>
      </c>
      <c r="Q20" s="29">
        <f t="shared" si="12"/>
        <v>1</v>
      </c>
      <c r="R20" s="29"/>
      <c r="S20" s="29">
        <f t="shared" si="14"/>
        <v>0.14465221386177948</v>
      </c>
      <c r="T20" s="29">
        <f t="shared" si="15"/>
        <v>0.35036877002160477</v>
      </c>
      <c r="U20" s="29">
        <f t="shared" si="16"/>
        <v>0.48159636062861871</v>
      </c>
      <c r="V20" s="29">
        <f t="shared" si="17"/>
        <v>0.6140487906480252</v>
      </c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87">
        <v>9.32</v>
      </c>
      <c r="AJ20" s="29">
        <v>9.14</v>
      </c>
      <c r="AK20" s="87">
        <v>8.86</v>
      </c>
      <c r="AL20">
        <v>8.68</v>
      </c>
      <c r="AN20">
        <f t="shared" si="18"/>
        <v>7.8286324617270989E-2</v>
      </c>
      <c r="AO20">
        <f t="shared" si="19"/>
        <v>9.608766169547818E-2</v>
      </c>
      <c r="AP20">
        <f t="shared" si="20"/>
        <v>0.12377863048380063</v>
      </c>
      <c r="AQ20">
        <f t="shared" si="21"/>
        <v>0.1415799675620078</v>
      </c>
    </row>
    <row r="21" spans="2:43" x14ac:dyDescent="0.2">
      <c r="B21" s="101">
        <v>10.34</v>
      </c>
      <c r="C21" s="98">
        <v>8.1999999999999993</v>
      </c>
      <c r="D21" s="98">
        <v>5.62</v>
      </c>
      <c r="E21" s="98">
        <v>2.68</v>
      </c>
      <c r="F21" s="98">
        <v>0</v>
      </c>
      <c r="H21" s="98">
        <v>0.22113022113022113</v>
      </c>
      <c r="I21" s="98">
        <v>0.20099255583126552</v>
      </c>
      <c r="J21" s="98">
        <v>0.16417910447761194</v>
      </c>
      <c r="K21" s="98">
        <v>0.13054187192118227</v>
      </c>
      <c r="L21" s="98">
        <v>0.10436893203883495</v>
      </c>
      <c r="N21" s="29">
        <f t="shared" si="9"/>
        <v>0.20696324951644107</v>
      </c>
      <c r="O21" s="29">
        <f t="shared" si="10"/>
        <v>0.45647969052224369</v>
      </c>
      <c r="P21" s="29">
        <f t="shared" si="11"/>
        <v>0.74081237911025144</v>
      </c>
      <c r="Q21" s="29">
        <f t="shared" si="12"/>
        <v>1</v>
      </c>
      <c r="R21" s="29"/>
      <c r="S21" s="29">
        <f t="shared" si="14"/>
        <v>9.1066997518610374E-2</v>
      </c>
      <c r="T21" s="29">
        <f t="shared" si="15"/>
        <v>0.25754560530679932</v>
      </c>
      <c r="U21" s="29">
        <f t="shared" si="16"/>
        <v>0.40966064586754236</v>
      </c>
      <c r="V21" s="29">
        <f t="shared" si="17"/>
        <v>0.52802049622437974</v>
      </c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87">
        <v>9.9</v>
      </c>
      <c r="AJ21" s="29">
        <v>9.68</v>
      </c>
      <c r="AK21" s="87">
        <v>9.26</v>
      </c>
      <c r="AL21">
        <v>9.1199999999999992</v>
      </c>
      <c r="AN21">
        <f t="shared" si="18"/>
        <v>2.0926460698603305E-2</v>
      </c>
      <c r="AO21">
        <f t="shared" si="19"/>
        <v>4.2683650460856627E-2</v>
      </c>
      <c r="AP21">
        <f t="shared" si="20"/>
        <v>8.4220103643340108E-2</v>
      </c>
      <c r="AQ21">
        <f t="shared" si="21"/>
        <v>9.8065588037501331E-2</v>
      </c>
    </row>
    <row r="22" spans="2:43" x14ac:dyDescent="0.2">
      <c r="B22" s="101">
        <v>9.4600000000000009</v>
      </c>
      <c r="C22" s="98">
        <v>7.2</v>
      </c>
      <c r="D22" s="98">
        <v>4.8</v>
      </c>
      <c r="E22" s="98">
        <v>2.36</v>
      </c>
      <c r="F22" s="98">
        <v>0</v>
      </c>
      <c r="H22" s="98">
        <v>0.22391857506361323</v>
      </c>
      <c r="I22" s="98">
        <v>0.20506329113924052</v>
      </c>
      <c r="J22" s="98">
        <v>0.14974619289340102</v>
      </c>
      <c r="K22" s="98">
        <v>0.12787723785166241</v>
      </c>
      <c r="L22" s="98">
        <v>9.2544987146529561E-2</v>
      </c>
      <c r="N22" s="29">
        <f t="shared" si="9"/>
        <v>0.2389006342494715</v>
      </c>
      <c r="O22" s="29">
        <f t="shared" si="10"/>
        <v>0.49260042283298106</v>
      </c>
      <c r="P22" s="29">
        <f t="shared" si="11"/>
        <v>0.75052854122621571</v>
      </c>
      <c r="Q22" s="29">
        <f t="shared" si="12"/>
        <v>1</v>
      </c>
      <c r="R22" s="29"/>
      <c r="S22" s="29">
        <f t="shared" si="14"/>
        <v>8.4205983889528158E-2</v>
      </c>
      <c r="T22" s="29">
        <f t="shared" si="15"/>
        <v>0.3312471158283341</v>
      </c>
      <c r="U22" s="29">
        <f t="shared" si="16"/>
        <v>0.42891188095791671</v>
      </c>
      <c r="V22" s="29">
        <f t="shared" si="17"/>
        <v>0.58670250058424867</v>
      </c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87">
        <v>9.14</v>
      </c>
      <c r="AJ22" s="29">
        <v>8.98</v>
      </c>
      <c r="AK22" s="87">
        <v>8.66</v>
      </c>
      <c r="AL22">
        <v>8.42</v>
      </c>
      <c r="AN22">
        <f t="shared" si="18"/>
        <v>9.608766169547818E-2</v>
      </c>
      <c r="AO22">
        <f t="shared" si="19"/>
        <v>0.11191107243166239</v>
      </c>
      <c r="AP22">
        <f t="shared" si="20"/>
        <v>0.14355789390403079</v>
      </c>
      <c r="AQ22">
        <f t="shared" si="21"/>
        <v>0.1672930100083071</v>
      </c>
    </row>
    <row r="23" spans="2:43" x14ac:dyDescent="0.2">
      <c r="B23" s="101">
        <v>10.6</v>
      </c>
      <c r="C23" s="98">
        <v>7.9</v>
      </c>
      <c r="D23" s="98">
        <v>5.22</v>
      </c>
      <c r="E23" s="98">
        <v>2.78</v>
      </c>
      <c r="F23" s="98">
        <v>0</v>
      </c>
      <c r="H23" s="98">
        <v>0.22126436781609196</v>
      </c>
      <c r="I23" s="98">
        <v>0.18338108882521489</v>
      </c>
      <c r="J23" s="98">
        <v>0.15142857142857144</v>
      </c>
      <c r="K23" s="98">
        <v>0.11370262390670553</v>
      </c>
      <c r="L23" s="98">
        <v>8.9020771513353122E-2</v>
      </c>
      <c r="N23" s="29">
        <f t="shared" si="9"/>
        <v>0.25471698113207542</v>
      </c>
      <c r="O23" s="29">
        <f t="shared" si="10"/>
        <v>0.50754716981132075</v>
      </c>
      <c r="P23" s="29">
        <f t="shared" si="11"/>
        <v>0.73773584905660383</v>
      </c>
      <c r="Q23" s="29">
        <f t="shared" si="12"/>
        <v>1</v>
      </c>
      <c r="R23" s="29"/>
      <c r="S23" s="29">
        <f t="shared" si="14"/>
        <v>0.17121274141331452</v>
      </c>
      <c r="T23" s="29">
        <f t="shared" si="15"/>
        <v>0.31562152133580701</v>
      </c>
      <c r="U23" s="29">
        <f t="shared" si="16"/>
        <v>0.48612320623982436</v>
      </c>
      <c r="V23" s="29">
        <f t="shared" si="17"/>
        <v>0.59767235731627433</v>
      </c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87">
        <v>9.8800000000000008</v>
      </c>
      <c r="AJ23" s="29">
        <v>9.58</v>
      </c>
      <c r="AK23" s="87">
        <v>9.16</v>
      </c>
      <c r="AL23">
        <v>9.08</v>
      </c>
      <c r="AN23">
        <f t="shared" si="18"/>
        <v>2.2904387040626285E-2</v>
      </c>
      <c r="AO23">
        <f t="shared" si="19"/>
        <v>5.2573282170971708E-2</v>
      </c>
      <c r="AP23">
        <f t="shared" si="20"/>
        <v>9.4109735353455196E-2</v>
      </c>
      <c r="AQ23">
        <f t="shared" si="21"/>
        <v>0.1020214407215473</v>
      </c>
    </row>
    <row r="24" spans="2:43" x14ac:dyDescent="0.2">
      <c r="B24" s="101">
        <v>9.76</v>
      </c>
      <c r="C24" s="98">
        <v>7.68</v>
      </c>
      <c r="D24" s="98">
        <v>5.08</v>
      </c>
      <c r="E24" s="98">
        <v>2.6</v>
      </c>
      <c r="F24" s="98">
        <v>0</v>
      </c>
      <c r="H24" s="98">
        <v>0.20365535248041775</v>
      </c>
      <c r="I24" s="98">
        <v>0.17010309278350516</v>
      </c>
      <c r="J24" s="98">
        <v>0.14503816793893129</v>
      </c>
      <c r="K24" s="98">
        <v>0.10077519379844961</v>
      </c>
      <c r="L24" s="98">
        <v>7.4935400516795869E-2</v>
      </c>
      <c r="N24" s="29">
        <f t="shared" si="9"/>
        <v>0.21311475409836067</v>
      </c>
      <c r="O24" s="29">
        <f t="shared" si="10"/>
        <v>0.47950819672131145</v>
      </c>
      <c r="P24" s="29">
        <f t="shared" si="11"/>
        <v>0.73360655737704916</v>
      </c>
      <c r="Q24" s="29">
        <f t="shared" si="12"/>
        <v>1</v>
      </c>
      <c r="R24" s="29"/>
      <c r="S24" s="29">
        <f t="shared" si="14"/>
        <v>0.16475019825535284</v>
      </c>
      <c r="T24" s="29">
        <f t="shared" si="15"/>
        <v>0.28782540614601682</v>
      </c>
      <c r="U24" s="29">
        <f t="shared" si="16"/>
        <v>0.50516795865633068</v>
      </c>
      <c r="V24" s="29">
        <f t="shared" si="17"/>
        <v>0.63204796925727158</v>
      </c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87">
        <v>9.2200000000000006</v>
      </c>
      <c r="AJ24" s="29">
        <v>9.0399999999999991</v>
      </c>
      <c r="AK24" s="87">
        <v>8.9</v>
      </c>
      <c r="AL24">
        <v>8.6999999999999993</v>
      </c>
      <c r="AN24">
        <f t="shared" si="18"/>
        <v>8.8175956327386076E-2</v>
      </c>
      <c r="AO24">
        <f t="shared" si="19"/>
        <v>0.10597729340559343</v>
      </c>
      <c r="AP24">
        <f t="shared" si="20"/>
        <v>0.11982277779975448</v>
      </c>
      <c r="AQ24">
        <f t="shared" si="21"/>
        <v>0.13960204121998482</v>
      </c>
    </row>
    <row r="25" spans="2:43" x14ac:dyDescent="0.2">
      <c r="B25" s="101">
        <v>10.28</v>
      </c>
      <c r="C25" s="98">
        <v>7.96</v>
      </c>
      <c r="D25" s="98">
        <v>5.5</v>
      </c>
      <c r="E25" s="98">
        <v>2.42</v>
      </c>
      <c r="F25" s="98">
        <v>0</v>
      </c>
      <c r="H25" s="98">
        <v>0.24289405684754523</v>
      </c>
      <c r="I25" s="98">
        <v>0.20930232558139536</v>
      </c>
      <c r="J25" s="98">
        <v>0.17994858611825193</v>
      </c>
      <c r="K25" s="98">
        <v>0.1326530612244898</v>
      </c>
      <c r="L25" s="98">
        <v>9.6774193548387094E-2</v>
      </c>
      <c r="N25" s="29">
        <f t="shared" si="9"/>
        <v>0.22568093385214003</v>
      </c>
      <c r="O25" s="29">
        <f t="shared" si="10"/>
        <v>0.46498054474708167</v>
      </c>
      <c r="P25" s="29">
        <f t="shared" si="11"/>
        <v>0.7645914396887159</v>
      </c>
      <c r="Q25" s="29">
        <f t="shared" si="12"/>
        <v>1</v>
      </c>
      <c r="R25" s="29"/>
      <c r="S25" s="29">
        <f t="shared" si="14"/>
        <v>0.13829787234042551</v>
      </c>
      <c r="T25" s="29">
        <f t="shared" si="15"/>
        <v>0.25914784225783516</v>
      </c>
      <c r="U25" s="29">
        <f t="shared" si="16"/>
        <v>0.45386452453321752</v>
      </c>
      <c r="V25" s="29">
        <f t="shared" si="17"/>
        <v>0.60157858613589565</v>
      </c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87">
        <v>9.52</v>
      </c>
      <c r="AJ25" s="29">
        <v>9.4</v>
      </c>
      <c r="AK25" s="87">
        <v>9.02</v>
      </c>
      <c r="AL25">
        <v>8.9</v>
      </c>
      <c r="AN25">
        <f t="shared" si="18"/>
        <v>5.8507061197040827E-2</v>
      </c>
      <c r="AO25">
        <f t="shared" si="19"/>
        <v>7.0374619249178899E-2</v>
      </c>
      <c r="AP25">
        <f t="shared" si="20"/>
        <v>0.10795521974761642</v>
      </c>
      <c r="AQ25">
        <f t="shared" si="21"/>
        <v>0.11982277779975448</v>
      </c>
    </row>
    <row r="26" spans="2:43" x14ac:dyDescent="0.2">
      <c r="B26" s="101">
        <v>10.34</v>
      </c>
      <c r="C26" s="98">
        <v>7.6</v>
      </c>
      <c r="D26" s="98">
        <v>5.0199999999999996</v>
      </c>
      <c r="E26" s="98">
        <v>2.48</v>
      </c>
      <c r="F26" s="98">
        <v>0</v>
      </c>
      <c r="H26" s="98">
        <v>0.22651933701657459</v>
      </c>
      <c r="I26" s="98">
        <v>0.18801089918256131</v>
      </c>
      <c r="J26" s="98">
        <v>0.15915119363395225</v>
      </c>
      <c r="K26" s="98">
        <v>0.13212435233160622</v>
      </c>
      <c r="L26" s="98">
        <v>0.10309278350515463</v>
      </c>
      <c r="N26" s="29">
        <f t="shared" si="9"/>
        <v>0.26499032882011608</v>
      </c>
      <c r="O26" s="29">
        <f t="shared" si="10"/>
        <v>0.51450676982591881</v>
      </c>
      <c r="P26" s="29">
        <f t="shared" si="11"/>
        <v>0.76015473887814311</v>
      </c>
      <c r="Q26" s="29">
        <f t="shared" si="12"/>
        <v>1</v>
      </c>
      <c r="R26" s="29"/>
      <c r="S26" s="29">
        <f t="shared" si="14"/>
        <v>0.17000066458430252</v>
      </c>
      <c r="T26" s="29">
        <f t="shared" si="15"/>
        <v>0.2974057061525523</v>
      </c>
      <c r="U26" s="29">
        <f t="shared" si="16"/>
        <v>0.41671932263364087</v>
      </c>
      <c r="V26" s="29">
        <f t="shared" si="17"/>
        <v>0.54488307769675637</v>
      </c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87">
        <v>9.76</v>
      </c>
      <c r="AJ26" s="29">
        <v>9.4600000000000009</v>
      </c>
      <c r="AK26" s="87">
        <v>9.1</v>
      </c>
      <c r="AL26">
        <v>9.14</v>
      </c>
      <c r="AN26">
        <f t="shared" si="18"/>
        <v>3.4771945092764524E-2</v>
      </c>
      <c r="AO26">
        <f t="shared" si="19"/>
        <v>6.444084022310978E-2</v>
      </c>
      <c r="AP26">
        <f t="shared" si="20"/>
        <v>0.10004351437952431</v>
      </c>
      <c r="AQ26">
        <f t="shared" si="21"/>
        <v>9.608766169547818E-2</v>
      </c>
    </row>
    <row r="27" spans="2:43" x14ac:dyDescent="0.2">
      <c r="B27" s="101">
        <v>10.039999999999999</v>
      </c>
      <c r="C27" s="98">
        <v>7.22</v>
      </c>
      <c r="D27" s="98">
        <v>4.84</v>
      </c>
      <c r="E27" s="98">
        <v>2.5</v>
      </c>
      <c r="F27" s="98">
        <v>0</v>
      </c>
      <c r="H27" s="98">
        <v>0.23002421307506055</v>
      </c>
      <c r="I27" s="98">
        <v>0.20293398533007334</v>
      </c>
      <c r="J27" s="98">
        <v>0.14640198511166252</v>
      </c>
      <c r="K27" s="98">
        <v>0.11246943765281174</v>
      </c>
      <c r="L27" s="98">
        <v>8.9330024813895778E-2</v>
      </c>
      <c r="N27" s="29">
        <f t="shared" si="9"/>
        <v>0.28087649402390436</v>
      </c>
      <c r="O27" s="29">
        <f t="shared" si="10"/>
        <v>0.51792828685258963</v>
      </c>
      <c r="P27" s="29">
        <f t="shared" si="11"/>
        <v>0.75099601593625498</v>
      </c>
      <c r="Q27" s="29">
        <f t="shared" si="12"/>
        <v>1</v>
      </c>
      <c r="R27" s="29"/>
      <c r="S27" s="29">
        <f t="shared" si="14"/>
        <v>0.11777120061768122</v>
      </c>
      <c r="T27" s="29">
        <f t="shared" si="15"/>
        <v>0.36353663314614088</v>
      </c>
      <c r="U27" s="29">
        <f t="shared" si="16"/>
        <v>0.51105391841461845</v>
      </c>
      <c r="V27" s="29">
        <f t="shared" si="17"/>
        <v>0.61164947107222145</v>
      </c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87">
        <v>9.4600000000000009</v>
      </c>
      <c r="AJ27" s="29">
        <v>9.32</v>
      </c>
      <c r="AK27" s="87">
        <v>9.02</v>
      </c>
      <c r="AL27">
        <v>8.9600000000000009</v>
      </c>
      <c r="AN27">
        <f t="shared" si="18"/>
        <v>6.444084022310978E-2</v>
      </c>
      <c r="AO27">
        <f t="shared" si="19"/>
        <v>7.8286324617270989E-2</v>
      </c>
      <c r="AP27">
        <f t="shared" si="20"/>
        <v>0.10795521974761642</v>
      </c>
      <c r="AQ27">
        <f t="shared" si="21"/>
        <v>0.11388899877368536</v>
      </c>
    </row>
    <row r="28" spans="2:43" x14ac:dyDescent="0.2">
      <c r="B28" s="101">
        <v>9.74</v>
      </c>
      <c r="C28" s="98">
        <v>7.14</v>
      </c>
      <c r="D28" s="98">
        <v>4.7</v>
      </c>
      <c r="E28" s="98">
        <v>2.1800000000000002</v>
      </c>
      <c r="F28" s="98">
        <v>0</v>
      </c>
      <c r="H28" s="98">
        <v>0.23414634146341465</v>
      </c>
      <c r="I28" s="98">
        <v>0.20863309352517986</v>
      </c>
      <c r="J28" s="98">
        <v>0.17401960784313725</v>
      </c>
      <c r="K28" s="98">
        <v>0.14004914004914004</v>
      </c>
      <c r="L28" s="98">
        <v>9.2269326683291769E-2</v>
      </c>
      <c r="N28" s="29">
        <f t="shared" si="9"/>
        <v>0.26694045174537995</v>
      </c>
      <c r="O28" s="29">
        <f t="shared" si="10"/>
        <v>0.51745379876796715</v>
      </c>
      <c r="P28" s="29">
        <f t="shared" si="11"/>
        <v>0.77618069815195079</v>
      </c>
      <c r="Q28" s="29">
        <f t="shared" si="12"/>
        <v>1</v>
      </c>
      <c r="R28" s="29"/>
      <c r="S28" s="29">
        <f t="shared" si="14"/>
        <v>0.10896282973621105</v>
      </c>
      <c r="T28" s="29">
        <f t="shared" si="15"/>
        <v>0.2567912581699347</v>
      </c>
      <c r="U28" s="29">
        <f t="shared" si="16"/>
        <v>0.40187346437346444</v>
      </c>
      <c r="V28" s="29">
        <f t="shared" si="17"/>
        <v>0.60593308395677481</v>
      </c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87">
        <v>9.26</v>
      </c>
      <c r="AJ28" s="29">
        <v>9.1999999999999993</v>
      </c>
      <c r="AK28" s="87">
        <v>8.98</v>
      </c>
      <c r="AL28">
        <v>8.7799999999999994</v>
      </c>
      <c r="AN28">
        <f t="shared" si="18"/>
        <v>8.4220103643340108E-2</v>
      </c>
      <c r="AO28">
        <f t="shared" si="19"/>
        <v>9.0153882669409241E-2</v>
      </c>
      <c r="AP28">
        <f t="shared" si="20"/>
        <v>0.11191107243166239</v>
      </c>
      <c r="AQ28">
        <f t="shared" si="21"/>
        <v>0.13169033585189271</v>
      </c>
    </row>
    <row r="29" spans="2:43" x14ac:dyDescent="0.2">
      <c r="B29" s="101">
        <v>10.4</v>
      </c>
      <c r="C29" s="98">
        <v>7.8</v>
      </c>
      <c r="D29" s="98">
        <v>5.38</v>
      </c>
      <c r="E29" s="98">
        <v>2.42</v>
      </c>
      <c r="F29" s="98">
        <v>0</v>
      </c>
      <c r="H29" s="98">
        <v>0.21897810218978103</v>
      </c>
      <c r="I29" s="98">
        <v>0.17985611510791366</v>
      </c>
      <c r="J29" s="98">
        <v>0.15458937198067632</v>
      </c>
      <c r="K29" s="98">
        <v>0.11893203883495146</v>
      </c>
      <c r="L29" s="98">
        <v>9.7619047619047619E-2</v>
      </c>
      <c r="N29" s="29">
        <f t="shared" si="9"/>
        <v>0.25000000000000006</v>
      </c>
      <c r="O29" s="29">
        <f t="shared" si="10"/>
        <v>0.4826923076923077</v>
      </c>
      <c r="P29" s="29">
        <f t="shared" si="11"/>
        <v>0.76730769230769236</v>
      </c>
      <c r="Q29" s="29">
        <f t="shared" si="12"/>
        <v>1</v>
      </c>
      <c r="R29" s="29"/>
      <c r="S29" s="29">
        <f t="shared" si="14"/>
        <v>0.17865707434052766</v>
      </c>
      <c r="T29" s="29">
        <f t="shared" si="15"/>
        <v>0.2940418679549115</v>
      </c>
      <c r="U29" s="29">
        <f t="shared" si="16"/>
        <v>0.45687702265372171</v>
      </c>
      <c r="V29" s="29">
        <f t="shared" si="17"/>
        <v>0.55420634920634926</v>
      </c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87">
        <v>10.119999999999999</v>
      </c>
      <c r="AJ29" s="29">
        <v>10.06</v>
      </c>
      <c r="AK29" s="87">
        <v>9.7799999999999994</v>
      </c>
      <c r="AL29">
        <v>9.68</v>
      </c>
      <c r="AN29">
        <f t="shared" si="18"/>
        <v>-8.307290636498419E-4</v>
      </c>
      <c r="AO29">
        <f t="shared" si="19"/>
        <v>5.103049962419102E-3</v>
      </c>
      <c r="AP29">
        <f t="shared" si="20"/>
        <v>3.2794018750741546E-2</v>
      </c>
      <c r="AQ29">
        <f t="shared" si="21"/>
        <v>4.2683650460856627E-2</v>
      </c>
    </row>
    <row r="30" spans="2:43" x14ac:dyDescent="0.2">
      <c r="B30" s="101">
        <v>10.14</v>
      </c>
      <c r="C30" s="98">
        <v>7.56</v>
      </c>
      <c r="D30" s="98">
        <v>5.14</v>
      </c>
      <c r="E30" s="98">
        <v>2.58</v>
      </c>
      <c r="F30" s="98">
        <v>0</v>
      </c>
      <c r="H30" s="98">
        <v>0.23655913978494625</v>
      </c>
      <c r="I30" s="98">
        <v>0.20212765957446807</v>
      </c>
      <c r="J30" s="98">
        <v>0.15466666666666667</v>
      </c>
      <c r="K30" s="98">
        <v>0.10840108401084012</v>
      </c>
      <c r="L30" s="98">
        <v>8.1794195250659632E-2</v>
      </c>
      <c r="N30" s="29">
        <f t="shared" si="9"/>
        <v>0.25443786982248529</v>
      </c>
      <c r="O30" s="29">
        <f t="shared" si="10"/>
        <v>0.49309664694280086</v>
      </c>
      <c r="P30" s="29">
        <f t="shared" si="11"/>
        <v>0.74556213017751483</v>
      </c>
      <c r="Q30" s="29">
        <f t="shared" si="12"/>
        <v>1</v>
      </c>
      <c r="R30" s="29"/>
      <c r="S30" s="29">
        <f t="shared" si="14"/>
        <v>0.14555125725338502</v>
      </c>
      <c r="T30" s="29">
        <f t="shared" si="15"/>
        <v>0.3461818181818182</v>
      </c>
      <c r="U30" s="29">
        <f t="shared" si="16"/>
        <v>0.5417590539541759</v>
      </c>
      <c r="V30" s="29">
        <f t="shared" si="17"/>
        <v>0.65423362916766614</v>
      </c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87">
        <v>9.56</v>
      </c>
      <c r="AJ30" s="29">
        <v>9.34</v>
      </c>
      <c r="AK30" s="87">
        <v>9.24</v>
      </c>
      <c r="AL30">
        <v>9.1</v>
      </c>
      <c r="AN30">
        <f t="shared" si="18"/>
        <v>5.4551208512994692E-2</v>
      </c>
      <c r="AO30">
        <f t="shared" si="19"/>
        <v>7.6308398275248018E-2</v>
      </c>
      <c r="AP30">
        <f t="shared" si="20"/>
        <v>8.6198029985363092E-2</v>
      </c>
      <c r="AQ30">
        <f t="shared" si="21"/>
        <v>0.10004351437952431</v>
      </c>
    </row>
    <row r="31" spans="2:43" x14ac:dyDescent="0.2">
      <c r="B31" s="101">
        <v>9.6199999999999992</v>
      </c>
      <c r="C31" s="98">
        <v>7.26</v>
      </c>
      <c r="D31" s="98">
        <v>4.5</v>
      </c>
      <c r="E31" s="98">
        <v>2.2599999999999998</v>
      </c>
      <c r="F31" s="98">
        <v>0</v>
      </c>
      <c r="H31" s="98">
        <v>0.20253164556962025</v>
      </c>
      <c r="I31" s="98">
        <v>0.15979381443298968</v>
      </c>
      <c r="J31" s="98">
        <v>0.13333333333333333</v>
      </c>
      <c r="K31" s="98">
        <v>8.6614173228346455E-2</v>
      </c>
      <c r="L31" s="98">
        <v>6.5274151436031339E-2</v>
      </c>
      <c r="N31" s="29">
        <f t="shared" si="9"/>
        <v>0.24532224532224528</v>
      </c>
      <c r="O31" s="29">
        <f t="shared" si="10"/>
        <v>0.53222453222453214</v>
      </c>
      <c r="P31" s="29">
        <f t="shared" si="11"/>
        <v>0.76507276507276512</v>
      </c>
      <c r="Q31" s="29">
        <f t="shared" si="12"/>
        <v>1</v>
      </c>
      <c r="R31" s="29"/>
      <c r="S31" s="29">
        <f t="shared" si="14"/>
        <v>0.21101804123711346</v>
      </c>
      <c r="T31" s="29">
        <f t="shared" si="15"/>
        <v>0.34166666666666667</v>
      </c>
      <c r="U31" s="29">
        <f t="shared" si="16"/>
        <v>0.57234251968503935</v>
      </c>
      <c r="V31" s="29">
        <f t="shared" si="17"/>
        <v>0.67770887728459517</v>
      </c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87">
        <v>9.16</v>
      </c>
      <c r="AJ31" s="29">
        <v>9.0399999999999991</v>
      </c>
      <c r="AK31" s="87">
        <v>8.6</v>
      </c>
      <c r="AL31">
        <v>8.36</v>
      </c>
      <c r="AN31">
        <f t="shared" si="18"/>
        <v>9.4109735353455196E-2</v>
      </c>
      <c r="AO31">
        <f t="shared" si="19"/>
        <v>0.10597729340559343</v>
      </c>
      <c r="AP31">
        <f t="shared" si="20"/>
        <v>0.14949167293009991</v>
      </c>
      <c r="AQ31">
        <f t="shared" si="21"/>
        <v>0.17322678903437622</v>
      </c>
    </row>
    <row r="32" spans="2:43" x14ac:dyDescent="0.2">
      <c r="B32" s="101">
        <v>10.34</v>
      </c>
      <c r="C32" s="98">
        <v>7.76</v>
      </c>
      <c r="D32" s="98">
        <v>5.46</v>
      </c>
      <c r="E32" s="98">
        <v>2.82</v>
      </c>
      <c r="F32" s="98">
        <v>0</v>
      </c>
      <c r="H32" s="98">
        <v>0.21481481481481482</v>
      </c>
      <c r="I32" s="98">
        <v>0.19464720194647203</v>
      </c>
      <c r="J32" s="98">
        <v>0.1491442542787286</v>
      </c>
      <c r="K32" s="98">
        <v>0.12718204488778054</v>
      </c>
      <c r="L32" s="98">
        <v>8.8607594936708861E-2</v>
      </c>
      <c r="N32" s="29">
        <f t="shared" si="9"/>
        <v>0.24951644100580272</v>
      </c>
      <c r="O32" s="29">
        <f t="shared" si="10"/>
        <v>0.47195357833655704</v>
      </c>
      <c r="P32" s="29">
        <f t="shared" si="11"/>
        <v>0.72727272727272729</v>
      </c>
      <c r="Q32" s="29">
        <f t="shared" si="12"/>
        <v>1</v>
      </c>
      <c r="R32" s="29"/>
      <c r="S32" s="29">
        <f t="shared" si="14"/>
        <v>9.3883715076768154E-2</v>
      </c>
      <c r="T32" s="29">
        <f t="shared" si="15"/>
        <v>0.30570778180591862</v>
      </c>
      <c r="U32" s="29">
        <f t="shared" si="16"/>
        <v>0.40794565310860786</v>
      </c>
      <c r="V32" s="29">
        <f t="shared" si="17"/>
        <v>0.58751636839807941</v>
      </c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87">
        <v>9.6199999999999992</v>
      </c>
      <c r="AJ32" s="29">
        <v>9.44</v>
      </c>
      <c r="AK32" s="87">
        <v>9.02</v>
      </c>
      <c r="AL32">
        <v>8.9</v>
      </c>
      <c r="AN32">
        <f t="shared" si="18"/>
        <v>4.8617429486925746E-2</v>
      </c>
      <c r="AO32">
        <f t="shared" si="19"/>
        <v>6.6418766565132931E-2</v>
      </c>
      <c r="AP32">
        <f t="shared" si="20"/>
        <v>0.10795521974761642</v>
      </c>
      <c r="AQ32">
        <f t="shared" si="21"/>
        <v>0.11982277779975448</v>
      </c>
    </row>
    <row r="33" spans="2:43" x14ac:dyDescent="0.2">
      <c r="B33" s="101">
        <v>10.3</v>
      </c>
      <c r="C33" s="98">
        <v>7.74</v>
      </c>
      <c r="D33" s="98">
        <v>4.84</v>
      </c>
      <c r="E33" s="98">
        <v>2.52</v>
      </c>
      <c r="F33" s="98">
        <v>0</v>
      </c>
      <c r="H33" s="98">
        <v>0.20987654320987653</v>
      </c>
      <c r="I33" s="98">
        <v>0.1891891891891892</v>
      </c>
      <c r="J33" s="98">
        <v>0.1625615763546798</v>
      </c>
      <c r="K33" s="98">
        <v>0.12745098039215685</v>
      </c>
      <c r="L33" s="98">
        <v>9.3137254901960786E-2</v>
      </c>
      <c r="N33" s="29">
        <f t="shared" si="9"/>
        <v>0.24854368932038837</v>
      </c>
      <c r="O33" s="29">
        <f t="shared" si="10"/>
        <v>0.53009708737864081</v>
      </c>
      <c r="P33" s="29">
        <f t="shared" si="11"/>
        <v>0.75533980582524274</v>
      </c>
      <c r="Q33" s="29">
        <f t="shared" si="12"/>
        <v>1</v>
      </c>
      <c r="R33" s="29"/>
      <c r="S33" s="29">
        <f t="shared" si="14"/>
        <v>9.8569157392686707E-2</v>
      </c>
      <c r="T33" s="29">
        <f t="shared" si="15"/>
        <v>0.22544190089829033</v>
      </c>
      <c r="U33" s="29">
        <f t="shared" si="16"/>
        <v>0.39273356401384085</v>
      </c>
      <c r="V33" s="29">
        <f t="shared" si="17"/>
        <v>0.55622837370242206</v>
      </c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87">
        <v>9.84</v>
      </c>
      <c r="AJ33" s="29">
        <v>9.6199999999999992</v>
      </c>
      <c r="AK33" s="87">
        <v>9.24</v>
      </c>
      <c r="AL33">
        <v>9.1</v>
      </c>
      <c r="AN33">
        <f t="shared" si="18"/>
        <v>2.6860239724672424E-2</v>
      </c>
      <c r="AO33">
        <f t="shared" si="19"/>
        <v>4.8617429486925746E-2</v>
      </c>
      <c r="AP33">
        <f t="shared" si="20"/>
        <v>8.6198029985363092E-2</v>
      </c>
      <c r="AQ33">
        <f t="shared" si="21"/>
        <v>0.10004351437952431</v>
      </c>
    </row>
    <row r="34" spans="2:43" x14ac:dyDescent="0.2">
      <c r="B34" s="101">
        <v>10.039999999999999</v>
      </c>
      <c r="C34" s="98">
        <v>8.0399999999999991</v>
      </c>
      <c r="D34" s="98">
        <v>5.66</v>
      </c>
      <c r="E34" s="98">
        <v>2.76</v>
      </c>
      <c r="F34" s="98">
        <v>0</v>
      </c>
      <c r="H34" s="98">
        <v>0.224</v>
      </c>
      <c r="I34" s="98">
        <v>0.19839142091152814</v>
      </c>
      <c r="J34" s="98">
        <v>0.15039577836411611</v>
      </c>
      <c r="K34" s="98">
        <v>0.1256544502617801</v>
      </c>
      <c r="L34" s="98">
        <v>9.5360824742268036E-2</v>
      </c>
      <c r="N34" s="29">
        <f t="shared" si="9"/>
        <v>0.19920318725099603</v>
      </c>
      <c r="O34" s="29">
        <f t="shared" si="10"/>
        <v>0.43625498007968122</v>
      </c>
      <c r="P34" s="29">
        <f t="shared" si="11"/>
        <v>0.72509960159362552</v>
      </c>
      <c r="Q34" s="29">
        <f t="shared" si="12"/>
        <v>1</v>
      </c>
      <c r="R34" s="29"/>
      <c r="S34" s="29">
        <f t="shared" si="14"/>
        <v>0.11432401378782081</v>
      </c>
      <c r="T34" s="29">
        <f t="shared" si="15"/>
        <v>0.32859027516019595</v>
      </c>
      <c r="U34" s="29">
        <f t="shared" si="16"/>
        <v>0.43904263275991029</v>
      </c>
      <c r="V34" s="29">
        <f t="shared" si="17"/>
        <v>0.57428203240058917</v>
      </c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87">
        <v>9.66</v>
      </c>
      <c r="AJ34" s="29">
        <v>9.5</v>
      </c>
      <c r="AK34" s="87">
        <v>9.08</v>
      </c>
      <c r="AL34">
        <v>8.9</v>
      </c>
      <c r="AN34">
        <f t="shared" si="18"/>
        <v>4.4661576802879611E-2</v>
      </c>
      <c r="AO34">
        <f t="shared" si="19"/>
        <v>6.0484987539063811E-2</v>
      </c>
      <c r="AP34">
        <f t="shared" si="20"/>
        <v>0.1020214407215473</v>
      </c>
      <c r="AQ34">
        <f t="shared" si="21"/>
        <v>0.11982277779975448</v>
      </c>
    </row>
    <row r="35" spans="2:43" x14ac:dyDescent="0.2">
      <c r="B35" s="101">
        <v>9.7799999999999994</v>
      </c>
      <c r="C35" s="98">
        <v>7.14</v>
      </c>
      <c r="D35" s="98">
        <v>4.54</v>
      </c>
      <c r="E35" s="98">
        <v>2.16</v>
      </c>
      <c r="F35" s="98">
        <v>0</v>
      </c>
      <c r="H35" s="98">
        <v>0.24874371859296482</v>
      </c>
      <c r="I35" s="98">
        <v>0.21695760598503741</v>
      </c>
      <c r="J35" s="98">
        <v>0.15384615384615385</v>
      </c>
      <c r="K35" s="98">
        <v>0.12207792207792208</v>
      </c>
      <c r="L35" s="98">
        <v>8.533333333333333E-2</v>
      </c>
      <c r="N35" s="29">
        <f t="shared" si="9"/>
        <v>0.26993865030674846</v>
      </c>
      <c r="O35" s="29">
        <f t="shared" si="10"/>
        <v>0.53578732106339466</v>
      </c>
      <c r="P35" s="29">
        <f t="shared" si="11"/>
        <v>0.77914110429447847</v>
      </c>
      <c r="Q35" s="29">
        <f t="shared" si="12"/>
        <v>1</v>
      </c>
      <c r="R35" s="29"/>
      <c r="S35" s="29">
        <f t="shared" si="14"/>
        <v>0.12778659412075868</v>
      </c>
      <c r="T35" s="29">
        <f t="shared" si="15"/>
        <v>0.38150738150738145</v>
      </c>
      <c r="U35" s="29">
        <f t="shared" si="16"/>
        <v>0.50922209104027283</v>
      </c>
      <c r="V35" s="29">
        <f t="shared" si="17"/>
        <v>0.65694276094276094</v>
      </c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87">
        <v>9.3800000000000008</v>
      </c>
      <c r="AJ35" s="29">
        <v>9.2200000000000006</v>
      </c>
      <c r="AK35" s="87">
        <v>8.8800000000000008</v>
      </c>
      <c r="AL35">
        <v>8.6999999999999993</v>
      </c>
      <c r="AN35">
        <f t="shared" si="18"/>
        <v>7.2352545591201869E-2</v>
      </c>
      <c r="AO35">
        <f t="shared" si="19"/>
        <v>8.8175956327386076E-2</v>
      </c>
      <c r="AP35">
        <f t="shared" si="20"/>
        <v>0.12180070414177746</v>
      </c>
      <c r="AQ35">
        <f t="shared" si="21"/>
        <v>0.13960204121998482</v>
      </c>
    </row>
    <row r="36" spans="2:43" x14ac:dyDescent="0.2">
      <c r="B36" s="101">
        <v>9.94</v>
      </c>
      <c r="C36" s="98">
        <v>7.6</v>
      </c>
      <c r="D36" s="98">
        <v>5.36</v>
      </c>
      <c r="E36" s="98">
        <v>2.66</v>
      </c>
      <c r="F36" s="98">
        <v>0</v>
      </c>
      <c r="H36" s="98">
        <v>0.21241050119331742</v>
      </c>
      <c r="I36" s="98">
        <v>0.18309859154929578</v>
      </c>
      <c r="J36" s="98">
        <v>0.14685314685314685</v>
      </c>
      <c r="K36" s="98">
        <v>0.13002364066193853</v>
      </c>
      <c r="L36" s="98">
        <v>9.6244131455399062E-2</v>
      </c>
      <c r="N36" s="29">
        <f t="shared" si="9"/>
        <v>0.23541247484909456</v>
      </c>
      <c r="O36" s="29">
        <f t="shared" si="10"/>
        <v>0.46076458752515087</v>
      </c>
      <c r="P36" s="29">
        <f t="shared" si="11"/>
        <v>0.73239436619718312</v>
      </c>
      <c r="Q36" s="29">
        <f t="shared" si="12"/>
        <v>1</v>
      </c>
      <c r="R36" s="29"/>
      <c r="S36" s="29">
        <f t="shared" si="14"/>
        <v>0.13799651843646144</v>
      </c>
      <c r="T36" s="29">
        <f t="shared" si="15"/>
        <v>0.3086351850396794</v>
      </c>
      <c r="U36" s="29">
        <f t="shared" si="16"/>
        <v>0.387866231040986</v>
      </c>
      <c r="V36" s="29">
        <f t="shared" si="17"/>
        <v>0.54689560584480668</v>
      </c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87">
        <v>9.7200000000000006</v>
      </c>
      <c r="AJ36" s="29">
        <v>9.6</v>
      </c>
      <c r="AK36" s="87">
        <v>9.24</v>
      </c>
      <c r="AL36">
        <v>9.06</v>
      </c>
      <c r="AN36">
        <f t="shared" si="18"/>
        <v>3.8727797776810485E-2</v>
      </c>
      <c r="AO36">
        <f t="shared" si="19"/>
        <v>5.0595355828948731E-2</v>
      </c>
      <c r="AP36">
        <f t="shared" si="20"/>
        <v>8.6198029985363092E-2</v>
      </c>
      <c r="AQ36">
        <f t="shared" si="21"/>
        <v>0.10399936706357028</v>
      </c>
    </row>
    <row r="37" spans="2:43" x14ac:dyDescent="0.2">
      <c r="B37" s="101">
        <v>10.6</v>
      </c>
      <c r="C37" s="98">
        <v>8.06</v>
      </c>
      <c r="D37" s="98">
        <v>5.26</v>
      </c>
      <c r="E37" s="98">
        <v>2.54</v>
      </c>
      <c r="F37" s="98">
        <v>0</v>
      </c>
      <c r="H37" s="98">
        <v>0.23249299719887956</v>
      </c>
      <c r="I37" s="98">
        <v>0.19498607242339833</v>
      </c>
      <c r="J37" s="98">
        <v>0.16201117318435754</v>
      </c>
      <c r="K37" s="98">
        <v>0.11452513966480447</v>
      </c>
      <c r="L37" s="98">
        <v>9.6952908587257622E-2</v>
      </c>
      <c r="N37" s="29">
        <f t="shared" si="9"/>
        <v>0.23962264150943388</v>
      </c>
      <c r="O37" s="29">
        <f t="shared" si="10"/>
        <v>0.50377358490566038</v>
      </c>
      <c r="P37" s="29">
        <f t="shared" si="11"/>
        <v>0.76037735849056598</v>
      </c>
      <c r="Q37" s="29">
        <f t="shared" si="12"/>
        <v>1</v>
      </c>
      <c r="R37" s="29"/>
      <c r="S37" s="29">
        <f t="shared" si="14"/>
        <v>0.16132496560056384</v>
      </c>
      <c r="T37" s="29">
        <f t="shared" si="15"/>
        <v>0.30315676112270312</v>
      </c>
      <c r="U37" s="29">
        <f t="shared" si="16"/>
        <v>0.50740391734535906</v>
      </c>
      <c r="V37" s="29">
        <f t="shared" si="17"/>
        <v>0.58298568234155457</v>
      </c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87">
        <v>10</v>
      </c>
      <c r="AJ37" s="29">
        <v>9.84</v>
      </c>
      <c r="AK37" s="87">
        <v>9.6999999999999993</v>
      </c>
      <c r="AL37">
        <v>9.64</v>
      </c>
      <c r="AN37">
        <f t="shared" si="18"/>
        <v>1.1036828988488222E-2</v>
      </c>
      <c r="AO37">
        <f t="shared" si="19"/>
        <v>2.6860239724672424E-2</v>
      </c>
      <c r="AP37">
        <f t="shared" si="20"/>
        <v>4.0705724118833643E-2</v>
      </c>
      <c r="AQ37">
        <f t="shared" si="21"/>
        <v>4.6639503144902589E-2</v>
      </c>
    </row>
    <row r="38" spans="2:43" x14ac:dyDescent="0.2">
      <c r="B38" s="101">
        <v>10.28</v>
      </c>
      <c r="C38" s="98">
        <v>7.4</v>
      </c>
      <c r="D38" s="98">
        <v>4.9000000000000004</v>
      </c>
      <c r="E38" s="98">
        <v>2.58</v>
      </c>
      <c r="F38" s="98">
        <v>0</v>
      </c>
      <c r="H38" s="98">
        <v>0.2283464566929134</v>
      </c>
      <c r="I38" s="98">
        <v>0.19430051813471502</v>
      </c>
      <c r="J38" s="98">
        <v>0.15284974093264247</v>
      </c>
      <c r="K38" s="98">
        <v>0.11578947368421053</v>
      </c>
      <c r="L38" s="98">
        <v>9.5238095238095233E-2</v>
      </c>
      <c r="N38" s="29">
        <f t="shared" si="9"/>
        <v>0.28015564202334625</v>
      </c>
      <c r="O38" s="29">
        <f t="shared" si="10"/>
        <v>0.52334630350194544</v>
      </c>
      <c r="P38" s="29">
        <f t="shared" si="11"/>
        <v>0.74902723735408561</v>
      </c>
      <c r="Q38" s="29">
        <f t="shared" si="12"/>
        <v>1</v>
      </c>
      <c r="R38" s="29"/>
      <c r="S38" s="29">
        <f t="shared" si="14"/>
        <v>0.14909773092728254</v>
      </c>
      <c r="T38" s="29">
        <f t="shared" si="15"/>
        <v>0.33062354832946228</v>
      </c>
      <c r="U38" s="29">
        <f t="shared" si="16"/>
        <v>0.49292196007259531</v>
      </c>
      <c r="V38" s="29">
        <f t="shared" si="17"/>
        <v>0.58292282430213471</v>
      </c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87">
        <v>9.6</v>
      </c>
      <c r="AJ38" s="29">
        <v>9.4</v>
      </c>
      <c r="AK38" s="87">
        <v>8.92</v>
      </c>
      <c r="AL38">
        <v>8.84</v>
      </c>
      <c r="AN38">
        <f t="shared" si="18"/>
        <v>5.0595355828948731E-2</v>
      </c>
      <c r="AO38">
        <f t="shared" si="19"/>
        <v>7.0374619249178899E-2</v>
      </c>
      <c r="AP38">
        <f t="shared" si="20"/>
        <v>0.11784485145773151</v>
      </c>
      <c r="AQ38">
        <f t="shared" si="21"/>
        <v>0.1257565568258236</v>
      </c>
    </row>
    <row r="39" spans="2:43" x14ac:dyDescent="0.2">
      <c r="B39" s="101">
        <v>10.119999999999999</v>
      </c>
      <c r="C39" s="98">
        <v>7.88</v>
      </c>
      <c r="D39" s="98">
        <v>5.36</v>
      </c>
      <c r="E39" s="98">
        <v>2.58</v>
      </c>
      <c r="F39" s="98">
        <v>0</v>
      </c>
      <c r="H39" s="98">
        <v>0.22792022792022792</v>
      </c>
      <c r="I39" s="98">
        <v>0.19884726224783861</v>
      </c>
      <c r="J39" s="98">
        <v>0.15988372093023256</v>
      </c>
      <c r="K39" s="98">
        <v>0.12209302325581395</v>
      </c>
      <c r="L39" s="98">
        <v>8.2857142857142851E-2</v>
      </c>
      <c r="N39" s="29">
        <f t="shared" si="9"/>
        <v>0.2213438735177865</v>
      </c>
      <c r="O39" s="29">
        <f t="shared" si="10"/>
        <v>0.47035573122529639</v>
      </c>
      <c r="P39" s="29">
        <f t="shared" si="11"/>
        <v>0.74505928853754944</v>
      </c>
      <c r="Q39" s="29">
        <f t="shared" si="12"/>
        <v>1</v>
      </c>
      <c r="R39" s="29"/>
      <c r="S39" s="29">
        <f t="shared" si="14"/>
        <v>0.12755763688760813</v>
      </c>
      <c r="T39" s="29">
        <f t="shared" si="15"/>
        <v>0.29851017441860461</v>
      </c>
      <c r="U39" s="29">
        <f t="shared" si="16"/>
        <v>0.46431686046511633</v>
      </c>
      <c r="V39" s="29">
        <f t="shared" si="17"/>
        <v>0.6364642857142857</v>
      </c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87">
        <v>9.5399999999999991</v>
      </c>
      <c r="AJ39" s="29">
        <v>9.2799999999999994</v>
      </c>
      <c r="AK39" s="87">
        <v>9.14</v>
      </c>
      <c r="AL39">
        <v>8.8800000000000008</v>
      </c>
      <c r="AN39">
        <f t="shared" si="18"/>
        <v>5.652913485501785E-2</v>
      </c>
      <c r="AO39">
        <f t="shared" si="19"/>
        <v>8.2242177301317138E-2</v>
      </c>
      <c r="AP39">
        <f t="shared" si="20"/>
        <v>9.608766169547818E-2</v>
      </c>
      <c r="AQ39">
        <f t="shared" si="21"/>
        <v>0.12180070414177746</v>
      </c>
    </row>
    <row r="40" spans="2:43" x14ac:dyDescent="0.2">
      <c r="B40" s="101">
        <v>9.52</v>
      </c>
      <c r="C40" s="98">
        <v>7.24</v>
      </c>
      <c r="D40" s="98">
        <v>4.5999999999999996</v>
      </c>
      <c r="E40" s="98">
        <v>2.42</v>
      </c>
      <c r="F40" s="98">
        <v>0</v>
      </c>
      <c r="H40" s="98">
        <v>0.19756097560975611</v>
      </c>
      <c r="I40" s="98">
        <v>0.15776699029126215</v>
      </c>
      <c r="J40" s="98">
        <v>0.13443396226415094</v>
      </c>
      <c r="K40" s="98">
        <v>6.7796610169491525E-2</v>
      </c>
      <c r="L40" s="98">
        <v>5.0119331742243436E-2</v>
      </c>
      <c r="N40" s="29">
        <f t="shared" si="9"/>
        <v>0.23949579831932769</v>
      </c>
      <c r="O40" s="29">
        <f t="shared" si="10"/>
        <v>0.51680672268907568</v>
      </c>
      <c r="P40" s="29">
        <f t="shared" si="11"/>
        <v>0.74579831932773111</v>
      </c>
      <c r="Q40" s="29">
        <f t="shared" si="12"/>
        <v>1</v>
      </c>
      <c r="R40" s="29"/>
      <c r="S40" s="29">
        <f t="shared" si="14"/>
        <v>0.20142634543929039</v>
      </c>
      <c r="T40" s="29">
        <f t="shared" si="15"/>
        <v>0.31953179594689035</v>
      </c>
      <c r="U40" s="29">
        <f t="shared" si="16"/>
        <v>0.65683197321615405</v>
      </c>
      <c r="V40" s="29">
        <f t="shared" si="17"/>
        <v>0.74630955537876786</v>
      </c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87">
        <v>9.14</v>
      </c>
      <c r="AJ40" s="29">
        <v>9</v>
      </c>
      <c r="AK40" s="87">
        <v>8.82</v>
      </c>
      <c r="AL40">
        <v>8.6999999999999993</v>
      </c>
      <c r="AN40">
        <f t="shared" si="18"/>
        <v>9.608766169547818E-2</v>
      </c>
      <c r="AO40">
        <f t="shared" si="19"/>
        <v>0.1099331460896394</v>
      </c>
      <c r="AP40">
        <f t="shared" si="20"/>
        <v>0.12773448316784658</v>
      </c>
      <c r="AQ40">
        <f t="shared" si="21"/>
        <v>0.13960204121998482</v>
      </c>
    </row>
    <row r="41" spans="2:43" x14ac:dyDescent="0.2">
      <c r="B41" s="101">
        <v>10</v>
      </c>
      <c r="C41" s="98">
        <v>7.52</v>
      </c>
      <c r="D41" s="98">
        <v>4.9400000000000004</v>
      </c>
      <c r="E41" s="98">
        <v>2.52</v>
      </c>
      <c r="F41" s="98">
        <v>0</v>
      </c>
      <c r="H41" s="98">
        <v>0.20052083333333334</v>
      </c>
      <c r="I41" s="98">
        <v>0.16666666666666666</v>
      </c>
      <c r="J41" s="98">
        <v>0.1447721179624665</v>
      </c>
      <c r="K41" s="98">
        <v>0.11827956989247312</v>
      </c>
      <c r="L41" s="98">
        <v>8.9709762532981532E-2</v>
      </c>
      <c r="N41" s="29">
        <f t="shared" ref="N41:N72" si="22">($B41-C41)/$B41</f>
        <v>0.24800000000000005</v>
      </c>
      <c r="O41" s="29">
        <f t="shared" ref="O41:O72" si="23">($B41-D41)/$B41</f>
        <v>0.50600000000000001</v>
      </c>
      <c r="P41" s="29">
        <f t="shared" ref="P41:P72" si="24">($B41-E41)/$B41</f>
        <v>0.748</v>
      </c>
      <c r="Q41" s="29">
        <f t="shared" ref="Q41:Q72" si="25">($B41-F41)/$B41</f>
        <v>1</v>
      </c>
      <c r="R41" s="29"/>
      <c r="S41" s="29">
        <f t="shared" si="14"/>
        <v>0.16883116883116892</v>
      </c>
      <c r="T41" s="29">
        <f t="shared" si="15"/>
        <v>0.27801956756380347</v>
      </c>
      <c r="U41" s="29">
        <f t="shared" si="16"/>
        <v>0.41013824884792627</v>
      </c>
      <c r="V41" s="29">
        <f t="shared" si="17"/>
        <v>0.55261624918617003</v>
      </c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87">
        <v>9.36</v>
      </c>
      <c r="AJ41" s="29">
        <v>9.16</v>
      </c>
      <c r="AK41" s="87">
        <v>8.6199999999999992</v>
      </c>
      <c r="AL41">
        <v>8.3800000000000008</v>
      </c>
      <c r="AN41">
        <f t="shared" si="18"/>
        <v>7.4330471933225034E-2</v>
      </c>
      <c r="AO41">
        <f t="shared" si="19"/>
        <v>9.4109735353455196E-2</v>
      </c>
      <c r="AP41">
        <f t="shared" si="20"/>
        <v>0.14751374658807692</v>
      </c>
      <c r="AQ41">
        <f t="shared" si="21"/>
        <v>0.17124886269235307</v>
      </c>
    </row>
    <row r="42" spans="2:43" x14ac:dyDescent="0.2">
      <c r="B42" s="101">
        <v>10.26</v>
      </c>
      <c r="C42" s="98">
        <v>8.02</v>
      </c>
      <c r="D42" s="98">
        <v>5.72</v>
      </c>
      <c r="E42" s="98">
        <v>2.58</v>
      </c>
      <c r="F42" s="98">
        <v>0</v>
      </c>
      <c r="H42" s="98">
        <v>0.25063291139240507</v>
      </c>
      <c r="I42" s="98">
        <v>0.21836228287841192</v>
      </c>
      <c r="J42" s="98">
        <v>0.17241379310344829</v>
      </c>
      <c r="K42" s="98">
        <v>0.13533834586466165</v>
      </c>
      <c r="L42" s="98">
        <v>9.4763092269326679E-2</v>
      </c>
      <c r="N42" s="29">
        <f t="shared" si="22"/>
        <v>0.21832358674463939</v>
      </c>
      <c r="O42" s="29">
        <f t="shared" si="23"/>
        <v>0.44249512670565305</v>
      </c>
      <c r="P42" s="29">
        <f t="shared" si="24"/>
        <v>0.74853801169590639</v>
      </c>
      <c r="Q42" s="29">
        <f t="shared" si="25"/>
        <v>1</v>
      </c>
      <c r="R42" s="29"/>
      <c r="S42" s="29">
        <f t="shared" si="14"/>
        <v>0.12875654811138681</v>
      </c>
      <c r="T42" s="29">
        <f t="shared" si="15"/>
        <v>0.31208638105189823</v>
      </c>
      <c r="U42" s="29">
        <f t="shared" si="16"/>
        <v>0.46001367053998637</v>
      </c>
      <c r="V42" s="29">
        <f t="shared" si="17"/>
        <v>0.6219048338749088</v>
      </c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87">
        <v>9.5399999999999991</v>
      </c>
      <c r="AJ42" s="29">
        <v>9.5399999999999991</v>
      </c>
      <c r="AK42" s="87">
        <v>9.24</v>
      </c>
      <c r="AL42">
        <v>9.16</v>
      </c>
      <c r="AN42">
        <f t="shared" si="18"/>
        <v>5.652913485501785E-2</v>
      </c>
      <c r="AO42">
        <f t="shared" si="19"/>
        <v>5.652913485501785E-2</v>
      </c>
      <c r="AP42">
        <f t="shared" si="20"/>
        <v>8.6198029985363092E-2</v>
      </c>
      <c r="AQ42">
        <f t="shared" si="21"/>
        <v>9.4109735353455196E-2</v>
      </c>
    </row>
    <row r="43" spans="2:43" x14ac:dyDescent="0.2">
      <c r="B43" s="101">
        <v>10.38</v>
      </c>
      <c r="C43" s="98">
        <v>7.76</v>
      </c>
      <c r="D43" s="98">
        <v>5.14</v>
      </c>
      <c r="E43" s="98">
        <v>2.6</v>
      </c>
      <c r="F43" s="98">
        <v>0</v>
      </c>
      <c r="H43" s="98">
        <v>0.21428571428571427</v>
      </c>
      <c r="I43" s="98">
        <v>0.19143576826196473</v>
      </c>
      <c r="J43" s="98">
        <v>0.15789473684210525</v>
      </c>
      <c r="K43" s="98">
        <v>0.13032581453634084</v>
      </c>
      <c r="L43" s="98">
        <v>9.3198992443324941E-2</v>
      </c>
      <c r="N43" s="29">
        <f t="shared" si="22"/>
        <v>0.25240847784200393</v>
      </c>
      <c r="O43" s="29">
        <f t="shared" si="23"/>
        <v>0.50481695568400775</v>
      </c>
      <c r="P43" s="29">
        <f t="shared" si="24"/>
        <v>0.74951830443159928</v>
      </c>
      <c r="Q43" s="29">
        <f t="shared" si="25"/>
        <v>1</v>
      </c>
      <c r="R43" s="29"/>
      <c r="S43" s="29">
        <f t="shared" si="14"/>
        <v>0.10663308144416453</v>
      </c>
      <c r="T43" s="29">
        <f t="shared" si="15"/>
        <v>0.26315789473684209</v>
      </c>
      <c r="U43" s="29">
        <f t="shared" si="16"/>
        <v>0.391812865497076</v>
      </c>
      <c r="V43" s="29">
        <f t="shared" si="17"/>
        <v>0.56507136859781693</v>
      </c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87">
        <v>9.6</v>
      </c>
      <c r="AJ43" s="29">
        <v>9.36</v>
      </c>
      <c r="AK43" s="87">
        <v>8.98</v>
      </c>
      <c r="AL43">
        <v>8.92</v>
      </c>
      <c r="AN43">
        <f t="shared" si="18"/>
        <v>5.0595355828948731E-2</v>
      </c>
      <c r="AO43">
        <f t="shared" si="19"/>
        <v>7.4330471933225034E-2</v>
      </c>
      <c r="AP43">
        <f t="shared" si="20"/>
        <v>0.11191107243166239</v>
      </c>
      <c r="AQ43">
        <f t="shared" si="21"/>
        <v>0.11784485145773151</v>
      </c>
    </row>
    <row r="44" spans="2:43" x14ac:dyDescent="0.2">
      <c r="B44" s="101">
        <v>10.18</v>
      </c>
      <c r="C44" s="98">
        <v>7.46</v>
      </c>
      <c r="D44" s="98">
        <v>4.82</v>
      </c>
      <c r="E44" s="98">
        <v>2.38</v>
      </c>
      <c r="F44" s="98">
        <v>0</v>
      </c>
      <c r="H44" s="98">
        <v>0.21525885558583105</v>
      </c>
      <c r="I44" s="98">
        <v>0.18279569892473119</v>
      </c>
      <c r="J44" s="98">
        <v>0.14960629921259844</v>
      </c>
      <c r="K44" s="98">
        <v>0.11627906976744186</v>
      </c>
      <c r="L44" s="98">
        <v>8.461538461538462E-2</v>
      </c>
      <c r="N44" s="29">
        <f t="shared" si="22"/>
        <v>0.26719056974459721</v>
      </c>
      <c r="O44" s="29">
        <f t="shared" si="23"/>
        <v>0.52652259332023577</v>
      </c>
      <c r="P44" s="29">
        <f t="shared" si="24"/>
        <v>0.76620825147347738</v>
      </c>
      <c r="Q44" s="29">
        <f t="shared" si="25"/>
        <v>1</v>
      </c>
      <c r="R44" s="29"/>
      <c r="S44" s="29">
        <f t="shared" si="14"/>
        <v>0.15080985436232469</v>
      </c>
      <c r="T44" s="29">
        <f t="shared" si="15"/>
        <v>0.30499352137944774</v>
      </c>
      <c r="U44" s="29">
        <f t="shared" si="16"/>
        <v>0.45981748601707384</v>
      </c>
      <c r="V44" s="29">
        <f t="shared" si="17"/>
        <v>0.60691333982473217</v>
      </c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87">
        <v>9.66</v>
      </c>
      <c r="AJ44" s="29">
        <v>9.36</v>
      </c>
      <c r="AK44" s="87">
        <v>9.02</v>
      </c>
      <c r="AL44">
        <v>8.9600000000000009</v>
      </c>
      <c r="AN44">
        <f t="shared" si="18"/>
        <v>4.4661576802879611E-2</v>
      </c>
      <c r="AO44">
        <f t="shared" si="19"/>
        <v>7.4330471933225034E-2</v>
      </c>
      <c r="AP44">
        <f t="shared" si="20"/>
        <v>0.10795521974761642</v>
      </c>
      <c r="AQ44">
        <f t="shared" si="21"/>
        <v>0.11388899877368536</v>
      </c>
    </row>
    <row r="45" spans="2:43" x14ac:dyDescent="0.2">
      <c r="B45" s="101">
        <v>10.4</v>
      </c>
      <c r="C45" s="98">
        <v>7.66</v>
      </c>
      <c r="D45" s="98">
        <v>4.9400000000000004</v>
      </c>
      <c r="E45" s="98">
        <v>2.58</v>
      </c>
      <c r="F45" s="98">
        <v>0</v>
      </c>
      <c r="H45" s="98">
        <v>0.21718377088305491</v>
      </c>
      <c r="I45" s="98">
        <v>0.1859903381642512</v>
      </c>
      <c r="J45" s="98">
        <v>0.15270935960591134</v>
      </c>
      <c r="K45" s="98">
        <v>0.12135922330097088</v>
      </c>
      <c r="L45" s="98">
        <v>9.7323600973236016E-2</v>
      </c>
      <c r="N45" s="29">
        <f t="shared" si="22"/>
        <v>0.26346153846153847</v>
      </c>
      <c r="O45" s="29">
        <f t="shared" si="23"/>
        <v>0.52500000000000002</v>
      </c>
      <c r="P45" s="29">
        <f t="shared" si="24"/>
        <v>0.75192307692307692</v>
      </c>
      <c r="Q45" s="29">
        <f t="shared" si="25"/>
        <v>1</v>
      </c>
      <c r="R45" s="29"/>
      <c r="S45" s="29">
        <f t="shared" si="14"/>
        <v>0.14362690449646978</v>
      </c>
      <c r="T45" s="29">
        <f t="shared" si="15"/>
        <v>0.29686569588047423</v>
      </c>
      <c r="U45" s="29">
        <f t="shared" si="16"/>
        <v>0.44121412568014512</v>
      </c>
      <c r="V45" s="29">
        <f t="shared" si="17"/>
        <v>0.55188363947488039</v>
      </c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87">
        <v>10</v>
      </c>
      <c r="AJ45" s="29">
        <v>9.76</v>
      </c>
      <c r="AK45" s="87">
        <v>9.32</v>
      </c>
      <c r="AL45">
        <v>9.1999999999999993</v>
      </c>
      <c r="AN45">
        <f t="shared" si="18"/>
        <v>1.1036828988488222E-2</v>
      </c>
      <c r="AO45">
        <f t="shared" si="19"/>
        <v>3.4771945092764524E-2</v>
      </c>
      <c r="AP45">
        <f t="shared" si="20"/>
        <v>7.8286324617270989E-2</v>
      </c>
      <c r="AQ45">
        <f t="shared" si="21"/>
        <v>9.0153882669409241E-2</v>
      </c>
    </row>
    <row r="46" spans="2:43" x14ac:dyDescent="0.2">
      <c r="B46" s="101">
        <v>9.98</v>
      </c>
      <c r="C46" s="98">
        <v>7.66</v>
      </c>
      <c r="D46" s="98">
        <v>5.0599999999999996</v>
      </c>
      <c r="E46" s="98">
        <v>2.7</v>
      </c>
      <c r="F46" s="98">
        <v>0</v>
      </c>
      <c r="H46" s="98">
        <v>0.24489795918367346</v>
      </c>
      <c r="I46" s="98">
        <v>0.2262210796915167</v>
      </c>
      <c r="J46" s="98">
        <v>0.17215189873417722</v>
      </c>
      <c r="K46" s="98">
        <v>0.14214463840399003</v>
      </c>
      <c r="L46" s="98">
        <v>0.10972568578553615</v>
      </c>
      <c r="N46" s="29">
        <f t="shared" si="22"/>
        <v>0.23246492985971945</v>
      </c>
      <c r="O46" s="29">
        <f t="shared" si="23"/>
        <v>0.49298597194388782</v>
      </c>
      <c r="P46" s="29">
        <f t="shared" si="24"/>
        <v>0.72945891783567129</v>
      </c>
      <c r="Q46" s="29">
        <f t="shared" si="25"/>
        <v>1</v>
      </c>
      <c r="R46" s="29"/>
      <c r="S46" s="29">
        <f t="shared" si="14"/>
        <v>7.6263924592973473E-2</v>
      </c>
      <c r="T46" s="29">
        <f t="shared" si="15"/>
        <v>0.2970464135021097</v>
      </c>
      <c r="U46" s="29">
        <f t="shared" si="16"/>
        <v>0.41957605985037405</v>
      </c>
      <c r="V46" s="29">
        <f t="shared" si="17"/>
        <v>0.55195344970906068</v>
      </c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87">
        <v>9.5</v>
      </c>
      <c r="AJ46" s="29">
        <v>9.44</v>
      </c>
      <c r="AK46" s="87">
        <v>9.1</v>
      </c>
      <c r="AL46">
        <v>9</v>
      </c>
      <c r="AN46">
        <f t="shared" si="18"/>
        <v>6.0484987539063811E-2</v>
      </c>
      <c r="AO46">
        <f t="shared" si="19"/>
        <v>6.6418766565132931E-2</v>
      </c>
      <c r="AP46">
        <f t="shared" si="20"/>
        <v>0.10004351437952431</v>
      </c>
      <c r="AQ46">
        <f t="shared" si="21"/>
        <v>0.1099331460896394</v>
      </c>
    </row>
    <row r="47" spans="2:43" x14ac:dyDescent="0.2">
      <c r="B47" s="101">
        <v>9.94</v>
      </c>
      <c r="C47" s="98">
        <v>7.76</v>
      </c>
      <c r="D47" s="98">
        <v>5.48</v>
      </c>
      <c r="E47" s="98">
        <v>2.6</v>
      </c>
      <c r="F47" s="98">
        <v>0</v>
      </c>
      <c r="H47" s="98">
        <v>0.19493670886075951</v>
      </c>
      <c r="I47" s="98">
        <v>0.17249999999999999</v>
      </c>
      <c r="J47" s="98">
        <v>0.1407035175879397</v>
      </c>
      <c r="K47" s="98">
        <v>0.10831234256926953</v>
      </c>
      <c r="L47" s="98">
        <v>8.1424936386768454E-2</v>
      </c>
      <c r="N47" s="29">
        <f t="shared" si="22"/>
        <v>0.21931589537223339</v>
      </c>
      <c r="O47" s="29">
        <f t="shared" si="23"/>
        <v>0.44869215291750497</v>
      </c>
      <c r="P47" s="29">
        <f t="shared" si="24"/>
        <v>0.7384305835010061</v>
      </c>
      <c r="Q47" s="29">
        <f t="shared" si="25"/>
        <v>1</v>
      </c>
      <c r="R47" s="29"/>
      <c r="S47" s="29">
        <f t="shared" si="14"/>
        <v>0.11509740259740273</v>
      </c>
      <c r="T47" s="29">
        <f t="shared" si="15"/>
        <v>0.27820922795797171</v>
      </c>
      <c r="U47" s="29">
        <f t="shared" si="16"/>
        <v>0.44437174915764338</v>
      </c>
      <c r="V47" s="29">
        <f t="shared" si="17"/>
        <v>0.58230065100294104</v>
      </c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87">
        <v>9.5399999999999991</v>
      </c>
      <c r="AJ47" s="29">
        <v>9.4</v>
      </c>
      <c r="AK47" s="87">
        <v>9.1199999999999992</v>
      </c>
      <c r="AL47">
        <v>8.9600000000000009</v>
      </c>
      <c r="AN47">
        <f t="shared" si="18"/>
        <v>5.652913485501785E-2</v>
      </c>
      <c r="AO47">
        <f t="shared" si="19"/>
        <v>7.0374619249178899E-2</v>
      </c>
      <c r="AP47">
        <f t="shared" si="20"/>
        <v>9.8065588037501331E-2</v>
      </c>
      <c r="AQ47">
        <f t="shared" si="21"/>
        <v>0.11388899877368536</v>
      </c>
    </row>
    <row r="48" spans="2:43" x14ac:dyDescent="0.2">
      <c r="B48" s="101">
        <v>9.56</v>
      </c>
      <c r="C48" s="98">
        <v>6.96</v>
      </c>
      <c r="D48" s="98">
        <v>4.4000000000000004</v>
      </c>
      <c r="E48" s="98">
        <v>2.08</v>
      </c>
      <c r="F48" s="98">
        <v>0</v>
      </c>
      <c r="H48" s="98">
        <v>0.26153846153846155</v>
      </c>
      <c r="I48" s="98">
        <v>0.22959183673469388</v>
      </c>
      <c r="J48" s="98">
        <v>0.16710182767624021</v>
      </c>
      <c r="K48" s="98">
        <v>0.14210526315789473</v>
      </c>
      <c r="L48" s="98">
        <v>9.4850948509485097E-2</v>
      </c>
      <c r="N48" s="29">
        <f t="shared" si="22"/>
        <v>0.27196652719665276</v>
      </c>
      <c r="O48" s="29">
        <f t="shared" si="23"/>
        <v>0.53974895397489542</v>
      </c>
      <c r="P48" s="29">
        <f t="shared" si="24"/>
        <v>0.78242677824267781</v>
      </c>
      <c r="Q48" s="29">
        <f t="shared" si="25"/>
        <v>1</v>
      </c>
      <c r="R48" s="29"/>
      <c r="S48" s="29">
        <f t="shared" si="14"/>
        <v>0.12214885954381756</v>
      </c>
      <c r="T48" s="29">
        <f t="shared" si="15"/>
        <v>0.36108124712025808</v>
      </c>
      <c r="U48" s="29">
        <f t="shared" si="16"/>
        <v>0.45665634674922606</v>
      </c>
      <c r="V48" s="29">
        <f t="shared" si="17"/>
        <v>0.63733460864020397</v>
      </c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87">
        <v>9.18</v>
      </c>
      <c r="AJ48" s="29">
        <v>9.08</v>
      </c>
      <c r="AK48" s="87">
        <v>8.76</v>
      </c>
      <c r="AL48">
        <v>8.56</v>
      </c>
      <c r="AN48">
        <f t="shared" si="18"/>
        <v>9.2131809011432211E-2</v>
      </c>
      <c r="AO48">
        <f t="shared" si="19"/>
        <v>0.1020214407215473</v>
      </c>
      <c r="AP48">
        <f t="shared" si="20"/>
        <v>0.1336682621939157</v>
      </c>
      <c r="AQ48">
        <f t="shared" si="21"/>
        <v>0.15344752561414587</v>
      </c>
    </row>
    <row r="49" spans="2:43" x14ac:dyDescent="0.2">
      <c r="B49" s="101">
        <v>10.199999999999999</v>
      </c>
      <c r="C49" s="98">
        <v>7.66</v>
      </c>
      <c r="D49" s="98">
        <v>5.38</v>
      </c>
      <c r="E49" s="98">
        <v>2.62</v>
      </c>
      <c r="F49" s="98">
        <v>0</v>
      </c>
      <c r="H49" s="98">
        <v>0.20863309352517986</v>
      </c>
      <c r="I49" s="98">
        <v>0.1811764705882353</v>
      </c>
      <c r="J49" s="98">
        <v>0.14352941176470588</v>
      </c>
      <c r="K49" s="98">
        <v>0.12200956937799043</v>
      </c>
      <c r="L49" s="98">
        <v>8.7885985748218529E-2</v>
      </c>
      <c r="N49" s="29">
        <f t="shared" si="22"/>
        <v>0.24901960784313718</v>
      </c>
      <c r="O49" s="29">
        <f t="shared" si="23"/>
        <v>0.47254901960784312</v>
      </c>
      <c r="P49" s="29">
        <f t="shared" si="24"/>
        <v>0.74313725490196081</v>
      </c>
      <c r="Q49" s="29">
        <f t="shared" si="25"/>
        <v>1</v>
      </c>
      <c r="R49" s="29"/>
      <c r="S49" s="29">
        <f t="shared" si="14"/>
        <v>0.13160243407707911</v>
      </c>
      <c r="T49" s="29">
        <f t="shared" si="15"/>
        <v>0.31204868154158222</v>
      </c>
      <c r="U49" s="29">
        <f t="shared" si="16"/>
        <v>0.41519551229170104</v>
      </c>
      <c r="V49" s="29">
        <f t="shared" si="17"/>
        <v>0.57875337865509047</v>
      </c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87">
        <v>9.92</v>
      </c>
      <c r="AJ49" s="29">
        <v>9.7200000000000006</v>
      </c>
      <c r="AK49" s="87">
        <v>9.3800000000000008</v>
      </c>
      <c r="AL49">
        <v>9.2200000000000006</v>
      </c>
      <c r="AN49">
        <f t="shared" si="18"/>
        <v>1.8948534356580324E-2</v>
      </c>
      <c r="AO49">
        <f t="shared" si="19"/>
        <v>3.8727797776810485E-2</v>
      </c>
      <c r="AP49">
        <f t="shared" si="20"/>
        <v>7.2352545591201869E-2</v>
      </c>
      <c r="AQ49">
        <f t="shared" si="21"/>
        <v>8.8175956327386076E-2</v>
      </c>
    </row>
    <row r="50" spans="2:43" x14ac:dyDescent="0.2">
      <c r="B50" s="101">
        <v>10.34</v>
      </c>
      <c r="C50" s="98">
        <v>7.84</v>
      </c>
      <c r="D50" s="98">
        <v>5.26</v>
      </c>
      <c r="E50" s="98">
        <v>2.54</v>
      </c>
      <c r="F50" s="98">
        <v>0</v>
      </c>
      <c r="H50" s="98">
        <v>0.23770491803278687</v>
      </c>
      <c r="I50" s="98">
        <v>0.19459459459459461</v>
      </c>
      <c r="J50" s="98">
        <v>0.16216216216216217</v>
      </c>
      <c r="K50" s="98">
        <v>0.11989100817438691</v>
      </c>
      <c r="L50" s="98">
        <v>0.10215053763440861</v>
      </c>
      <c r="N50" s="29">
        <f t="shared" si="22"/>
        <v>0.24177949709864605</v>
      </c>
      <c r="O50" s="29">
        <f t="shared" si="23"/>
        <v>0.49129593810444877</v>
      </c>
      <c r="P50" s="29">
        <f t="shared" si="24"/>
        <v>0.75435203094777559</v>
      </c>
      <c r="Q50" s="29">
        <f t="shared" si="25"/>
        <v>1</v>
      </c>
      <c r="R50" s="29"/>
      <c r="S50" s="29">
        <f t="shared" si="14"/>
        <v>0.18136067101584333</v>
      </c>
      <c r="T50" s="29">
        <f t="shared" si="15"/>
        <v>0.31780055917986944</v>
      </c>
      <c r="U50" s="29">
        <f t="shared" si="16"/>
        <v>0.4956309311284412</v>
      </c>
      <c r="V50" s="29">
        <f t="shared" si="17"/>
        <v>0.57026325546903955</v>
      </c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87">
        <v>9.74</v>
      </c>
      <c r="AJ50" s="29">
        <v>9.66</v>
      </c>
      <c r="AK50" s="87">
        <v>9.4600000000000009</v>
      </c>
      <c r="AL50">
        <v>9.3800000000000008</v>
      </c>
      <c r="AN50">
        <f t="shared" si="18"/>
        <v>3.6749871434787508E-2</v>
      </c>
      <c r="AO50">
        <f t="shared" si="19"/>
        <v>4.4661576802879611E-2</v>
      </c>
      <c r="AP50">
        <f t="shared" si="20"/>
        <v>6.444084022310978E-2</v>
      </c>
      <c r="AQ50">
        <f t="shared" si="21"/>
        <v>7.2352545591201869E-2</v>
      </c>
    </row>
    <row r="51" spans="2:43" x14ac:dyDescent="0.2">
      <c r="B51" s="101">
        <v>10.52</v>
      </c>
      <c r="C51" s="98">
        <v>7.68</v>
      </c>
      <c r="D51" s="98">
        <v>4.96</v>
      </c>
      <c r="E51" s="98">
        <v>2.58</v>
      </c>
      <c r="F51" s="98">
        <v>0</v>
      </c>
      <c r="H51" s="98">
        <v>0.21989528795811519</v>
      </c>
      <c r="I51" s="98">
        <v>0.18652849740932642</v>
      </c>
      <c r="J51" s="98">
        <v>0.14470284237726097</v>
      </c>
      <c r="K51" s="98">
        <v>0.10732984293193717</v>
      </c>
      <c r="L51" s="98">
        <v>8.6842105263157901E-2</v>
      </c>
      <c r="N51" s="29">
        <f t="shared" si="22"/>
        <v>0.26996197718631176</v>
      </c>
      <c r="O51" s="29">
        <f t="shared" si="23"/>
        <v>0.52851711026615966</v>
      </c>
      <c r="P51" s="29">
        <f t="shared" si="24"/>
        <v>0.75475285171102657</v>
      </c>
      <c r="Q51" s="29">
        <f t="shared" si="25"/>
        <v>1</v>
      </c>
      <c r="R51" s="29"/>
      <c r="S51" s="29">
        <f t="shared" si="14"/>
        <v>0.15173945225758703</v>
      </c>
      <c r="T51" s="29">
        <f t="shared" si="15"/>
        <v>0.34194659776055131</v>
      </c>
      <c r="U51" s="29">
        <f t="shared" si="16"/>
        <v>0.51190476190476186</v>
      </c>
      <c r="V51" s="29">
        <f t="shared" si="17"/>
        <v>0.60507518796992488</v>
      </c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87">
        <v>9.8800000000000008</v>
      </c>
      <c r="AJ51" s="29">
        <v>9.6</v>
      </c>
      <c r="AK51" s="87">
        <v>9.1999999999999993</v>
      </c>
      <c r="AL51">
        <v>9.1</v>
      </c>
      <c r="AN51">
        <f t="shared" si="18"/>
        <v>2.2904387040626285E-2</v>
      </c>
      <c r="AO51">
        <f t="shared" si="19"/>
        <v>5.0595355828948731E-2</v>
      </c>
      <c r="AP51">
        <f t="shared" si="20"/>
        <v>9.0153882669409241E-2</v>
      </c>
      <c r="AQ51">
        <f t="shared" si="21"/>
        <v>0.10004351437952431</v>
      </c>
    </row>
    <row r="52" spans="2:43" x14ac:dyDescent="0.2">
      <c r="B52" s="101">
        <v>10.1</v>
      </c>
      <c r="C52" s="98">
        <v>7.76</v>
      </c>
      <c r="D52" s="98">
        <v>5.3</v>
      </c>
      <c r="E52" s="98">
        <v>2.54</v>
      </c>
      <c r="F52" s="98">
        <v>0</v>
      </c>
      <c r="H52" s="98">
        <v>0.21971830985915494</v>
      </c>
      <c r="I52" s="98">
        <v>0.19373219373219372</v>
      </c>
      <c r="J52" s="98">
        <v>0.16138328530259366</v>
      </c>
      <c r="K52" s="98">
        <v>0.1235632183908046</v>
      </c>
      <c r="L52" s="98">
        <v>9.0651558073654395E-2</v>
      </c>
      <c r="N52" s="29">
        <f t="shared" si="22"/>
        <v>0.23168316831683167</v>
      </c>
      <c r="O52" s="29">
        <f t="shared" si="23"/>
        <v>0.47524752475247523</v>
      </c>
      <c r="P52" s="29">
        <f t="shared" si="24"/>
        <v>0.74851485148514851</v>
      </c>
      <c r="Q52" s="29">
        <f t="shared" si="25"/>
        <v>1</v>
      </c>
      <c r="R52" s="29"/>
      <c r="S52" s="29">
        <f t="shared" si="14"/>
        <v>0.11827014391116966</v>
      </c>
      <c r="T52" s="29">
        <f t="shared" si="15"/>
        <v>0.26549915022537507</v>
      </c>
      <c r="U52" s="29">
        <f t="shared" si="16"/>
        <v>0.43762894193928681</v>
      </c>
      <c r="V52" s="29">
        <f t="shared" si="17"/>
        <v>0.58741919081862415</v>
      </c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87">
        <v>9.5399999999999991</v>
      </c>
      <c r="AJ52" s="29">
        <v>9.32</v>
      </c>
      <c r="AK52" s="87">
        <v>9.1999999999999993</v>
      </c>
      <c r="AL52">
        <v>8.98</v>
      </c>
      <c r="AN52">
        <f t="shared" si="18"/>
        <v>5.652913485501785E-2</v>
      </c>
      <c r="AO52">
        <f t="shared" si="19"/>
        <v>7.8286324617270989E-2</v>
      </c>
      <c r="AP52">
        <f t="shared" si="20"/>
        <v>9.0153882669409241E-2</v>
      </c>
      <c r="AQ52">
        <f t="shared" si="21"/>
        <v>0.11191107243166239</v>
      </c>
    </row>
    <row r="53" spans="2:43" x14ac:dyDescent="0.2">
      <c r="B53" s="101">
        <v>9.52</v>
      </c>
      <c r="C53" s="98">
        <v>7.32</v>
      </c>
      <c r="D53" s="98">
        <v>4.78</v>
      </c>
      <c r="E53" s="98">
        <v>2.5</v>
      </c>
      <c r="F53" s="98">
        <v>0</v>
      </c>
      <c r="H53" s="98">
        <v>0.21038961038961038</v>
      </c>
      <c r="I53" s="98">
        <v>0.16752577319587628</v>
      </c>
      <c r="J53" s="98">
        <v>0.13930348258706468</v>
      </c>
      <c r="K53" s="98">
        <v>7.1611253196930943E-2</v>
      </c>
      <c r="L53" s="98">
        <v>5.3030303030303032E-2</v>
      </c>
      <c r="N53" s="29">
        <f t="shared" si="22"/>
        <v>0.23109243697478984</v>
      </c>
      <c r="O53" s="29">
        <f t="shared" si="23"/>
        <v>0.4978991596638655</v>
      </c>
      <c r="P53" s="29">
        <f t="shared" si="24"/>
        <v>0.73739495798319321</v>
      </c>
      <c r="Q53" s="29">
        <f t="shared" si="25"/>
        <v>1</v>
      </c>
      <c r="R53" s="29"/>
      <c r="S53" s="29">
        <f t="shared" si="14"/>
        <v>0.2037355224640448</v>
      </c>
      <c r="T53" s="29">
        <f t="shared" si="15"/>
        <v>0.3378785086911123</v>
      </c>
      <c r="U53" s="29">
        <f t="shared" si="16"/>
        <v>0.65962552492816773</v>
      </c>
      <c r="V53" s="29">
        <f t="shared" si="17"/>
        <v>0.74794238683127567</v>
      </c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87">
        <v>9.02</v>
      </c>
      <c r="AJ53" s="29">
        <v>8.86</v>
      </c>
      <c r="AK53" s="87">
        <v>8.66</v>
      </c>
      <c r="AL53">
        <v>8.56</v>
      </c>
      <c r="AN53">
        <f t="shared" si="18"/>
        <v>0.10795521974761642</v>
      </c>
      <c r="AO53">
        <f t="shared" si="19"/>
        <v>0.12377863048380063</v>
      </c>
      <c r="AP53">
        <f t="shared" si="20"/>
        <v>0.14355789390403079</v>
      </c>
      <c r="AQ53">
        <f t="shared" si="21"/>
        <v>0.15344752561414587</v>
      </c>
    </row>
    <row r="54" spans="2:43" x14ac:dyDescent="0.2">
      <c r="B54" s="101">
        <v>9.86</v>
      </c>
      <c r="C54" s="98">
        <v>7.44</v>
      </c>
      <c r="D54" s="98">
        <v>4.74</v>
      </c>
      <c r="E54" s="98">
        <v>2.38</v>
      </c>
      <c r="F54" s="98">
        <v>0</v>
      </c>
      <c r="H54" s="98">
        <v>0.18622448979591838</v>
      </c>
      <c r="I54" s="98">
        <v>0.15284974093264247</v>
      </c>
      <c r="J54" s="98">
        <v>0.14173228346456693</v>
      </c>
      <c r="K54" s="98">
        <v>0.11609498680738786</v>
      </c>
      <c r="L54" s="98">
        <v>8.6161879895561358E-2</v>
      </c>
      <c r="N54" s="29">
        <f t="shared" si="22"/>
        <v>0.24543610547667336</v>
      </c>
      <c r="O54" s="29">
        <f t="shared" si="23"/>
        <v>0.51926977687626774</v>
      </c>
      <c r="P54" s="29">
        <f t="shared" si="24"/>
        <v>0.75862068965517238</v>
      </c>
      <c r="Q54" s="29">
        <f t="shared" si="25"/>
        <v>1</v>
      </c>
      <c r="R54" s="29"/>
      <c r="S54" s="29">
        <f t="shared" si="14"/>
        <v>0.17921782951238566</v>
      </c>
      <c r="T54" s="29">
        <f t="shared" si="15"/>
        <v>0.23891705317657216</v>
      </c>
      <c r="U54" s="29">
        <f t="shared" si="16"/>
        <v>0.37658582426717757</v>
      </c>
      <c r="V54" s="29">
        <f t="shared" si="17"/>
        <v>0.53732250795808145</v>
      </c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87">
        <v>9.3800000000000008</v>
      </c>
      <c r="AJ54" s="29">
        <v>9.16</v>
      </c>
      <c r="AK54" s="87">
        <v>8.64</v>
      </c>
      <c r="AL54">
        <v>8.3800000000000008</v>
      </c>
      <c r="AN54">
        <f t="shared" si="18"/>
        <v>7.2352545591201869E-2</v>
      </c>
      <c r="AO54">
        <f t="shared" si="19"/>
        <v>9.4109735353455196E-2</v>
      </c>
      <c r="AP54">
        <f t="shared" si="20"/>
        <v>0.14553582024605377</v>
      </c>
      <c r="AQ54">
        <f t="shared" si="21"/>
        <v>0.17124886269235307</v>
      </c>
    </row>
    <row r="55" spans="2:43" x14ac:dyDescent="0.2">
      <c r="B55" s="101">
        <v>10.46</v>
      </c>
      <c r="C55" s="98">
        <v>8.14</v>
      </c>
      <c r="D55" s="98">
        <v>5.82</v>
      </c>
      <c r="E55" s="98">
        <v>2.74</v>
      </c>
      <c r="F55" s="98">
        <v>0</v>
      </c>
      <c r="H55" s="98">
        <v>0.25124378109452739</v>
      </c>
      <c r="I55" s="98">
        <v>0.22249388753056235</v>
      </c>
      <c r="J55" s="98">
        <v>0.170316301703163</v>
      </c>
      <c r="K55" s="98">
        <v>0.12592592592592591</v>
      </c>
      <c r="L55" s="98">
        <v>8.7378640776699032E-2</v>
      </c>
      <c r="N55" s="29">
        <f t="shared" si="22"/>
        <v>0.22179732313575526</v>
      </c>
      <c r="O55" s="29">
        <f t="shared" si="23"/>
        <v>0.44359464627151052</v>
      </c>
      <c r="P55" s="29">
        <f t="shared" si="24"/>
        <v>0.73804971319311663</v>
      </c>
      <c r="Q55" s="29">
        <f t="shared" si="25"/>
        <v>1</v>
      </c>
      <c r="R55" s="29"/>
      <c r="S55" s="29">
        <f t="shared" si="14"/>
        <v>0.11443026943281134</v>
      </c>
      <c r="T55" s="29">
        <f t="shared" si="15"/>
        <v>0.32210739322107407</v>
      </c>
      <c r="U55" s="29">
        <f t="shared" si="16"/>
        <v>0.49878987898789889</v>
      </c>
      <c r="V55" s="29">
        <f t="shared" si="17"/>
        <v>0.6522157070075939</v>
      </c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87">
        <v>9.68</v>
      </c>
      <c r="AJ55" s="29">
        <v>9.66</v>
      </c>
      <c r="AK55" s="87">
        <v>9.32</v>
      </c>
      <c r="AL55">
        <v>9.2200000000000006</v>
      </c>
      <c r="AN55">
        <f t="shared" si="18"/>
        <v>4.2683650460856627E-2</v>
      </c>
      <c r="AO55">
        <f t="shared" si="19"/>
        <v>4.4661576802879611E-2</v>
      </c>
      <c r="AP55">
        <f t="shared" si="20"/>
        <v>7.8286324617270989E-2</v>
      </c>
      <c r="AQ55">
        <f t="shared" si="21"/>
        <v>8.8175956327386076E-2</v>
      </c>
    </row>
    <row r="56" spans="2:43" x14ac:dyDescent="0.2">
      <c r="B56" s="101">
        <v>10.34</v>
      </c>
      <c r="C56" s="98">
        <v>7.64</v>
      </c>
      <c r="D56" s="98">
        <v>5.0599999999999996</v>
      </c>
      <c r="E56" s="98">
        <v>2.52</v>
      </c>
      <c r="F56" s="98">
        <v>0</v>
      </c>
      <c r="H56" s="98">
        <v>0.2340966921119593</v>
      </c>
      <c r="I56" s="98">
        <v>0.20654911838790932</v>
      </c>
      <c r="J56" s="98">
        <v>0.16957605985037408</v>
      </c>
      <c r="K56" s="98">
        <v>0.14463840399002495</v>
      </c>
      <c r="L56" s="98">
        <v>0.10606060606060606</v>
      </c>
      <c r="N56" s="29">
        <f t="shared" si="22"/>
        <v>0.26112185686653772</v>
      </c>
      <c r="O56" s="29">
        <f t="shared" si="23"/>
        <v>0.5106382978723405</v>
      </c>
      <c r="P56" s="29">
        <f t="shared" si="24"/>
        <v>0.7562862669245648</v>
      </c>
      <c r="Q56" s="29">
        <f t="shared" si="25"/>
        <v>1</v>
      </c>
      <c r="R56" s="29"/>
      <c r="S56" s="29">
        <f t="shared" si="14"/>
        <v>0.11767604862556132</v>
      </c>
      <c r="T56" s="29">
        <f t="shared" si="15"/>
        <v>0.27561530955220642</v>
      </c>
      <c r="U56" s="29">
        <f t="shared" si="16"/>
        <v>0.38214246991217604</v>
      </c>
      <c r="V56" s="29">
        <f t="shared" si="17"/>
        <v>0.54693675889328075</v>
      </c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87">
        <v>9.6</v>
      </c>
      <c r="AJ56" s="29">
        <v>9.36</v>
      </c>
      <c r="AK56" s="87">
        <v>8.9600000000000009</v>
      </c>
      <c r="AL56">
        <v>8.9</v>
      </c>
      <c r="AN56">
        <f t="shared" si="18"/>
        <v>5.0595355828948731E-2</v>
      </c>
      <c r="AO56">
        <f t="shared" si="19"/>
        <v>7.4330471933225034E-2</v>
      </c>
      <c r="AP56">
        <f t="shared" si="20"/>
        <v>0.11388899877368536</v>
      </c>
      <c r="AQ56">
        <f t="shared" si="21"/>
        <v>0.11982277779975448</v>
      </c>
    </row>
    <row r="57" spans="2:43" x14ac:dyDescent="0.2">
      <c r="B57" s="101">
        <v>10.06</v>
      </c>
      <c r="C57" s="98">
        <v>7.42</v>
      </c>
      <c r="D57" s="98">
        <v>4.9000000000000004</v>
      </c>
      <c r="E57" s="98">
        <v>2.34</v>
      </c>
      <c r="F57" s="98">
        <v>0</v>
      </c>
      <c r="H57" s="98">
        <v>0.19251336898395721</v>
      </c>
      <c r="I57" s="98">
        <v>0.16010498687664043</v>
      </c>
      <c r="J57" s="98">
        <v>0.13144329896907217</v>
      </c>
      <c r="K57" s="98">
        <v>9.9744245524296671E-2</v>
      </c>
      <c r="L57" s="98">
        <v>7.4168797953964194E-2</v>
      </c>
      <c r="N57" s="29">
        <f t="shared" si="22"/>
        <v>0.2624254473161034</v>
      </c>
      <c r="O57" s="29">
        <f t="shared" si="23"/>
        <v>0.51292246520874751</v>
      </c>
      <c r="P57" s="29">
        <f t="shared" si="24"/>
        <v>0.76739562624254476</v>
      </c>
      <c r="Q57" s="29">
        <f t="shared" si="25"/>
        <v>1</v>
      </c>
      <c r="R57" s="29"/>
      <c r="S57" s="29">
        <f t="shared" si="14"/>
        <v>0.16834354039078439</v>
      </c>
      <c r="T57" s="29">
        <f t="shared" si="15"/>
        <v>0.31722508591065285</v>
      </c>
      <c r="U57" s="29">
        <f t="shared" si="16"/>
        <v>0.48188405797101447</v>
      </c>
      <c r="V57" s="29">
        <f t="shared" si="17"/>
        <v>0.61473429951690817</v>
      </c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87">
        <v>9.52</v>
      </c>
      <c r="AJ57" s="29">
        <v>9.2200000000000006</v>
      </c>
      <c r="AK57" s="87">
        <v>8.8800000000000008</v>
      </c>
      <c r="AL57">
        <v>8.82</v>
      </c>
      <c r="AN57">
        <f t="shared" si="18"/>
        <v>5.8507061197040827E-2</v>
      </c>
      <c r="AO57">
        <f t="shared" si="19"/>
        <v>8.8175956327386076E-2</v>
      </c>
      <c r="AP57">
        <f t="shared" si="20"/>
        <v>0.12180070414177746</v>
      </c>
      <c r="AQ57">
        <f t="shared" si="21"/>
        <v>0.12773448316784658</v>
      </c>
    </row>
    <row r="58" spans="2:43" x14ac:dyDescent="0.2">
      <c r="B58" s="101">
        <v>10.38</v>
      </c>
      <c r="C58" s="98">
        <v>7.7</v>
      </c>
      <c r="D58" s="98">
        <v>4.8600000000000003</v>
      </c>
      <c r="E58" s="98">
        <v>2.64</v>
      </c>
      <c r="F58" s="98">
        <v>0</v>
      </c>
      <c r="H58" s="98">
        <v>0.22693266832917705</v>
      </c>
      <c r="I58" s="98">
        <v>0.19592875318066158</v>
      </c>
      <c r="J58" s="98">
        <v>0.16321243523316062</v>
      </c>
      <c r="K58" s="98">
        <v>0.12911392405063291</v>
      </c>
      <c r="L58" s="98">
        <v>0.10050251256281408</v>
      </c>
      <c r="N58" s="29">
        <f t="shared" si="22"/>
        <v>0.25818882466281312</v>
      </c>
      <c r="O58" s="29">
        <f t="shared" si="23"/>
        <v>0.53179190751445082</v>
      </c>
      <c r="P58" s="29">
        <f t="shared" si="24"/>
        <v>0.74566473988439308</v>
      </c>
      <c r="Q58" s="29">
        <f t="shared" si="25"/>
        <v>1</v>
      </c>
      <c r="R58" s="29"/>
      <c r="S58" s="29">
        <f t="shared" si="14"/>
        <v>0.13662164807202973</v>
      </c>
      <c r="T58" s="29">
        <f t="shared" si="15"/>
        <v>0.28078915902750101</v>
      </c>
      <c r="U58" s="29">
        <f t="shared" si="16"/>
        <v>0.43104743357907915</v>
      </c>
      <c r="V58" s="29">
        <f t="shared" si="17"/>
        <v>0.55712629079463238</v>
      </c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87">
        <v>9.9</v>
      </c>
      <c r="AJ58" s="29">
        <v>9.7200000000000006</v>
      </c>
      <c r="AK58" s="87">
        <v>9.2799999999999994</v>
      </c>
      <c r="AL58">
        <v>9.1199999999999992</v>
      </c>
      <c r="AN58">
        <f t="shared" si="18"/>
        <v>2.0926460698603305E-2</v>
      </c>
      <c r="AO58">
        <f t="shared" si="19"/>
        <v>3.8727797776810485E-2</v>
      </c>
      <c r="AP58">
        <f t="shared" si="20"/>
        <v>8.2242177301317138E-2</v>
      </c>
      <c r="AQ58">
        <f t="shared" si="21"/>
        <v>9.8065588037501331E-2</v>
      </c>
    </row>
    <row r="59" spans="2:43" x14ac:dyDescent="0.2">
      <c r="B59" s="101">
        <v>10.06</v>
      </c>
      <c r="C59" s="98">
        <v>7.64</v>
      </c>
      <c r="D59" s="98">
        <v>5.08</v>
      </c>
      <c r="E59" s="98">
        <v>2.66</v>
      </c>
      <c r="F59" s="98">
        <v>0</v>
      </c>
      <c r="H59" s="98">
        <v>0.25</v>
      </c>
      <c r="I59" s="98">
        <v>0.22979797979797981</v>
      </c>
      <c r="J59" s="98">
        <v>0.17412935323383086</v>
      </c>
      <c r="K59" s="98">
        <v>0.14250614250614252</v>
      </c>
      <c r="L59" s="98">
        <v>0.11219512195121951</v>
      </c>
      <c r="N59" s="29">
        <f t="shared" si="22"/>
        <v>0.24055666003976151</v>
      </c>
      <c r="O59" s="29">
        <f t="shared" si="23"/>
        <v>0.49502982107355864</v>
      </c>
      <c r="P59" s="29">
        <f t="shared" si="24"/>
        <v>0.73558648111332003</v>
      </c>
      <c r="Q59" s="29">
        <f t="shared" si="25"/>
        <v>1</v>
      </c>
      <c r="R59" s="29"/>
      <c r="S59" s="29">
        <f t="shared" si="14"/>
        <v>8.0808080808080773E-2</v>
      </c>
      <c r="T59" s="29">
        <f t="shared" si="15"/>
        <v>0.30348258706467657</v>
      </c>
      <c r="U59" s="29">
        <f t="shared" si="16"/>
        <v>0.42997542997542992</v>
      </c>
      <c r="V59" s="29">
        <f t="shared" si="17"/>
        <v>0.551219512195122</v>
      </c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87">
        <v>9.58</v>
      </c>
      <c r="AJ59" s="29">
        <v>9.5</v>
      </c>
      <c r="AK59" s="87">
        <v>9.16</v>
      </c>
      <c r="AL59">
        <v>9.08</v>
      </c>
      <c r="AN59">
        <f t="shared" si="18"/>
        <v>5.2573282170971708E-2</v>
      </c>
      <c r="AO59">
        <f t="shared" si="19"/>
        <v>6.0484987539063811E-2</v>
      </c>
      <c r="AP59">
        <f t="shared" si="20"/>
        <v>9.4109735353455196E-2</v>
      </c>
      <c r="AQ59">
        <f t="shared" si="21"/>
        <v>0.1020214407215473</v>
      </c>
    </row>
    <row r="60" spans="2:43" x14ac:dyDescent="0.2">
      <c r="B60" s="101">
        <v>9.94</v>
      </c>
      <c r="C60" s="98">
        <v>7.82</v>
      </c>
      <c r="D60" s="98">
        <v>5.62</v>
      </c>
      <c r="E60" s="98">
        <v>2.64</v>
      </c>
      <c r="F60" s="98">
        <v>0</v>
      </c>
      <c r="H60" s="98">
        <v>0.20099255583126552</v>
      </c>
      <c r="I60" s="98">
        <v>0.18181818181818182</v>
      </c>
      <c r="J60" s="98">
        <v>0.14925373134328357</v>
      </c>
      <c r="K60" s="98">
        <v>0.1172069825436409</v>
      </c>
      <c r="L60" s="98">
        <v>8.3756345177664976E-2</v>
      </c>
      <c r="N60" s="29">
        <f t="shared" si="22"/>
        <v>0.21327967806841039</v>
      </c>
      <c r="O60" s="29">
        <f t="shared" si="23"/>
        <v>0.43460764587525147</v>
      </c>
      <c r="P60" s="29">
        <f t="shared" si="24"/>
        <v>0.73440643863179067</v>
      </c>
      <c r="Q60" s="29">
        <f t="shared" si="25"/>
        <v>1</v>
      </c>
      <c r="R60" s="29"/>
      <c r="S60" s="29">
        <f t="shared" si="14"/>
        <v>9.5398428731762089E-2</v>
      </c>
      <c r="T60" s="29">
        <f t="shared" si="15"/>
        <v>0.25741662060070031</v>
      </c>
      <c r="U60" s="29">
        <f t="shared" si="16"/>
        <v>0.41685908685077433</v>
      </c>
      <c r="V60" s="29">
        <f t="shared" si="17"/>
        <v>0.58328633201729652</v>
      </c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87">
        <v>9.6</v>
      </c>
      <c r="AJ60" s="29">
        <v>9.44</v>
      </c>
      <c r="AK60" s="87">
        <v>9.1999999999999993</v>
      </c>
      <c r="AL60">
        <v>9.08</v>
      </c>
      <c r="AN60">
        <f t="shared" si="18"/>
        <v>5.0595355828948731E-2</v>
      </c>
      <c r="AO60">
        <f t="shared" si="19"/>
        <v>6.6418766565132931E-2</v>
      </c>
      <c r="AP60">
        <f t="shared" si="20"/>
        <v>9.0153882669409241E-2</v>
      </c>
      <c r="AQ60">
        <f t="shared" si="21"/>
        <v>0.1020214407215473</v>
      </c>
    </row>
    <row r="61" spans="2:43" x14ac:dyDescent="0.2">
      <c r="B61" s="101">
        <v>9.92</v>
      </c>
      <c r="C61" s="98">
        <v>7.2</v>
      </c>
      <c r="D61" s="98">
        <v>4.5999999999999996</v>
      </c>
      <c r="E61" s="98">
        <v>2.52</v>
      </c>
      <c r="F61" s="98">
        <v>0</v>
      </c>
      <c r="H61" s="98">
        <v>0.24</v>
      </c>
      <c r="I61" s="98">
        <v>0.20895522388059701</v>
      </c>
      <c r="J61" s="98">
        <v>0.15538847117794485</v>
      </c>
      <c r="K61" s="98">
        <v>0.13184079601990051</v>
      </c>
      <c r="L61" s="98">
        <v>0.10249999999999999</v>
      </c>
      <c r="N61" s="29">
        <f t="shared" si="22"/>
        <v>0.27419354838709675</v>
      </c>
      <c r="O61" s="29">
        <f t="shared" si="23"/>
        <v>0.53629032258064524</v>
      </c>
      <c r="P61" s="29">
        <f t="shared" si="24"/>
        <v>0.74596774193548387</v>
      </c>
      <c r="Q61" s="29">
        <f t="shared" si="25"/>
        <v>1</v>
      </c>
      <c r="R61" s="29"/>
      <c r="S61" s="29">
        <f t="shared" si="14"/>
        <v>0.12935323383084577</v>
      </c>
      <c r="T61" s="29">
        <f t="shared" si="15"/>
        <v>0.35254803675856311</v>
      </c>
      <c r="U61" s="29">
        <f t="shared" si="16"/>
        <v>0.45066334991708118</v>
      </c>
      <c r="V61" s="29">
        <f t="shared" si="17"/>
        <v>0.57291666666666674</v>
      </c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87">
        <v>9.34</v>
      </c>
      <c r="AJ61" s="29">
        <v>9.26</v>
      </c>
      <c r="AK61" s="87">
        <v>8.92</v>
      </c>
      <c r="AL61">
        <v>8.68</v>
      </c>
      <c r="AN61">
        <f t="shared" si="18"/>
        <v>7.6308398275248018E-2</v>
      </c>
      <c r="AO61">
        <f t="shared" si="19"/>
        <v>8.4220103643340108E-2</v>
      </c>
      <c r="AP61">
        <f t="shared" si="20"/>
        <v>0.11784485145773151</v>
      </c>
      <c r="AQ61">
        <f t="shared" si="21"/>
        <v>0.1415799675620078</v>
      </c>
    </row>
    <row r="62" spans="2:43" x14ac:dyDescent="0.2">
      <c r="B62" s="101">
        <v>10.06</v>
      </c>
      <c r="C62" s="98">
        <v>7.76</v>
      </c>
      <c r="D62" s="98">
        <v>5.36</v>
      </c>
      <c r="E62" s="98">
        <v>2.2599999999999998</v>
      </c>
      <c r="F62" s="98">
        <v>0</v>
      </c>
      <c r="H62" s="98">
        <v>0.25194805194805192</v>
      </c>
      <c r="I62" s="98">
        <v>0.21850899742930591</v>
      </c>
      <c r="J62" s="98">
        <v>0.17232375979112272</v>
      </c>
      <c r="K62" s="98">
        <v>0.11859838274932614</v>
      </c>
      <c r="L62" s="98">
        <v>7.5471698113207544E-2</v>
      </c>
      <c r="N62" s="29">
        <f t="shared" si="22"/>
        <v>0.22862823061630225</v>
      </c>
      <c r="O62" s="29">
        <f t="shared" si="23"/>
        <v>0.46719681908548705</v>
      </c>
      <c r="P62" s="29">
        <f t="shared" si="24"/>
        <v>0.77534791252485091</v>
      </c>
      <c r="Q62" s="29">
        <f t="shared" si="25"/>
        <v>1</v>
      </c>
      <c r="R62" s="29"/>
      <c r="S62" s="29">
        <f t="shared" si="14"/>
        <v>0.13272202051254864</v>
      </c>
      <c r="T62" s="29">
        <f t="shared" si="15"/>
        <v>0.31603456165379123</v>
      </c>
      <c r="U62" s="29">
        <f t="shared" si="16"/>
        <v>0.52927446022174662</v>
      </c>
      <c r="V62" s="29">
        <f t="shared" si="17"/>
        <v>0.70044738377747529</v>
      </c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87">
        <v>9.42</v>
      </c>
      <c r="AJ62" s="29">
        <v>9.2799999999999994</v>
      </c>
      <c r="AK62" s="87">
        <v>8.9</v>
      </c>
      <c r="AL62">
        <v>8.7799999999999994</v>
      </c>
      <c r="AN62">
        <f t="shared" si="18"/>
        <v>6.8396692907155915E-2</v>
      </c>
      <c r="AO62">
        <f t="shared" si="19"/>
        <v>8.2242177301317138E-2</v>
      </c>
      <c r="AP62">
        <f t="shared" si="20"/>
        <v>0.11982277779975448</v>
      </c>
      <c r="AQ62">
        <f t="shared" si="21"/>
        <v>0.13169033585189271</v>
      </c>
    </row>
    <row r="63" spans="2:43" x14ac:dyDescent="0.2">
      <c r="B63" s="101">
        <v>10.039999999999999</v>
      </c>
      <c r="C63" s="98">
        <v>7.64</v>
      </c>
      <c r="D63" s="98">
        <v>5.34</v>
      </c>
      <c r="E63" s="98">
        <v>2.78</v>
      </c>
      <c r="F63" s="98">
        <v>0</v>
      </c>
      <c r="H63" s="98">
        <v>0.22737819025522041</v>
      </c>
      <c r="I63" s="98">
        <v>0.18863636363636363</v>
      </c>
      <c r="J63" s="98">
        <v>0.15034168564920272</v>
      </c>
      <c r="K63" s="98">
        <v>0.13457076566125289</v>
      </c>
      <c r="L63" s="98">
        <v>9.6018735362997654E-2</v>
      </c>
      <c r="N63" s="29">
        <f t="shared" si="22"/>
        <v>0.23904382470119517</v>
      </c>
      <c r="O63" s="29">
        <f t="shared" si="23"/>
        <v>0.46812749003984061</v>
      </c>
      <c r="P63" s="29">
        <f t="shared" si="24"/>
        <v>0.72310756972111556</v>
      </c>
      <c r="Q63" s="29">
        <f t="shared" si="25"/>
        <v>1</v>
      </c>
      <c r="R63" s="29"/>
      <c r="S63" s="29">
        <f t="shared" si="14"/>
        <v>0.17038497217068646</v>
      </c>
      <c r="T63" s="29">
        <f t="shared" si="15"/>
        <v>0.338803402910139</v>
      </c>
      <c r="U63" s="29">
        <f t="shared" si="16"/>
        <v>0.40816326530612246</v>
      </c>
      <c r="V63" s="29">
        <f t="shared" si="17"/>
        <v>0.57771352100559192</v>
      </c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87">
        <v>9.6999999999999993</v>
      </c>
      <c r="AJ63" s="29">
        <v>9.68</v>
      </c>
      <c r="AK63" s="87">
        <v>9.42</v>
      </c>
      <c r="AL63">
        <v>9.26</v>
      </c>
      <c r="AN63">
        <f t="shared" si="18"/>
        <v>4.0705724118833643E-2</v>
      </c>
      <c r="AO63">
        <f t="shared" si="19"/>
        <v>4.2683650460856627E-2</v>
      </c>
      <c r="AP63">
        <f t="shared" si="20"/>
        <v>6.8396692907155915E-2</v>
      </c>
      <c r="AQ63">
        <f t="shared" si="21"/>
        <v>8.4220103643340108E-2</v>
      </c>
    </row>
    <row r="64" spans="2:43" x14ac:dyDescent="0.2">
      <c r="B64" s="101">
        <v>10.18</v>
      </c>
      <c r="C64" s="98">
        <v>7.72</v>
      </c>
      <c r="D64" s="98">
        <v>5.52</v>
      </c>
      <c r="E64" s="98">
        <v>2.66</v>
      </c>
      <c r="F64" s="98">
        <v>0</v>
      </c>
      <c r="H64" s="98">
        <v>0.22580645161290322</v>
      </c>
      <c r="I64" s="98">
        <v>0.20343137254901961</v>
      </c>
      <c r="J64" s="98">
        <v>0.1570048309178744</v>
      </c>
      <c r="K64" s="98">
        <v>0.13285024154589373</v>
      </c>
      <c r="L64" s="98">
        <v>9.3525179856115109E-2</v>
      </c>
      <c r="N64" s="29">
        <f t="shared" si="22"/>
        <v>0.24165029469548133</v>
      </c>
      <c r="O64" s="29">
        <f t="shared" si="23"/>
        <v>0.45776031434184677</v>
      </c>
      <c r="P64" s="29">
        <f t="shared" si="24"/>
        <v>0.73870333988212178</v>
      </c>
      <c r="Q64" s="29">
        <f t="shared" si="25"/>
        <v>1</v>
      </c>
      <c r="R64" s="29"/>
      <c r="S64" s="29">
        <f t="shared" si="14"/>
        <v>9.9089635854341718E-2</v>
      </c>
      <c r="T64" s="29">
        <f t="shared" si="15"/>
        <v>0.30469289164941338</v>
      </c>
      <c r="U64" s="29">
        <f t="shared" si="16"/>
        <v>0.41166321601104205</v>
      </c>
      <c r="V64" s="29">
        <f t="shared" si="17"/>
        <v>0.58581706063720451</v>
      </c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87">
        <v>9.64</v>
      </c>
      <c r="AJ64" s="29">
        <v>9.36</v>
      </c>
      <c r="AK64" s="87">
        <v>8.94</v>
      </c>
      <c r="AL64">
        <v>8.8800000000000008</v>
      </c>
      <c r="AN64">
        <f t="shared" si="18"/>
        <v>4.6639503144902589E-2</v>
      </c>
      <c r="AO64">
        <f t="shared" si="19"/>
        <v>7.4330471933225034E-2</v>
      </c>
      <c r="AP64">
        <f t="shared" si="20"/>
        <v>0.11586692511570852</v>
      </c>
      <c r="AQ64">
        <f t="shared" si="21"/>
        <v>0.12180070414177746</v>
      </c>
    </row>
    <row r="65" spans="2:43" x14ac:dyDescent="0.2">
      <c r="B65" s="101">
        <v>10.26</v>
      </c>
      <c r="C65" s="98">
        <v>7.8</v>
      </c>
      <c r="D65" s="98">
        <v>5.14</v>
      </c>
      <c r="E65" s="98">
        <v>2.54</v>
      </c>
      <c r="F65" s="98">
        <v>0</v>
      </c>
      <c r="H65" s="98">
        <v>0.21204188481675393</v>
      </c>
      <c r="I65" s="98">
        <v>0.19109947643979058</v>
      </c>
      <c r="J65" s="98">
        <v>0.16666666666666666</v>
      </c>
      <c r="K65" s="98">
        <v>0.12332439678284182</v>
      </c>
      <c r="L65" s="98">
        <v>9.8930481283422467E-2</v>
      </c>
      <c r="N65" s="29">
        <f t="shared" si="22"/>
        <v>0.23976608187134504</v>
      </c>
      <c r="O65" s="29">
        <f t="shared" si="23"/>
        <v>0.49902534113060432</v>
      </c>
      <c r="P65" s="29">
        <f t="shared" si="24"/>
        <v>0.75243664717348924</v>
      </c>
      <c r="Q65" s="29">
        <f t="shared" si="25"/>
        <v>1</v>
      </c>
      <c r="R65" s="29"/>
      <c r="S65" s="29">
        <f t="shared" si="14"/>
        <v>9.8765432098765399E-2</v>
      </c>
      <c r="T65" s="29">
        <f t="shared" si="15"/>
        <v>0.21399176954732516</v>
      </c>
      <c r="U65" s="29">
        <f t="shared" si="16"/>
        <v>0.4183960546784497</v>
      </c>
      <c r="V65" s="29">
        <f t="shared" si="17"/>
        <v>0.53343896481151376</v>
      </c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87">
        <v>9.5</v>
      </c>
      <c r="AJ65" s="29">
        <v>9.44</v>
      </c>
      <c r="AK65" s="87">
        <v>9.26</v>
      </c>
      <c r="AL65">
        <v>9.2200000000000006</v>
      </c>
      <c r="AN65">
        <f t="shared" si="18"/>
        <v>6.0484987539063811E-2</v>
      </c>
      <c r="AO65">
        <f t="shared" si="19"/>
        <v>6.6418766565132931E-2</v>
      </c>
      <c r="AP65">
        <f t="shared" si="20"/>
        <v>8.4220103643340108E-2</v>
      </c>
      <c r="AQ65">
        <f t="shared" si="21"/>
        <v>8.8175956327386076E-2</v>
      </c>
    </row>
    <row r="66" spans="2:43" x14ac:dyDescent="0.2">
      <c r="B66" s="101">
        <v>10.3</v>
      </c>
      <c r="C66" s="98">
        <v>7.52</v>
      </c>
      <c r="D66" s="98">
        <v>4.68</v>
      </c>
      <c r="E66" s="98">
        <v>2.1800000000000002</v>
      </c>
      <c r="F66" s="98">
        <v>0</v>
      </c>
      <c r="H66" s="98">
        <v>0.23728813559322035</v>
      </c>
      <c r="I66" s="98">
        <v>0.18559556786703602</v>
      </c>
      <c r="J66" s="98">
        <v>0.14363143631436315</v>
      </c>
      <c r="K66" s="98">
        <v>0.11051212938005391</v>
      </c>
      <c r="L66" s="98">
        <v>9.1152815013404831E-2</v>
      </c>
      <c r="N66" s="29">
        <f t="shared" si="22"/>
        <v>0.26990291262135929</v>
      </c>
      <c r="O66" s="29">
        <f t="shared" si="23"/>
        <v>0.54563106796116512</v>
      </c>
      <c r="P66" s="29">
        <f t="shared" si="24"/>
        <v>0.78834951456310687</v>
      </c>
      <c r="Q66" s="29">
        <f t="shared" si="25"/>
        <v>1</v>
      </c>
      <c r="R66" s="29"/>
      <c r="S66" s="29">
        <f t="shared" si="14"/>
        <v>0.21784724970320538</v>
      </c>
      <c r="T66" s="29">
        <f t="shared" si="15"/>
        <v>0.39469608981804105</v>
      </c>
      <c r="U66" s="29">
        <f t="shared" si="16"/>
        <v>0.53427031189834417</v>
      </c>
      <c r="V66" s="29">
        <f t="shared" si="17"/>
        <v>0.61585599387207968</v>
      </c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87">
        <v>9.76</v>
      </c>
      <c r="AJ66" s="29">
        <v>9.52</v>
      </c>
      <c r="AK66" s="87">
        <v>9.3000000000000007</v>
      </c>
      <c r="AL66">
        <v>9.18</v>
      </c>
      <c r="AN66">
        <f t="shared" si="18"/>
        <v>3.4771945092764524E-2</v>
      </c>
      <c r="AO66">
        <f t="shared" si="19"/>
        <v>5.8507061197040827E-2</v>
      </c>
      <c r="AP66">
        <f t="shared" si="20"/>
        <v>8.0264250959293973E-2</v>
      </c>
      <c r="AQ66">
        <f t="shared" si="21"/>
        <v>9.2131809011432211E-2</v>
      </c>
    </row>
    <row r="67" spans="2:43" x14ac:dyDescent="0.2">
      <c r="B67" s="101">
        <v>10.56</v>
      </c>
      <c r="C67" s="98">
        <v>7.8</v>
      </c>
      <c r="D67" s="98">
        <v>5.14</v>
      </c>
      <c r="E67" s="98">
        <v>2.7</v>
      </c>
      <c r="F67" s="98">
        <v>0</v>
      </c>
      <c r="H67" s="98">
        <v>0.2125984251968504</v>
      </c>
      <c r="I67" s="98">
        <v>0.18489583333333334</v>
      </c>
      <c r="J67" s="98">
        <v>0.15641025641025641</v>
      </c>
      <c r="K67" s="98">
        <v>0.11779448621553884</v>
      </c>
      <c r="L67" s="98">
        <v>8.8161209068010074E-2</v>
      </c>
      <c r="N67" s="29">
        <f t="shared" si="22"/>
        <v>0.26136363636363641</v>
      </c>
      <c r="O67" s="29">
        <f t="shared" si="23"/>
        <v>0.5132575757575758</v>
      </c>
      <c r="P67" s="29">
        <f t="shared" si="24"/>
        <v>0.74431818181818177</v>
      </c>
      <c r="Q67" s="29">
        <f t="shared" si="25"/>
        <v>1</v>
      </c>
      <c r="R67" s="29"/>
      <c r="S67" s="29">
        <f t="shared" si="14"/>
        <v>0.13030478395061729</v>
      </c>
      <c r="T67" s="29">
        <f t="shared" si="15"/>
        <v>0.26429249762583101</v>
      </c>
      <c r="U67" s="29">
        <f t="shared" si="16"/>
        <v>0.44592963891209514</v>
      </c>
      <c r="V67" s="29">
        <f t="shared" si="17"/>
        <v>0.58531579438380443</v>
      </c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87">
        <v>9.9600000000000009</v>
      </c>
      <c r="AJ67" s="29">
        <v>9.7200000000000006</v>
      </c>
      <c r="AK67" s="87">
        <v>9.18</v>
      </c>
      <c r="AL67">
        <v>9.1</v>
      </c>
      <c r="AN67">
        <f t="shared" si="18"/>
        <v>1.4992681672534185E-2</v>
      </c>
      <c r="AO67">
        <f t="shared" si="19"/>
        <v>3.8727797776810485E-2</v>
      </c>
      <c r="AP67">
        <f t="shared" si="20"/>
        <v>9.2131809011432211E-2</v>
      </c>
      <c r="AQ67">
        <f t="shared" si="21"/>
        <v>0.10004351437952431</v>
      </c>
    </row>
    <row r="68" spans="2:43" x14ac:dyDescent="0.2">
      <c r="B68" s="101">
        <v>9.9</v>
      </c>
      <c r="C68" s="98">
        <v>7.26</v>
      </c>
      <c r="D68" s="98">
        <v>4.82</v>
      </c>
      <c r="E68" s="98">
        <v>2.48</v>
      </c>
      <c r="F68" s="98">
        <v>0</v>
      </c>
      <c r="H68" s="98">
        <v>0.21188630490956073</v>
      </c>
      <c r="I68" s="98">
        <v>0.17948717948717949</v>
      </c>
      <c r="J68" s="98">
        <v>0.14511873350923482</v>
      </c>
      <c r="K68" s="98">
        <v>0.11023622047244094</v>
      </c>
      <c r="L68" s="98">
        <v>9.350649350649351E-2</v>
      </c>
      <c r="N68" s="29">
        <f t="shared" si="22"/>
        <v>0.26666666666666672</v>
      </c>
      <c r="O68" s="29">
        <f t="shared" si="23"/>
        <v>0.5131313131313131</v>
      </c>
      <c r="P68" s="29">
        <f t="shared" si="24"/>
        <v>0.74949494949494944</v>
      </c>
      <c r="Q68" s="29">
        <f t="shared" si="25"/>
        <v>1</v>
      </c>
      <c r="R68" s="29"/>
      <c r="S68" s="29">
        <f t="shared" si="14"/>
        <v>0.15290806754221389</v>
      </c>
      <c r="T68" s="29">
        <f t="shared" si="15"/>
        <v>0.31511036746251375</v>
      </c>
      <c r="U68" s="29">
        <f t="shared" si="16"/>
        <v>0.4797388131361629</v>
      </c>
      <c r="V68" s="29">
        <f t="shared" si="17"/>
        <v>0.5586949635730124</v>
      </c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87">
        <v>9.36</v>
      </c>
      <c r="AJ68" s="29">
        <v>9.14</v>
      </c>
      <c r="AK68" s="87">
        <v>8.8000000000000007</v>
      </c>
      <c r="AL68">
        <v>8.64</v>
      </c>
      <c r="AN68">
        <f t="shared" si="18"/>
        <v>7.4330471933225034E-2</v>
      </c>
      <c r="AO68">
        <f t="shared" si="19"/>
        <v>9.608766169547818E-2</v>
      </c>
      <c r="AP68">
        <f t="shared" si="20"/>
        <v>0.12971240950986956</v>
      </c>
      <c r="AQ68">
        <f t="shared" si="21"/>
        <v>0.14553582024605377</v>
      </c>
    </row>
    <row r="69" spans="2:43" x14ac:dyDescent="0.2">
      <c r="B69" s="101">
        <v>10.46</v>
      </c>
      <c r="C69" s="98">
        <v>7.86</v>
      </c>
      <c r="D69" s="98">
        <v>5.08</v>
      </c>
      <c r="E69" s="98">
        <v>2.66</v>
      </c>
      <c r="F69" s="98">
        <v>0</v>
      </c>
      <c r="H69" s="98">
        <v>0.24932975871313673</v>
      </c>
      <c r="I69" s="98">
        <v>0.21917808219178081</v>
      </c>
      <c r="J69" s="98">
        <v>0.1790633608815427</v>
      </c>
      <c r="K69" s="98">
        <v>0.1487603305785124</v>
      </c>
      <c r="L69" s="98">
        <v>0.10133333333333333</v>
      </c>
      <c r="N69" s="29">
        <f t="shared" si="22"/>
        <v>0.24856596558317404</v>
      </c>
      <c r="O69" s="29">
        <f t="shared" si="23"/>
        <v>0.51434034416826002</v>
      </c>
      <c r="P69" s="29">
        <f t="shared" si="24"/>
        <v>0.74569789674952203</v>
      </c>
      <c r="Q69" s="29">
        <f t="shared" si="25"/>
        <v>1</v>
      </c>
      <c r="R69" s="29"/>
      <c r="S69" s="29">
        <f t="shared" si="14"/>
        <v>0.12093091766092212</v>
      </c>
      <c r="T69" s="29">
        <f t="shared" si="15"/>
        <v>0.28182114399123193</v>
      </c>
      <c r="U69" s="29">
        <f t="shared" si="16"/>
        <v>0.40335910423886961</v>
      </c>
      <c r="V69" s="29">
        <f t="shared" si="17"/>
        <v>0.59357706093189966</v>
      </c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87">
        <v>10.02</v>
      </c>
      <c r="AJ69" s="29">
        <v>9.8000000000000007</v>
      </c>
      <c r="AK69" s="87">
        <v>9.5</v>
      </c>
      <c r="AL69">
        <v>9.34</v>
      </c>
      <c r="AN69">
        <f t="shared" si="18"/>
        <v>9.0589026464652413E-3</v>
      </c>
      <c r="AO69">
        <f t="shared" si="19"/>
        <v>3.0816092408718389E-2</v>
      </c>
      <c r="AP69">
        <f t="shared" si="20"/>
        <v>6.0484987539063811E-2</v>
      </c>
      <c r="AQ69">
        <f t="shared" si="21"/>
        <v>7.6308398275248018E-2</v>
      </c>
    </row>
    <row r="70" spans="2:43" x14ac:dyDescent="0.2">
      <c r="B70" s="101">
        <v>10.06</v>
      </c>
      <c r="C70" s="98">
        <v>7.74</v>
      </c>
      <c r="D70" s="98">
        <v>5.34</v>
      </c>
      <c r="E70" s="98">
        <v>2.6</v>
      </c>
      <c r="F70" s="98">
        <v>0</v>
      </c>
      <c r="H70" s="98">
        <v>0.23308270676691728</v>
      </c>
      <c r="I70" s="98">
        <v>0.21052631578947367</v>
      </c>
      <c r="J70" s="98">
        <v>0.16500000000000001</v>
      </c>
      <c r="K70" s="98">
        <v>0.13</v>
      </c>
      <c r="L70" s="98">
        <v>0.10353535353535354</v>
      </c>
      <c r="N70" s="29">
        <f t="shared" si="22"/>
        <v>0.23061630218687876</v>
      </c>
      <c r="O70" s="29">
        <f t="shared" si="23"/>
        <v>0.46918489065606367</v>
      </c>
      <c r="P70" s="29">
        <f t="shared" si="24"/>
        <v>0.74155069582504973</v>
      </c>
      <c r="Q70" s="29">
        <f t="shared" si="25"/>
        <v>1</v>
      </c>
      <c r="R70" s="29"/>
      <c r="S70" s="29">
        <f t="shared" si="14"/>
        <v>9.6774193548387094E-2</v>
      </c>
      <c r="T70" s="29">
        <f t="shared" si="15"/>
        <v>0.29209677419354829</v>
      </c>
      <c r="U70" s="29">
        <f t="shared" si="16"/>
        <v>0.44225806451612898</v>
      </c>
      <c r="V70" s="29">
        <f t="shared" si="17"/>
        <v>0.55579993483219292</v>
      </c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87">
        <v>9.42</v>
      </c>
      <c r="AJ70" s="29">
        <v>9.2200000000000006</v>
      </c>
      <c r="AK70" s="87">
        <v>9.08</v>
      </c>
      <c r="AL70">
        <v>8.92</v>
      </c>
      <c r="AN70">
        <f t="shared" si="18"/>
        <v>6.8396692907155915E-2</v>
      </c>
      <c r="AO70">
        <f t="shared" si="19"/>
        <v>8.8175956327386076E-2</v>
      </c>
      <c r="AP70">
        <f t="shared" si="20"/>
        <v>0.1020214407215473</v>
      </c>
      <c r="AQ70">
        <f t="shared" si="21"/>
        <v>0.11784485145773151</v>
      </c>
    </row>
    <row r="71" spans="2:43" x14ac:dyDescent="0.2">
      <c r="B71" s="101">
        <v>9.7200000000000006</v>
      </c>
      <c r="C71" s="98">
        <v>7.46</v>
      </c>
      <c r="D71" s="98">
        <v>4.9800000000000004</v>
      </c>
      <c r="E71" s="98">
        <v>2.66</v>
      </c>
      <c r="F71" s="98">
        <v>0</v>
      </c>
      <c r="H71" s="98">
        <v>0.22395833333333334</v>
      </c>
      <c r="I71" s="98">
        <v>0.19633507853403143</v>
      </c>
      <c r="J71" s="98">
        <v>0.15267175572519084</v>
      </c>
      <c r="K71" s="98">
        <v>9.7938144329896906E-2</v>
      </c>
      <c r="L71" s="98">
        <v>7.2351421188630485E-2</v>
      </c>
      <c r="N71" s="29">
        <f t="shared" si="22"/>
        <v>0.23251028806584367</v>
      </c>
      <c r="O71" s="29">
        <f t="shared" si="23"/>
        <v>0.48765432098765432</v>
      </c>
      <c r="P71" s="29">
        <f t="shared" si="24"/>
        <v>0.72633744855967075</v>
      </c>
      <c r="Q71" s="29">
        <f t="shared" si="25"/>
        <v>1</v>
      </c>
      <c r="R71" s="29"/>
      <c r="S71" s="29">
        <f t="shared" si="14"/>
        <v>0.12334104468525506</v>
      </c>
      <c r="T71" s="29">
        <f t="shared" si="15"/>
        <v>0.31830285815728743</v>
      </c>
      <c r="U71" s="29">
        <f t="shared" si="16"/>
        <v>0.56269479741069284</v>
      </c>
      <c r="V71" s="29">
        <f t="shared" si="17"/>
        <v>0.67694249143681262</v>
      </c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87">
        <v>9.3000000000000007</v>
      </c>
      <c r="AJ71" s="29">
        <v>9.18</v>
      </c>
      <c r="AK71" s="87">
        <v>8.92</v>
      </c>
      <c r="AL71">
        <v>8.8800000000000008</v>
      </c>
      <c r="AN71">
        <f t="shared" si="18"/>
        <v>8.0264250959293973E-2</v>
      </c>
      <c r="AO71">
        <f t="shared" si="19"/>
        <v>9.2131809011432211E-2</v>
      </c>
      <c r="AP71">
        <f t="shared" si="20"/>
        <v>0.11784485145773151</v>
      </c>
      <c r="AQ71">
        <f t="shared" si="21"/>
        <v>0.12180070414177746</v>
      </c>
    </row>
    <row r="72" spans="2:43" x14ac:dyDescent="0.2">
      <c r="B72" s="101">
        <v>9.82</v>
      </c>
      <c r="C72" s="98">
        <v>7.62</v>
      </c>
      <c r="D72" s="98">
        <v>5.04</v>
      </c>
      <c r="E72" s="98">
        <v>2.48</v>
      </c>
      <c r="F72" s="98">
        <v>0</v>
      </c>
      <c r="H72" s="98">
        <v>0.18546365914786966</v>
      </c>
      <c r="I72" s="98">
        <v>0.15346534653465346</v>
      </c>
      <c r="J72" s="98">
        <v>0.1206896551724138</v>
      </c>
      <c r="K72" s="98">
        <v>7.9012345679012344E-2</v>
      </c>
      <c r="L72" s="98">
        <v>5.6097560975609757E-2</v>
      </c>
      <c r="N72" s="29">
        <f t="shared" si="22"/>
        <v>0.22403258655804481</v>
      </c>
      <c r="O72" s="29">
        <f t="shared" si="23"/>
        <v>0.48676171079429736</v>
      </c>
      <c r="P72" s="29">
        <f t="shared" si="24"/>
        <v>0.74745417515274948</v>
      </c>
      <c r="Q72" s="29">
        <f t="shared" si="25"/>
        <v>1</v>
      </c>
      <c r="R72" s="29"/>
      <c r="S72" s="29">
        <f t="shared" si="14"/>
        <v>0.17253144233342249</v>
      </c>
      <c r="T72" s="29">
        <f t="shared" si="15"/>
        <v>0.34925442684063368</v>
      </c>
      <c r="U72" s="29">
        <f t="shared" si="16"/>
        <v>0.57397397397397398</v>
      </c>
      <c r="V72" s="29">
        <f t="shared" si="17"/>
        <v>0.69752801582069879</v>
      </c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87">
        <v>9.48</v>
      </c>
      <c r="AJ72" s="29">
        <v>9.36</v>
      </c>
      <c r="AK72" s="87">
        <v>9.0399999999999991</v>
      </c>
      <c r="AL72">
        <v>8.84</v>
      </c>
      <c r="AN72">
        <f t="shared" si="18"/>
        <v>6.2462913881086796E-2</v>
      </c>
      <c r="AO72">
        <f t="shared" si="19"/>
        <v>7.4330471933225034E-2</v>
      </c>
      <c r="AP72">
        <f t="shared" si="20"/>
        <v>0.10597729340559343</v>
      </c>
      <c r="AQ72">
        <f t="shared" si="21"/>
        <v>0.1257565568258236</v>
      </c>
    </row>
    <row r="73" spans="2:43" x14ac:dyDescent="0.2">
      <c r="B73" s="101">
        <v>9.8800000000000008</v>
      </c>
      <c r="C73" s="98">
        <v>7.48</v>
      </c>
      <c r="D73" s="98">
        <v>5.0599999999999996</v>
      </c>
      <c r="E73" s="98">
        <v>2.36</v>
      </c>
      <c r="F73" s="98">
        <v>0</v>
      </c>
      <c r="H73" s="98">
        <v>0.17866666666666667</v>
      </c>
      <c r="I73" s="98">
        <v>0.16032608695652173</v>
      </c>
      <c r="J73" s="98">
        <v>0.14324324324324325</v>
      </c>
      <c r="K73" s="98">
        <v>0.11956521739130435</v>
      </c>
      <c r="L73" s="98">
        <v>8.2644628099173556E-2</v>
      </c>
      <c r="N73" s="29">
        <f t="shared" ref="N73:N108" si="26">($B73-C73)/$B73</f>
        <v>0.24291497975708504</v>
      </c>
      <c r="O73" s="29">
        <f t="shared" ref="O73:O108" si="27">($B73-D73)/$B73</f>
        <v>0.48785425101214586</v>
      </c>
      <c r="P73" s="29">
        <f t="shared" ref="P73:P108" si="28">($B73-E73)/$B73</f>
        <v>0.76113360323886647</v>
      </c>
      <c r="Q73" s="29">
        <f t="shared" ref="Q73:Q108" si="29">($B73-F73)/$B73</f>
        <v>1</v>
      </c>
      <c r="R73" s="29"/>
      <c r="S73" s="29">
        <f t="shared" si="14"/>
        <v>0.1026524983776769</v>
      </c>
      <c r="T73" s="29">
        <f t="shared" si="15"/>
        <v>0.19826542960871316</v>
      </c>
      <c r="U73" s="29">
        <f t="shared" si="16"/>
        <v>0.33079169370538608</v>
      </c>
      <c r="V73" s="29">
        <f t="shared" si="17"/>
        <v>0.5374367830270137</v>
      </c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87">
        <v>9.48</v>
      </c>
      <c r="AJ73" s="29">
        <v>9.2200000000000006</v>
      </c>
      <c r="AK73" s="87">
        <v>8.8800000000000008</v>
      </c>
      <c r="AL73">
        <v>8.7200000000000006</v>
      </c>
      <c r="AN73">
        <f t="shared" si="18"/>
        <v>6.2462913881086796E-2</v>
      </c>
      <c r="AO73">
        <f t="shared" si="19"/>
        <v>8.8175956327386076E-2</v>
      </c>
      <c r="AP73">
        <f t="shared" si="20"/>
        <v>0.12180070414177746</v>
      </c>
      <c r="AQ73">
        <f t="shared" si="21"/>
        <v>0.13762411487796167</v>
      </c>
    </row>
    <row r="74" spans="2:43" x14ac:dyDescent="0.2">
      <c r="B74" s="101">
        <v>10.16</v>
      </c>
      <c r="C74" s="98">
        <v>7.46</v>
      </c>
      <c r="D74" s="98">
        <v>4.7</v>
      </c>
      <c r="E74" s="98">
        <v>2.5</v>
      </c>
      <c r="F74" s="98">
        <v>0</v>
      </c>
      <c r="H74" s="98">
        <v>0.2481012658227848</v>
      </c>
      <c r="I74" s="98">
        <v>0.21105527638190955</v>
      </c>
      <c r="J74" s="98">
        <v>0.16624040920716113</v>
      </c>
      <c r="K74" s="98">
        <v>0.13810741687979539</v>
      </c>
      <c r="L74" s="98">
        <v>0.11311053984575835</v>
      </c>
      <c r="N74" s="29">
        <f t="shared" si="26"/>
        <v>0.26574803149606302</v>
      </c>
      <c r="O74" s="29">
        <f t="shared" si="27"/>
        <v>0.53740157480314954</v>
      </c>
      <c r="P74" s="29">
        <f t="shared" si="28"/>
        <v>0.75393700787401574</v>
      </c>
      <c r="Q74" s="29">
        <f t="shared" si="29"/>
        <v>1</v>
      </c>
      <c r="R74" s="29"/>
      <c r="S74" s="29">
        <f t="shared" ref="S74:S108" si="30">($H74-I74)/$H74</f>
        <v>0.14931801866475231</v>
      </c>
      <c r="T74" s="29">
        <f t="shared" ref="T74:T108" si="31">($H74-J74)/$H74</f>
        <v>0.32994937105276889</v>
      </c>
      <c r="U74" s="29">
        <f t="shared" ref="U74:U108" si="32">($H74-K74)/$H74</f>
        <v>0.44334255441306958</v>
      </c>
      <c r="V74" s="29">
        <f t="shared" ref="V74:V108" si="33">($H74-L74)/$H74</f>
        <v>0.54409527307066785</v>
      </c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87">
        <v>9.58</v>
      </c>
      <c r="AJ74" s="29">
        <v>9.5</v>
      </c>
      <c r="AK74" s="87">
        <v>9.0399999999999991</v>
      </c>
      <c r="AL74">
        <v>8.74</v>
      </c>
      <c r="AN74">
        <f t="shared" ref="AN74:AN108" si="34">($B$4-AI74)/$B$4</f>
        <v>5.2573282170971708E-2</v>
      </c>
      <c r="AO74">
        <f t="shared" ref="AO74:AO108" si="35">($B$4-AJ74)/$B$4</f>
        <v>6.0484987539063811E-2</v>
      </c>
      <c r="AP74">
        <f t="shared" ref="AP74:AP108" si="36">($B$4-AK74)/$B$4</f>
        <v>0.10597729340559343</v>
      </c>
      <c r="AQ74">
        <f t="shared" ref="AQ74:AQ108" si="37">($B$4-AL74)/$B$4</f>
        <v>0.13564618853593868</v>
      </c>
    </row>
    <row r="75" spans="2:43" x14ac:dyDescent="0.2">
      <c r="B75" s="101">
        <v>9.98</v>
      </c>
      <c r="C75" s="98">
        <v>7.7</v>
      </c>
      <c r="D75" s="98">
        <v>5.22</v>
      </c>
      <c r="E75" s="98">
        <v>2.2000000000000002</v>
      </c>
      <c r="F75" s="98">
        <v>0</v>
      </c>
      <c r="H75" s="98">
        <v>0.23514211886304909</v>
      </c>
      <c r="I75" s="98">
        <v>0.2010178117048346</v>
      </c>
      <c r="J75" s="98">
        <v>0.15324675324675324</v>
      </c>
      <c r="K75" s="98">
        <v>0.11609498680738786</v>
      </c>
      <c r="L75" s="98">
        <v>7.3878627968337732E-2</v>
      </c>
      <c r="N75" s="29">
        <f t="shared" si="26"/>
        <v>0.22845691382765532</v>
      </c>
      <c r="O75" s="29">
        <f t="shared" si="27"/>
        <v>0.4769539078156313</v>
      </c>
      <c r="P75" s="29">
        <f t="shared" si="28"/>
        <v>0.77955911823647295</v>
      </c>
      <c r="Q75" s="29">
        <f t="shared" si="29"/>
        <v>1</v>
      </c>
      <c r="R75" s="29"/>
      <c r="S75" s="29">
        <f t="shared" si="30"/>
        <v>0.14512205351900009</v>
      </c>
      <c r="T75" s="29">
        <f t="shared" si="31"/>
        <v>0.34828029113743397</v>
      </c>
      <c r="U75" s="29">
        <f t="shared" si="32"/>
        <v>0.50627736379715271</v>
      </c>
      <c r="V75" s="29">
        <f t="shared" si="33"/>
        <v>0.68581286787091544</v>
      </c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87">
        <v>9.32</v>
      </c>
      <c r="AJ75" s="29">
        <v>9.24</v>
      </c>
      <c r="AK75" s="87">
        <v>8.8000000000000007</v>
      </c>
      <c r="AL75">
        <v>8.66</v>
      </c>
      <c r="AN75">
        <f t="shared" si="34"/>
        <v>7.8286324617270989E-2</v>
      </c>
      <c r="AO75">
        <f t="shared" si="35"/>
        <v>8.6198029985363092E-2</v>
      </c>
      <c r="AP75">
        <f t="shared" si="36"/>
        <v>0.12971240950986956</v>
      </c>
      <c r="AQ75">
        <f t="shared" si="37"/>
        <v>0.14355789390403079</v>
      </c>
    </row>
    <row r="76" spans="2:43" x14ac:dyDescent="0.2">
      <c r="B76" s="101">
        <v>9.9600000000000009</v>
      </c>
      <c r="C76" s="98">
        <v>7.54</v>
      </c>
      <c r="D76" s="98">
        <v>5.48</v>
      </c>
      <c r="E76" s="98">
        <v>2.74</v>
      </c>
      <c r="F76" s="98">
        <v>0</v>
      </c>
      <c r="H76" s="98">
        <v>0.23462414578587698</v>
      </c>
      <c r="I76" s="98">
        <v>0.19506726457399104</v>
      </c>
      <c r="J76" s="98">
        <v>0.15883668903803133</v>
      </c>
      <c r="K76" s="98">
        <v>0.13163972286374134</v>
      </c>
      <c r="L76" s="98">
        <v>9.3457943925233641E-2</v>
      </c>
      <c r="N76" s="29">
        <f t="shared" si="26"/>
        <v>0.24297188755020085</v>
      </c>
      <c r="O76" s="29">
        <f t="shared" si="27"/>
        <v>0.44979919678714858</v>
      </c>
      <c r="P76" s="29">
        <f t="shared" si="28"/>
        <v>0.72489959839357432</v>
      </c>
      <c r="Q76" s="29">
        <f t="shared" si="29"/>
        <v>1</v>
      </c>
      <c r="R76" s="29"/>
      <c r="S76" s="29">
        <f t="shared" si="30"/>
        <v>0.16859680438852359</v>
      </c>
      <c r="T76" s="29">
        <f t="shared" si="31"/>
        <v>0.32301644186703149</v>
      </c>
      <c r="U76" s="29">
        <f t="shared" si="32"/>
        <v>0.4389336083768694</v>
      </c>
      <c r="V76" s="29">
        <f t="shared" si="33"/>
        <v>0.60166953996914974</v>
      </c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87">
        <v>9.5</v>
      </c>
      <c r="AJ76" s="29">
        <v>9.42</v>
      </c>
      <c r="AK76" s="87">
        <v>9.18</v>
      </c>
      <c r="AL76">
        <v>9.0399999999999991</v>
      </c>
      <c r="AN76">
        <f t="shared" si="34"/>
        <v>6.0484987539063811E-2</v>
      </c>
      <c r="AO76">
        <f t="shared" si="35"/>
        <v>6.8396692907155915E-2</v>
      </c>
      <c r="AP76">
        <f t="shared" si="36"/>
        <v>9.2131809011432211E-2</v>
      </c>
      <c r="AQ76">
        <f t="shared" si="37"/>
        <v>0.10597729340559343</v>
      </c>
    </row>
    <row r="77" spans="2:43" x14ac:dyDescent="0.2">
      <c r="B77" s="101">
        <v>10.16</v>
      </c>
      <c r="C77" s="98">
        <v>7.76</v>
      </c>
      <c r="D77" s="98">
        <v>5.36</v>
      </c>
      <c r="E77" s="98">
        <v>2.66</v>
      </c>
      <c r="F77" s="98">
        <v>0</v>
      </c>
      <c r="H77" s="98">
        <v>0.22588832487309646</v>
      </c>
      <c r="I77" s="98">
        <v>0.20493827160493827</v>
      </c>
      <c r="J77" s="98">
        <v>0.15328467153284672</v>
      </c>
      <c r="K77" s="98">
        <v>0.1280193236714976</v>
      </c>
      <c r="L77" s="98">
        <v>9.285714285714286E-2</v>
      </c>
      <c r="N77" s="29">
        <f t="shared" si="26"/>
        <v>0.23622047244094491</v>
      </c>
      <c r="O77" s="29">
        <f t="shared" si="27"/>
        <v>0.47244094488188976</v>
      </c>
      <c r="P77" s="29">
        <f t="shared" si="28"/>
        <v>0.73818897637795278</v>
      </c>
      <c r="Q77" s="29">
        <f t="shared" si="29"/>
        <v>1</v>
      </c>
      <c r="R77" s="29"/>
      <c r="S77" s="29">
        <f t="shared" si="30"/>
        <v>9.274517963656545E-2</v>
      </c>
      <c r="T77" s="29">
        <f t="shared" si="31"/>
        <v>0.32141392602312802</v>
      </c>
      <c r="U77" s="29">
        <f t="shared" si="32"/>
        <v>0.43326276936438146</v>
      </c>
      <c r="V77" s="29">
        <f t="shared" si="33"/>
        <v>0.58892455858747994</v>
      </c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87">
        <v>9.7200000000000006</v>
      </c>
      <c r="AJ77" s="29">
        <v>9.48</v>
      </c>
      <c r="AK77" s="87">
        <v>9.08</v>
      </c>
      <c r="AL77">
        <v>9.02</v>
      </c>
      <c r="AN77">
        <f t="shared" si="34"/>
        <v>3.8727797776810485E-2</v>
      </c>
      <c r="AO77">
        <f t="shared" si="35"/>
        <v>6.2462913881086796E-2</v>
      </c>
      <c r="AP77">
        <f t="shared" si="36"/>
        <v>0.1020214407215473</v>
      </c>
      <c r="AQ77">
        <f t="shared" si="37"/>
        <v>0.10795521974761642</v>
      </c>
    </row>
    <row r="78" spans="2:43" x14ac:dyDescent="0.2">
      <c r="B78" s="101">
        <v>10.28</v>
      </c>
      <c r="C78" s="98">
        <v>7.7</v>
      </c>
      <c r="D78" s="98">
        <v>5.16</v>
      </c>
      <c r="E78" s="98">
        <v>2.52</v>
      </c>
      <c r="F78" s="98">
        <v>0</v>
      </c>
      <c r="H78" s="98">
        <v>0.22222222222222221</v>
      </c>
      <c r="I78" s="98">
        <v>0.20370370370370369</v>
      </c>
      <c r="J78" s="98">
        <v>0.18230563002680966</v>
      </c>
      <c r="K78" s="98">
        <v>0.14130434782608695</v>
      </c>
      <c r="L78" s="98">
        <v>0.10869565217391304</v>
      </c>
      <c r="N78" s="29">
        <f t="shared" si="26"/>
        <v>0.25097276264591434</v>
      </c>
      <c r="O78" s="29">
        <f t="shared" si="27"/>
        <v>0.49805447470817116</v>
      </c>
      <c r="P78" s="29">
        <f t="shared" si="28"/>
        <v>0.75486381322957197</v>
      </c>
      <c r="Q78" s="29">
        <f t="shared" si="29"/>
        <v>1</v>
      </c>
      <c r="R78" s="29"/>
      <c r="S78" s="29">
        <f t="shared" si="30"/>
        <v>8.3333333333333329E-2</v>
      </c>
      <c r="T78" s="29">
        <f t="shared" si="31"/>
        <v>0.17962466487935647</v>
      </c>
      <c r="U78" s="29">
        <f t="shared" si="32"/>
        <v>0.3641304347826087</v>
      </c>
      <c r="V78" s="29">
        <f t="shared" si="33"/>
        <v>0.51086956521739124</v>
      </c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87">
        <v>9.48</v>
      </c>
      <c r="AJ78" s="29">
        <v>9.4</v>
      </c>
      <c r="AK78" s="87">
        <v>9.1999999999999993</v>
      </c>
      <c r="AL78">
        <v>9.14</v>
      </c>
      <c r="AN78">
        <f t="shared" si="34"/>
        <v>6.2462913881086796E-2</v>
      </c>
      <c r="AO78">
        <f t="shared" si="35"/>
        <v>7.0374619249178899E-2</v>
      </c>
      <c r="AP78">
        <f t="shared" si="36"/>
        <v>9.0153882669409241E-2</v>
      </c>
      <c r="AQ78">
        <f t="shared" si="37"/>
        <v>9.608766169547818E-2</v>
      </c>
    </row>
    <row r="79" spans="2:43" x14ac:dyDescent="0.2">
      <c r="B79" s="101">
        <v>10.119999999999999</v>
      </c>
      <c r="C79" s="98">
        <v>7.48</v>
      </c>
      <c r="D79" s="98">
        <v>4.7</v>
      </c>
      <c r="E79" s="98">
        <v>2.2400000000000002</v>
      </c>
      <c r="F79" s="98">
        <v>0</v>
      </c>
      <c r="H79" s="98">
        <v>0.23497267759562843</v>
      </c>
      <c r="I79" s="98">
        <v>0.17934782608695651</v>
      </c>
      <c r="J79" s="98">
        <v>0.13563829787234041</v>
      </c>
      <c r="K79" s="98">
        <v>0.10427807486631016</v>
      </c>
      <c r="L79" s="98">
        <v>8.7533156498673742E-2</v>
      </c>
      <c r="N79" s="29">
        <f t="shared" si="26"/>
        <v>0.26086956521739119</v>
      </c>
      <c r="O79" s="29">
        <f t="shared" si="27"/>
        <v>0.53557312252964417</v>
      </c>
      <c r="P79" s="29">
        <f t="shared" si="28"/>
        <v>0.77865612648221338</v>
      </c>
      <c r="Q79" s="29">
        <f t="shared" si="29"/>
        <v>1</v>
      </c>
      <c r="R79" s="29"/>
      <c r="S79" s="29">
        <f t="shared" si="30"/>
        <v>0.23672901921132464</v>
      </c>
      <c r="T79" s="29">
        <f t="shared" si="31"/>
        <v>0.42274863928748152</v>
      </c>
      <c r="U79" s="29">
        <f t="shared" si="32"/>
        <v>0.55621191394105207</v>
      </c>
      <c r="V79" s="29">
        <f t="shared" si="33"/>
        <v>0.62747517118006291</v>
      </c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87">
        <v>9.6</v>
      </c>
      <c r="AJ79" s="29">
        <v>9.36</v>
      </c>
      <c r="AK79" s="87">
        <v>9.18</v>
      </c>
      <c r="AL79">
        <v>9.08</v>
      </c>
      <c r="AN79">
        <f t="shared" si="34"/>
        <v>5.0595355828948731E-2</v>
      </c>
      <c r="AO79">
        <f t="shared" si="35"/>
        <v>7.4330471933225034E-2</v>
      </c>
      <c r="AP79">
        <f t="shared" si="36"/>
        <v>9.2131809011432211E-2</v>
      </c>
      <c r="AQ79">
        <f t="shared" si="37"/>
        <v>0.1020214407215473</v>
      </c>
    </row>
    <row r="80" spans="2:43" x14ac:dyDescent="0.2">
      <c r="B80" s="101">
        <v>10.78</v>
      </c>
      <c r="C80" s="98">
        <v>7.94</v>
      </c>
      <c r="D80" s="98">
        <v>5.24</v>
      </c>
      <c r="E80" s="98">
        <v>2.68</v>
      </c>
      <c r="F80" s="98">
        <v>0</v>
      </c>
      <c r="H80" s="98">
        <v>0.20380434782608695</v>
      </c>
      <c r="I80" s="98">
        <v>0.18351063829787234</v>
      </c>
      <c r="J80" s="98">
        <v>0.15324675324675324</v>
      </c>
      <c r="K80" s="98">
        <v>0.11139240506329114</v>
      </c>
      <c r="L80" s="98">
        <v>8.1841432225063945E-2</v>
      </c>
      <c r="N80" s="29">
        <f t="shared" si="26"/>
        <v>0.26345083487940624</v>
      </c>
      <c r="O80" s="29">
        <f t="shared" si="27"/>
        <v>0.51391465677179959</v>
      </c>
      <c r="P80" s="29">
        <f t="shared" si="28"/>
        <v>0.75139146567717996</v>
      </c>
      <c r="Q80" s="29">
        <f t="shared" si="29"/>
        <v>1</v>
      </c>
      <c r="R80" s="29"/>
      <c r="S80" s="29">
        <f t="shared" si="30"/>
        <v>9.9574468085106324E-2</v>
      </c>
      <c r="T80" s="29">
        <f t="shared" si="31"/>
        <v>0.24806926406926405</v>
      </c>
      <c r="U80" s="29">
        <f t="shared" si="32"/>
        <v>0.45343459915611811</v>
      </c>
      <c r="V80" s="29">
        <f t="shared" si="33"/>
        <v>0.59843137254901957</v>
      </c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87">
        <v>10.1</v>
      </c>
      <c r="AJ80" s="29">
        <v>9.82</v>
      </c>
      <c r="AK80" s="87">
        <v>9.34</v>
      </c>
      <c r="AL80">
        <v>9.2200000000000006</v>
      </c>
      <c r="AN80">
        <f t="shared" si="34"/>
        <v>1.1471972783731394E-3</v>
      </c>
      <c r="AO80">
        <f t="shared" si="35"/>
        <v>2.8838166066695405E-2</v>
      </c>
      <c r="AP80">
        <f t="shared" si="36"/>
        <v>7.6308398275248018E-2</v>
      </c>
      <c r="AQ80">
        <f t="shared" si="37"/>
        <v>8.8175956327386076E-2</v>
      </c>
    </row>
    <row r="81" spans="2:43" x14ac:dyDescent="0.2">
      <c r="B81" s="101">
        <v>10</v>
      </c>
      <c r="C81" s="98">
        <v>7.34</v>
      </c>
      <c r="D81" s="98">
        <v>4.74</v>
      </c>
      <c r="E81" s="98">
        <v>2.5</v>
      </c>
      <c r="F81" s="98">
        <v>0</v>
      </c>
      <c r="H81" s="98">
        <v>0.21446384039900249</v>
      </c>
      <c r="I81" s="98">
        <v>0.17661691542288557</v>
      </c>
      <c r="J81" s="98">
        <v>0.14871794871794872</v>
      </c>
      <c r="K81" s="98">
        <v>0.11704834605597965</v>
      </c>
      <c r="L81" s="98">
        <v>9.7744360902255634E-2</v>
      </c>
      <c r="N81" s="29">
        <f t="shared" si="26"/>
        <v>0.26600000000000001</v>
      </c>
      <c r="O81" s="29">
        <f t="shared" si="27"/>
        <v>0.52600000000000002</v>
      </c>
      <c r="P81" s="29">
        <f t="shared" si="28"/>
        <v>0.75</v>
      </c>
      <c r="Q81" s="29">
        <f t="shared" si="29"/>
        <v>1</v>
      </c>
      <c r="R81" s="29"/>
      <c r="S81" s="29">
        <f t="shared" si="30"/>
        <v>0.17647228971421958</v>
      </c>
      <c r="T81" s="29">
        <f t="shared" si="31"/>
        <v>0.30655933214072745</v>
      </c>
      <c r="U81" s="29">
        <f t="shared" si="32"/>
        <v>0.45422806083200185</v>
      </c>
      <c r="V81" s="29">
        <f t="shared" si="33"/>
        <v>0.54423850323483125</v>
      </c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87">
        <v>9.5399999999999991</v>
      </c>
      <c r="AJ81" s="29">
        <v>9.34</v>
      </c>
      <c r="AK81" s="87">
        <v>8.94</v>
      </c>
      <c r="AL81">
        <v>8.8000000000000007</v>
      </c>
      <c r="AN81">
        <f t="shared" si="34"/>
        <v>5.652913485501785E-2</v>
      </c>
      <c r="AO81">
        <f t="shared" si="35"/>
        <v>7.6308398275248018E-2</v>
      </c>
      <c r="AP81">
        <f t="shared" si="36"/>
        <v>0.11586692511570852</v>
      </c>
      <c r="AQ81">
        <f t="shared" si="37"/>
        <v>0.12971240950986956</v>
      </c>
    </row>
    <row r="82" spans="2:43" x14ac:dyDescent="0.2">
      <c r="B82" s="101">
        <v>10.220000000000001</v>
      </c>
      <c r="C82" s="98">
        <v>7.56</v>
      </c>
      <c r="D82" s="98">
        <v>5.04</v>
      </c>
      <c r="E82" s="98">
        <v>2.6</v>
      </c>
      <c r="F82" s="98">
        <v>0</v>
      </c>
      <c r="H82" s="98">
        <v>0.24281984334203655</v>
      </c>
      <c r="I82" s="98">
        <v>0.21925133689839571</v>
      </c>
      <c r="J82" s="98">
        <v>0.17567567567567569</v>
      </c>
      <c r="K82" s="98">
        <v>0.14402173913043478</v>
      </c>
      <c r="L82" s="98">
        <v>0.10133333333333333</v>
      </c>
      <c r="N82" s="29">
        <f t="shared" si="26"/>
        <v>0.26027397260273982</v>
      </c>
      <c r="O82" s="29">
        <f t="shared" si="27"/>
        <v>0.50684931506849318</v>
      </c>
      <c r="P82" s="29">
        <f t="shared" si="28"/>
        <v>0.74559686888454013</v>
      </c>
      <c r="Q82" s="29">
        <f t="shared" si="29"/>
        <v>1</v>
      </c>
      <c r="R82" s="29"/>
      <c r="S82" s="29">
        <f t="shared" si="30"/>
        <v>9.7061698579725159E-2</v>
      </c>
      <c r="T82" s="29">
        <f t="shared" si="31"/>
        <v>0.27651845393780872</v>
      </c>
      <c r="U82" s="29">
        <f t="shared" si="32"/>
        <v>0.40687821411874703</v>
      </c>
      <c r="V82" s="29">
        <f t="shared" si="33"/>
        <v>0.58268100358422936</v>
      </c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87">
        <v>9.76</v>
      </c>
      <c r="AJ82" s="29">
        <v>9.5399999999999991</v>
      </c>
      <c r="AK82" s="87">
        <v>9.1999999999999993</v>
      </c>
      <c r="AL82">
        <v>9.1199999999999992</v>
      </c>
      <c r="AN82">
        <f t="shared" si="34"/>
        <v>3.4771945092764524E-2</v>
      </c>
      <c r="AO82">
        <f t="shared" si="35"/>
        <v>5.652913485501785E-2</v>
      </c>
      <c r="AP82">
        <f t="shared" si="36"/>
        <v>9.0153882669409241E-2</v>
      </c>
      <c r="AQ82">
        <f t="shared" si="37"/>
        <v>9.8065588037501331E-2</v>
      </c>
    </row>
    <row r="83" spans="2:43" x14ac:dyDescent="0.2">
      <c r="B83" s="101">
        <v>10.16</v>
      </c>
      <c r="C83" s="98">
        <v>7.92</v>
      </c>
      <c r="D83" s="98">
        <v>5.3</v>
      </c>
      <c r="E83" s="98">
        <v>2.58</v>
      </c>
      <c r="F83" s="98">
        <v>0</v>
      </c>
      <c r="H83" s="98">
        <v>0.2283464566929134</v>
      </c>
      <c r="I83" s="98">
        <v>0.1994750656167979</v>
      </c>
      <c r="J83" s="98">
        <v>0.1566579634464752</v>
      </c>
      <c r="K83" s="98">
        <v>0.11780104712041885</v>
      </c>
      <c r="L83" s="98">
        <v>9.6858638743455502E-2</v>
      </c>
      <c r="N83" s="29">
        <f t="shared" si="26"/>
        <v>0.22047244094488191</v>
      </c>
      <c r="O83" s="29">
        <f t="shared" si="27"/>
        <v>0.47834645669291342</v>
      </c>
      <c r="P83" s="29">
        <f t="shared" si="28"/>
        <v>0.74606299212598426</v>
      </c>
      <c r="Q83" s="29">
        <f t="shared" si="29"/>
        <v>1</v>
      </c>
      <c r="R83" s="29"/>
      <c r="S83" s="29">
        <f t="shared" si="30"/>
        <v>0.12643678160919544</v>
      </c>
      <c r="T83" s="29">
        <f t="shared" si="31"/>
        <v>0.31394616007922932</v>
      </c>
      <c r="U83" s="29">
        <f t="shared" si="32"/>
        <v>0.48411265571402784</v>
      </c>
      <c r="V83" s="29">
        <f t="shared" si="33"/>
        <v>0.57582596136486741</v>
      </c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87">
        <v>9.52</v>
      </c>
      <c r="AJ83" s="29">
        <v>9.32</v>
      </c>
      <c r="AK83" s="87">
        <v>9.18</v>
      </c>
      <c r="AL83">
        <v>8.94</v>
      </c>
      <c r="AN83">
        <f t="shared" si="34"/>
        <v>5.8507061197040827E-2</v>
      </c>
      <c r="AO83">
        <f t="shared" si="35"/>
        <v>7.8286324617270989E-2</v>
      </c>
      <c r="AP83">
        <f t="shared" si="36"/>
        <v>9.2131809011432211E-2</v>
      </c>
      <c r="AQ83">
        <f t="shared" si="37"/>
        <v>0.11586692511570852</v>
      </c>
    </row>
    <row r="84" spans="2:43" x14ac:dyDescent="0.2">
      <c r="B84" s="101">
        <v>10.039999999999999</v>
      </c>
      <c r="C84" s="98">
        <v>7.68</v>
      </c>
      <c r="D84" s="98">
        <v>5.2</v>
      </c>
      <c r="E84" s="98">
        <v>2.7</v>
      </c>
      <c r="F84" s="98">
        <v>0</v>
      </c>
      <c r="H84" s="98">
        <v>0.23589743589743589</v>
      </c>
      <c r="I84" s="98">
        <v>0.21134020618556701</v>
      </c>
      <c r="J84" s="98">
        <v>0.16331658291457288</v>
      </c>
      <c r="K84" s="98">
        <v>0.11306532663316583</v>
      </c>
      <c r="L84" s="98">
        <v>7.8085642317380355E-2</v>
      </c>
      <c r="N84" s="29">
        <f t="shared" si="26"/>
        <v>0.23505976095617526</v>
      </c>
      <c r="O84" s="29">
        <f t="shared" si="27"/>
        <v>0.48207171314741032</v>
      </c>
      <c r="P84" s="29">
        <f t="shared" si="28"/>
        <v>0.73107569721115528</v>
      </c>
      <c r="Q84" s="29">
        <f t="shared" si="29"/>
        <v>1</v>
      </c>
      <c r="R84" s="29"/>
      <c r="S84" s="29">
        <f t="shared" si="30"/>
        <v>0.10410129986553114</v>
      </c>
      <c r="T84" s="29">
        <f t="shared" si="31"/>
        <v>0.30767970286213669</v>
      </c>
      <c r="U84" s="29">
        <f t="shared" si="32"/>
        <v>0.52070133275071007</v>
      </c>
      <c r="V84" s="29">
        <f t="shared" si="33"/>
        <v>0.6689847771328441</v>
      </c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87">
        <v>9.58</v>
      </c>
      <c r="AJ84" s="29">
        <v>9.44</v>
      </c>
      <c r="AK84" s="87">
        <v>9.18</v>
      </c>
      <c r="AL84">
        <v>9.14</v>
      </c>
      <c r="AN84">
        <f t="shared" si="34"/>
        <v>5.2573282170971708E-2</v>
      </c>
      <c r="AO84">
        <f t="shared" si="35"/>
        <v>6.6418766565132931E-2</v>
      </c>
      <c r="AP84">
        <f t="shared" si="36"/>
        <v>9.2131809011432211E-2</v>
      </c>
      <c r="AQ84">
        <f t="shared" si="37"/>
        <v>9.608766169547818E-2</v>
      </c>
    </row>
    <row r="85" spans="2:43" x14ac:dyDescent="0.2">
      <c r="B85" s="101">
        <v>9.42</v>
      </c>
      <c r="C85" s="98">
        <v>7.32</v>
      </c>
      <c r="D85" s="98">
        <v>4.78</v>
      </c>
      <c r="E85" s="98">
        <v>2.5</v>
      </c>
      <c r="F85" s="98">
        <v>0</v>
      </c>
      <c r="H85" s="98">
        <v>0.17839195979899497</v>
      </c>
      <c r="I85" s="98">
        <v>0.14356435643564355</v>
      </c>
      <c r="J85" s="98">
        <v>0.11435523114355231</v>
      </c>
      <c r="K85" s="98">
        <v>6.8796068796068796E-2</v>
      </c>
      <c r="L85" s="98">
        <v>5.3527980535279802E-2</v>
      </c>
      <c r="N85" s="29">
        <f t="shared" si="26"/>
        <v>0.22292993630573243</v>
      </c>
      <c r="O85" s="29">
        <f t="shared" si="27"/>
        <v>0.4925690021231422</v>
      </c>
      <c r="P85" s="29">
        <f t="shared" si="28"/>
        <v>0.73460721868365175</v>
      </c>
      <c r="Q85" s="29">
        <f t="shared" si="29"/>
        <v>1</v>
      </c>
      <c r="R85" s="29"/>
      <c r="S85" s="29">
        <f t="shared" si="30"/>
        <v>0.19523079068470231</v>
      </c>
      <c r="T85" s="29">
        <f t="shared" si="31"/>
        <v>0.35896645077276307</v>
      </c>
      <c r="U85" s="29">
        <f t="shared" si="32"/>
        <v>0.61435443125583966</v>
      </c>
      <c r="V85" s="29">
        <f t="shared" si="33"/>
        <v>0.6999417429149104</v>
      </c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87">
        <v>9.08</v>
      </c>
      <c r="AJ85" s="29">
        <v>8.94</v>
      </c>
      <c r="AK85" s="87">
        <v>8.6</v>
      </c>
      <c r="AL85">
        <v>8.44</v>
      </c>
      <c r="AN85">
        <f t="shared" si="34"/>
        <v>0.1020214407215473</v>
      </c>
      <c r="AO85">
        <f t="shared" si="35"/>
        <v>0.11586692511570852</v>
      </c>
      <c r="AP85">
        <f t="shared" si="36"/>
        <v>0.14949167293009991</v>
      </c>
      <c r="AQ85">
        <f t="shared" si="37"/>
        <v>0.16531508366628411</v>
      </c>
    </row>
    <row r="86" spans="2:43" x14ac:dyDescent="0.2">
      <c r="B86" s="101">
        <v>10.1</v>
      </c>
      <c r="C86" s="98">
        <v>7.7</v>
      </c>
      <c r="D86" s="98">
        <v>5.26</v>
      </c>
      <c r="E86" s="98">
        <v>2.42</v>
      </c>
      <c r="F86" s="98">
        <v>0</v>
      </c>
      <c r="H86" s="98">
        <v>0.17268041237113402</v>
      </c>
      <c r="I86" s="98">
        <v>0.15445026178010471</v>
      </c>
      <c r="J86" s="98">
        <v>0.14058355437665782</v>
      </c>
      <c r="K86" s="98">
        <v>0.11702127659574468</v>
      </c>
      <c r="L86" s="98">
        <v>8.6021505376344093E-2</v>
      </c>
      <c r="N86" s="29">
        <f t="shared" si="26"/>
        <v>0.23762376237623759</v>
      </c>
      <c r="O86" s="29">
        <f t="shared" si="27"/>
        <v>0.47920792079207919</v>
      </c>
      <c r="P86" s="29">
        <f t="shared" si="28"/>
        <v>0.76039603960396041</v>
      </c>
      <c r="Q86" s="29">
        <f t="shared" si="29"/>
        <v>1</v>
      </c>
      <c r="R86" s="29"/>
      <c r="S86" s="29">
        <f t="shared" si="30"/>
        <v>0.10557161834805033</v>
      </c>
      <c r="T86" s="29">
        <f t="shared" si="31"/>
        <v>0.1858743418187577</v>
      </c>
      <c r="U86" s="29">
        <f t="shared" si="32"/>
        <v>0.32232454747538897</v>
      </c>
      <c r="V86" s="29">
        <f t="shared" si="33"/>
        <v>0.50184561065639544</v>
      </c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87">
        <v>9.6999999999999993</v>
      </c>
      <c r="AJ86" s="29">
        <v>9.4600000000000009</v>
      </c>
      <c r="AK86" s="87">
        <v>9.18</v>
      </c>
      <c r="AL86">
        <v>8.98</v>
      </c>
      <c r="AN86">
        <f t="shared" si="34"/>
        <v>4.0705724118833643E-2</v>
      </c>
      <c r="AO86">
        <f t="shared" si="35"/>
        <v>6.444084022310978E-2</v>
      </c>
      <c r="AP86">
        <f t="shared" si="36"/>
        <v>9.2131809011432211E-2</v>
      </c>
      <c r="AQ86">
        <f t="shared" si="37"/>
        <v>0.11191107243166239</v>
      </c>
    </row>
    <row r="87" spans="2:43" x14ac:dyDescent="0.2">
      <c r="B87" s="101">
        <v>10.1</v>
      </c>
      <c r="C87" s="98">
        <v>7.38</v>
      </c>
      <c r="D87" s="98">
        <v>4.5599999999999996</v>
      </c>
      <c r="E87" s="98">
        <v>2.34</v>
      </c>
      <c r="F87" s="98">
        <v>0</v>
      </c>
      <c r="H87" s="98">
        <v>0.25984251968503935</v>
      </c>
      <c r="I87" s="98">
        <v>0.21989528795811519</v>
      </c>
      <c r="J87" s="98">
        <v>0.17060367454068243</v>
      </c>
      <c r="K87" s="98">
        <v>0.15</v>
      </c>
      <c r="L87" s="98">
        <v>0.11436170212765957</v>
      </c>
      <c r="N87" s="29">
        <f t="shared" si="26"/>
        <v>0.26930693069306927</v>
      </c>
      <c r="O87" s="29">
        <f t="shared" si="27"/>
        <v>0.54851485148514856</v>
      </c>
      <c r="P87" s="29">
        <f t="shared" si="28"/>
        <v>0.76831683168316833</v>
      </c>
      <c r="Q87" s="29">
        <f t="shared" si="29"/>
        <v>1</v>
      </c>
      <c r="R87" s="29"/>
      <c r="S87" s="29">
        <f t="shared" si="30"/>
        <v>0.15373631603998086</v>
      </c>
      <c r="T87" s="29">
        <f t="shared" si="31"/>
        <v>0.34343434343434337</v>
      </c>
      <c r="U87" s="29">
        <f t="shared" si="32"/>
        <v>0.42272727272727273</v>
      </c>
      <c r="V87" s="29">
        <f t="shared" si="33"/>
        <v>0.5598807221147647</v>
      </c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87">
        <v>9.5399999999999991</v>
      </c>
      <c r="AJ87" s="29">
        <v>9.44</v>
      </c>
      <c r="AK87" s="87">
        <v>8.9600000000000009</v>
      </c>
      <c r="AL87">
        <v>8.66</v>
      </c>
      <c r="AN87">
        <f t="shared" si="34"/>
        <v>5.652913485501785E-2</v>
      </c>
      <c r="AO87">
        <f t="shared" si="35"/>
        <v>6.6418766565132931E-2</v>
      </c>
      <c r="AP87">
        <f t="shared" si="36"/>
        <v>0.11388899877368536</v>
      </c>
      <c r="AQ87">
        <f t="shared" si="37"/>
        <v>0.14355789390403079</v>
      </c>
    </row>
    <row r="88" spans="2:43" x14ac:dyDescent="0.2">
      <c r="B88" s="101">
        <v>9.86</v>
      </c>
      <c r="C88" s="98">
        <v>7.56</v>
      </c>
      <c r="D88" s="98">
        <v>5.26</v>
      </c>
      <c r="E88" s="98">
        <v>2.3199999999999998</v>
      </c>
      <c r="F88" s="98">
        <v>0</v>
      </c>
      <c r="H88" s="98">
        <v>0.24675324675324675</v>
      </c>
      <c r="I88" s="98">
        <v>0.21336760925449871</v>
      </c>
      <c r="J88" s="98">
        <v>0.16358839050131926</v>
      </c>
      <c r="K88" s="98">
        <v>0.12032085561497326</v>
      </c>
      <c r="L88" s="98">
        <v>7.4468085106382975E-2</v>
      </c>
      <c r="N88" s="29">
        <f t="shared" si="26"/>
        <v>0.23326572008113589</v>
      </c>
      <c r="O88" s="29">
        <f t="shared" si="27"/>
        <v>0.46653144016227177</v>
      </c>
      <c r="P88" s="29">
        <f t="shared" si="28"/>
        <v>0.76470588235294112</v>
      </c>
      <c r="Q88" s="29">
        <f t="shared" si="29"/>
        <v>1</v>
      </c>
      <c r="R88" s="29"/>
      <c r="S88" s="29">
        <f t="shared" si="30"/>
        <v>0.13529968881071575</v>
      </c>
      <c r="T88" s="29">
        <f t="shared" si="31"/>
        <v>0.33703652270517981</v>
      </c>
      <c r="U88" s="29">
        <f t="shared" si="32"/>
        <v>0.51238390092879249</v>
      </c>
      <c r="V88" s="29">
        <f t="shared" si="33"/>
        <v>0.69820828667413215</v>
      </c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87">
        <v>9.24</v>
      </c>
      <c r="AJ88" s="29">
        <v>9.1999999999999993</v>
      </c>
      <c r="AK88" s="87">
        <v>8.7200000000000006</v>
      </c>
      <c r="AL88">
        <v>8.6</v>
      </c>
      <c r="AN88">
        <f t="shared" si="34"/>
        <v>8.6198029985363092E-2</v>
      </c>
      <c r="AO88">
        <f t="shared" si="35"/>
        <v>9.0153882669409241E-2</v>
      </c>
      <c r="AP88">
        <f t="shared" si="36"/>
        <v>0.13762411487796167</v>
      </c>
      <c r="AQ88">
        <f t="shared" si="37"/>
        <v>0.14949167293009991</v>
      </c>
    </row>
    <row r="89" spans="2:43" x14ac:dyDescent="0.2">
      <c r="B89" s="101">
        <v>10.08</v>
      </c>
      <c r="C89" s="98">
        <v>7.62</v>
      </c>
      <c r="D89" s="98">
        <v>5.52</v>
      </c>
      <c r="E89" s="98">
        <v>2.7</v>
      </c>
      <c r="F89" s="98">
        <v>0</v>
      </c>
      <c r="H89" s="98">
        <v>0.21428571428571427</v>
      </c>
      <c r="I89" s="98">
        <v>0.18058690744920994</v>
      </c>
      <c r="J89" s="98">
        <v>0.1463963963963964</v>
      </c>
      <c r="K89" s="98">
        <v>0.11778290993071594</v>
      </c>
      <c r="L89" s="98">
        <v>8.8372093023255813E-2</v>
      </c>
      <c r="N89" s="29">
        <f t="shared" si="26"/>
        <v>0.24404761904761904</v>
      </c>
      <c r="O89" s="29">
        <f t="shared" si="27"/>
        <v>0.45238095238095244</v>
      </c>
      <c r="P89" s="29">
        <f t="shared" si="28"/>
        <v>0.7321428571428571</v>
      </c>
      <c r="Q89" s="29">
        <f t="shared" si="29"/>
        <v>1</v>
      </c>
      <c r="R89" s="29"/>
      <c r="S89" s="29">
        <f t="shared" si="30"/>
        <v>0.15726109857035359</v>
      </c>
      <c r="T89" s="29">
        <f t="shared" si="31"/>
        <v>0.31681681681681678</v>
      </c>
      <c r="U89" s="29">
        <f t="shared" si="32"/>
        <v>0.45034642032332556</v>
      </c>
      <c r="V89" s="29">
        <f t="shared" si="33"/>
        <v>0.58759689922480629</v>
      </c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87">
        <v>9.6199999999999992</v>
      </c>
      <c r="AJ89" s="29">
        <v>9.52</v>
      </c>
      <c r="AK89" s="87">
        <v>9.36</v>
      </c>
      <c r="AL89">
        <v>9.24</v>
      </c>
      <c r="AN89">
        <f t="shared" si="34"/>
        <v>4.8617429486925746E-2</v>
      </c>
      <c r="AO89">
        <f t="shared" si="35"/>
        <v>5.8507061197040827E-2</v>
      </c>
      <c r="AP89">
        <f t="shared" si="36"/>
        <v>7.4330471933225034E-2</v>
      </c>
      <c r="AQ89">
        <f t="shared" si="37"/>
        <v>8.6198029985363092E-2</v>
      </c>
    </row>
    <row r="90" spans="2:43" x14ac:dyDescent="0.2">
      <c r="B90" s="101">
        <v>10.220000000000001</v>
      </c>
      <c r="C90" s="98">
        <v>7.86</v>
      </c>
      <c r="D90" s="98">
        <v>5.42</v>
      </c>
      <c r="E90" s="98">
        <v>2.66</v>
      </c>
      <c r="F90" s="98">
        <v>0</v>
      </c>
      <c r="H90" s="98">
        <v>0.24111675126903553</v>
      </c>
      <c r="I90" s="98">
        <v>0.21588089330024815</v>
      </c>
      <c r="J90" s="98">
        <v>0.16176470588235295</v>
      </c>
      <c r="K90" s="98">
        <v>0.13902439024390245</v>
      </c>
      <c r="L90" s="98">
        <v>9.4430992736077482E-2</v>
      </c>
      <c r="N90" s="29">
        <f t="shared" si="26"/>
        <v>0.23091976516634052</v>
      </c>
      <c r="O90" s="29">
        <f t="shared" si="27"/>
        <v>0.4696673189823875</v>
      </c>
      <c r="P90" s="29">
        <f t="shared" si="28"/>
        <v>0.73972602739726023</v>
      </c>
      <c r="Q90" s="29">
        <f t="shared" si="29"/>
        <v>1</v>
      </c>
      <c r="R90" s="29"/>
      <c r="S90" s="29">
        <f t="shared" si="30"/>
        <v>0.1046624004179182</v>
      </c>
      <c r="T90" s="29">
        <f t="shared" si="31"/>
        <v>0.3291021671826625</v>
      </c>
      <c r="U90" s="29">
        <f t="shared" si="32"/>
        <v>0.4234146341463414</v>
      </c>
      <c r="V90" s="29">
        <f t="shared" si="33"/>
        <v>0.60835988275774189</v>
      </c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87">
        <v>9.68</v>
      </c>
      <c r="AJ90" s="29">
        <v>9.42</v>
      </c>
      <c r="AK90" s="87">
        <v>9.02</v>
      </c>
      <c r="AL90">
        <v>8.92</v>
      </c>
      <c r="AN90">
        <f t="shared" si="34"/>
        <v>4.2683650460856627E-2</v>
      </c>
      <c r="AO90">
        <f t="shared" si="35"/>
        <v>6.8396692907155915E-2</v>
      </c>
      <c r="AP90">
        <f t="shared" si="36"/>
        <v>0.10795521974761642</v>
      </c>
      <c r="AQ90">
        <f t="shared" si="37"/>
        <v>0.11784485145773151</v>
      </c>
    </row>
    <row r="91" spans="2:43" x14ac:dyDescent="0.2">
      <c r="B91" s="101">
        <v>10.199999999999999</v>
      </c>
      <c r="C91" s="98">
        <v>7.56</v>
      </c>
      <c r="D91" s="98">
        <v>5.0999999999999996</v>
      </c>
      <c r="E91" s="98">
        <v>2.58</v>
      </c>
      <c r="F91" s="98">
        <v>0</v>
      </c>
      <c r="H91" s="98">
        <v>0.22480620155038761</v>
      </c>
      <c r="I91" s="98">
        <v>0.20360824742268041</v>
      </c>
      <c r="J91" s="98">
        <v>0.18489583333333334</v>
      </c>
      <c r="K91" s="98">
        <v>0.14361702127659576</v>
      </c>
      <c r="L91" s="98">
        <v>0.11436170212765957</v>
      </c>
      <c r="N91" s="29">
        <f t="shared" si="26"/>
        <v>0.25882352941176467</v>
      </c>
      <c r="O91" s="29">
        <f t="shared" si="27"/>
        <v>0.5</v>
      </c>
      <c r="P91" s="29">
        <f t="shared" si="28"/>
        <v>0.74705882352941178</v>
      </c>
      <c r="Q91" s="29">
        <f t="shared" si="29"/>
        <v>1</v>
      </c>
      <c r="R91" s="29"/>
      <c r="S91" s="29">
        <f t="shared" si="30"/>
        <v>9.4294347671525114E-2</v>
      </c>
      <c r="T91" s="29">
        <f t="shared" si="31"/>
        <v>0.17753232758620691</v>
      </c>
      <c r="U91" s="29">
        <f t="shared" si="32"/>
        <v>0.3611518708730741</v>
      </c>
      <c r="V91" s="29">
        <f t="shared" si="33"/>
        <v>0.4912876008804109</v>
      </c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87">
        <v>9.5399999999999991</v>
      </c>
      <c r="AJ91" s="29">
        <v>9.44</v>
      </c>
      <c r="AK91" s="87">
        <v>9.1199999999999992</v>
      </c>
      <c r="AL91">
        <v>9.08</v>
      </c>
      <c r="AN91">
        <f t="shared" si="34"/>
        <v>5.652913485501785E-2</v>
      </c>
      <c r="AO91">
        <f t="shared" si="35"/>
        <v>6.6418766565132931E-2</v>
      </c>
      <c r="AP91">
        <f t="shared" si="36"/>
        <v>9.8065588037501331E-2</v>
      </c>
      <c r="AQ91">
        <f t="shared" si="37"/>
        <v>0.1020214407215473</v>
      </c>
    </row>
    <row r="92" spans="2:43" x14ac:dyDescent="0.2">
      <c r="B92" s="101">
        <v>10.199999999999999</v>
      </c>
      <c r="C92" s="98">
        <v>7.64</v>
      </c>
      <c r="D92" s="98">
        <v>4.82</v>
      </c>
      <c r="E92" s="98">
        <v>2.2799999999999998</v>
      </c>
      <c r="F92" s="98">
        <v>0</v>
      </c>
      <c r="H92" s="98">
        <v>0.23138297872340424</v>
      </c>
      <c r="I92" s="98">
        <v>0.17771883289124668</v>
      </c>
      <c r="J92" s="98">
        <v>0.13020833333333334</v>
      </c>
      <c r="K92" s="98">
        <v>0.10209424083769633</v>
      </c>
      <c r="L92" s="98">
        <v>8.3116883116883117E-2</v>
      </c>
      <c r="N92" s="29">
        <f t="shared" si="26"/>
        <v>0.25098039215686274</v>
      </c>
      <c r="O92" s="29">
        <f t="shared" si="27"/>
        <v>0.52745098039215677</v>
      </c>
      <c r="P92" s="29">
        <f t="shared" si="28"/>
        <v>0.77647058823529413</v>
      </c>
      <c r="Q92" s="29">
        <f t="shared" si="29"/>
        <v>1</v>
      </c>
      <c r="R92" s="29"/>
      <c r="S92" s="29">
        <f t="shared" si="30"/>
        <v>0.23192780267691085</v>
      </c>
      <c r="T92" s="29">
        <f t="shared" si="31"/>
        <v>0.43726053639846735</v>
      </c>
      <c r="U92" s="29">
        <f t="shared" si="32"/>
        <v>0.55876512005777212</v>
      </c>
      <c r="V92" s="29">
        <f t="shared" si="33"/>
        <v>0.64078220629944771</v>
      </c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87">
        <v>9.52</v>
      </c>
      <c r="AJ92" s="29">
        <v>9.34</v>
      </c>
      <c r="AK92" s="87">
        <v>9.16</v>
      </c>
      <c r="AL92">
        <v>9.06</v>
      </c>
      <c r="AN92">
        <f t="shared" si="34"/>
        <v>5.8507061197040827E-2</v>
      </c>
      <c r="AO92">
        <f t="shared" si="35"/>
        <v>7.6308398275248018E-2</v>
      </c>
      <c r="AP92">
        <f t="shared" si="36"/>
        <v>9.4109735353455196E-2</v>
      </c>
      <c r="AQ92">
        <f t="shared" si="37"/>
        <v>0.10399936706357028</v>
      </c>
    </row>
    <row r="93" spans="2:43" x14ac:dyDescent="0.2">
      <c r="B93" s="101">
        <v>10.7</v>
      </c>
      <c r="C93" s="98">
        <v>7.94</v>
      </c>
      <c r="D93" s="98">
        <v>5.24</v>
      </c>
      <c r="E93" s="98">
        <v>2.56</v>
      </c>
      <c r="F93" s="98">
        <v>0</v>
      </c>
      <c r="H93" s="98">
        <v>0.1894150417827298</v>
      </c>
      <c r="I93" s="98">
        <v>0.17119565217391305</v>
      </c>
      <c r="J93" s="98">
        <v>0.15079365079365079</v>
      </c>
      <c r="K93" s="98">
        <v>0.1056701030927835</v>
      </c>
      <c r="L93" s="98">
        <v>8.3333333333333329E-2</v>
      </c>
      <c r="N93" s="29">
        <f t="shared" si="26"/>
        <v>0.25794392523364479</v>
      </c>
      <c r="O93" s="29">
        <f t="shared" si="27"/>
        <v>0.5102803738317756</v>
      </c>
      <c r="P93" s="29">
        <f t="shared" si="28"/>
        <v>0.76074766355140178</v>
      </c>
      <c r="Q93" s="29">
        <f t="shared" si="29"/>
        <v>1</v>
      </c>
      <c r="R93" s="29"/>
      <c r="S93" s="29">
        <f t="shared" si="30"/>
        <v>9.6187659846547258E-2</v>
      </c>
      <c r="T93" s="29">
        <f t="shared" si="31"/>
        <v>0.20389822595704954</v>
      </c>
      <c r="U93" s="29">
        <f t="shared" si="32"/>
        <v>0.4421240145542753</v>
      </c>
      <c r="V93" s="29">
        <f t="shared" si="33"/>
        <v>0.56004901960784315</v>
      </c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87">
        <v>10.039999999999999</v>
      </c>
      <c r="AJ93" s="29">
        <v>9.6999999999999993</v>
      </c>
      <c r="AK93" s="87">
        <v>9.3800000000000008</v>
      </c>
      <c r="AL93">
        <v>9.26</v>
      </c>
      <c r="AN93">
        <f t="shared" si="34"/>
        <v>7.0809763044422597E-3</v>
      </c>
      <c r="AO93">
        <f t="shared" si="35"/>
        <v>4.0705724118833643E-2</v>
      </c>
      <c r="AP93">
        <f t="shared" si="36"/>
        <v>7.2352545591201869E-2</v>
      </c>
      <c r="AQ93">
        <f t="shared" si="37"/>
        <v>8.4220103643340108E-2</v>
      </c>
    </row>
    <row r="94" spans="2:43" x14ac:dyDescent="0.2">
      <c r="B94" s="101">
        <v>10</v>
      </c>
      <c r="C94" s="98">
        <v>7.24</v>
      </c>
      <c r="D94" s="98">
        <v>4.68</v>
      </c>
      <c r="E94" s="98">
        <v>2.46</v>
      </c>
      <c r="F94" s="98">
        <v>0</v>
      </c>
      <c r="H94" s="98">
        <v>0.22979797979797981</v>
      </c>
      <c r="I94" s="98">
        <v>0.18939393939393939</v>
      </c>
      <c r="J94" s="98">
        <v>0.1514360313315927</v>
      </c>
      <c r="K94" s="98">
        <v>0.11917098445595854</v>
      </c>
      <c r="L94" s="98">
        <v>9.3198992443324941E-2</v>
      </c>
      <c r="N94" s="29">
        <f t="shared" si="26"/>
        <v>0.27599999999999997</v>
      </c>
      <c r="O94" s="29">
        <f t="shared" si="27"/>
        <v>0.53200000000000003</v>
      </c>
      <c r="P94" s="29">
        <f t="shared" si="28"/>
        <v>0.754</v>
      </c>
      <c r="Q94" s="29">
        <f t="shared" si="29"/>
        <v>1</v>
      </c>
      <c r="R94" s="29"/>
      <c r="S94" s="29">
        <f t="shared" si="30"/>
        <v>0.17582417582417587</v>
      </c>
      <c r="T94" s="29">
        <f t="shared" si="31"/>
        <v>0.34100364387570653</v>
      </c>
      <c r="U94" s="29">
        <f t="shared" si="32"/>
        <v>0.48140978192791667</v>
      </c>
      <c r="V94" s="29">
        <f t="shared" si="33"/>
        <v>0.59443075815871782</v>
      </c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87">
        <v>9.6</v>
      </c>
      <c r="AJ94" s="29">
        <v>9.3800000000000008</v>
      </c>
      <c r="AK94" s="87">
        <v>8.86</v>
      </c>
      <c r="AL94">
        <v>8.6999999999999993</v>
      </c>
      <c r="AN94">
        <f t="shared" si="34"/>
        <v>5.0595355828948731E-2</v>
      </c>
      <c r="AO94">
        <f t="shared" si="35"/>
        <v>7.2352545591201869E-2</v>
      </c>
      <c r="AP94">
        <f t="shared" si="36"/>
        <v>0.12377863048380063</v>
      </c>
      <c r="AQ94">
        <f t="shared" si="37"/>
        <v>0.13960204121998482</v>
      </c>
    </row>
    <row r="95" spans="2:43" x14ac:dyDescent="0.2">
      <c r="B95" s="101">
        <v>10.28</v>
      </c>
      <c r="C95" s="98">
        <v>7.68</v>
      </c>
      <c r="D95" s="98">
        <v>5.08</v>
      </c>
      <c r="E95" s="98">
        <v>2.62</v>
      </c>
      <c r="F95" s="98">
        <v>0</v>
      </c>
      <c r="H95" s="98">
        <v>0.23359580052493439</v>
      </c>
      <c r="I95" s="98">
        <v>0.21236559139784947</v>
      </c>
      <c r="J95" s="98">
        <v>0.17473118279569894</v>
      </c>
      <c r="K95" s="98">
        <v>0.1447721179624665</v>
      </c>
      <c r="L95" s="98">
        <v>0.10991957104557641</v>
      </c>
      <c r="N95" s="29">
        <f t="shared" si="26"/>
        <v>0.25291828793774318</v>
      </c>
      <c r="O95" s="29">
        <f t="shared" si="27"/>
        <v>0.50583657587548636</v>
      </c>
      <c r="P95" s="29">
        <f t="shared" si="28"/>
        <v>0.74513618677042803</v>
      </c>
      <c r="Q95" s="29">
        <f t="shared" si="29"/>
        <v>1</v>
      </c>
      <c r="R95" s="29"/>
      <c r="S95" s="29">
        <f t="shared" si="30"/>
        <v>9.0884378397970297E-2</v>
      </c>
      <c r="T95" s="29">
        <f t="shared" si="31"/>
        <v>0.25199347589706411</v>
      </c>
      <c r="U95" s="29">
        <f t="shared" si="32"/>
        <v>0.38024520287977825</v>
      </c>
      <c r="V95" s="29">
        <f t="shared" si="33"/>
        <v>0.52944543181612802</v>
      </c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87">
        <v>9.7799999999999994</v>
      </c>
      <c r="AJ95" s="29">
        <v>9.6</v>
      </c>
      <c r="AK95" s="87">
        <v>9.3000000000000007</v>
      </c>
      <c r="AL95">
        <v>9.24</v>
      </c>
      <c r="AN95">
        <f t="shared" si="34"/>
        <v>3.2794018750741546E-2</v>
      </c>
      <c r="AO95">
        <f t="shared" si="35"/>
        <v>5.0595355828948731E-2</v>
      </c>
      <c r="AP95">
        <f t="shared" si="36"/>
        <v>8.0264250959293973E-2</v>
      </c>
      <c r="AQ95">
        <f t="shared" si="37"/>
        <v>8.6198029985363092E-2</v>
      </c>
    </row>
    <row r="96" spans="2:43" x14ac:dyDescent="0.2">
      <c r="B96" s="101">
        <v>10.220000000000001</v>
      </c>
      <c r="C96" s="98">
        <v>7.9</v>
      </c>
      <c r="D96" s="98">
        <v>5.2</v>
      </c>
      <c r="E96" s="98">
        <v>2.62</v>
      </c>
      <c r="F96" s="98">
        <v>0</v>
      </c>
      <c r="H96" s="98">
        <v>0.22506393861892582</v>
      </c>
      <c r="I96" s="98">
        <v>0.19592875318066158</v>
      </c>
      <c r="J96" s="98">
        <v>0.15345268542199489</v>
      </c>
      <c r="K96" s="98">
        <v>0.11794871794871795</v>
      </c>
      <c r="L96" s="98">
        <v>8.9285714285714288E-2</v>
      </c>
      <c r="N96" s="29">
        <f t="shared" si="26"/>
        <v>0.22700587084148729</v>
      </c>
      <c r="O96" s="29">
        <f t="shared" si="27"/>
        <v>0.49119373776908026</v>
      </c>
      <c r="P96" s="29">
        <f t="shared" si="28"/>
        <v>0.74363992172211346</v>
      </c>
      <c r="Q96" s="29">
        <f t="shared" si="29"/>
        <v>1</v>
      </c>
      <c r="R96" s="29"/>
      <c r="S96" s="29">
        <f t="shared" si="30"/>
        <v>0.12945292620865134</v>
      </c>
      <c r="T96" s="29">
        <f t="shared" si="31"/>
        <v>0.31818181818181812</v>
      </c>
      <c r="U96" s="29">
        <f t="shared" si="32"/>
        <v>0.47593240093240091</v>
      </c>
      <c r="V96" s="29">
        <f t="shared" si="33"/>
        <v>0.60328733766233755</v>
      </c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87">
        <v>9.66</v>
      </c>
      <c r="AJ96" s="29">
        <v>9.4600000000000009</v>
      </c>
      <c r="AK96" s="87">
        <v>9.34</v>
      </c>
      <c r="AL96">
        <v>9.1199999999999992</v>
      </c>
      <c r="AN96">
        <f t="shared" si="34"/>
        <v>4.4661576802879611E-2</v>
      </c>
      <c r="AO96">
        <f t="shared" si="35"/>
        <v>6.444084022310978E-2</v>
      </c>
      <c r="AP96">
        <f t="shared" si="36"/>
        <v>7.6308398275248018E-2</v>
      </c>
      <c r="AQ96">
        <f t="shared" si="37"/>
        <v>9.8065588037501331E-2</v>
      </c>
    </row>
    <row r="97" spans="2:43" x14ac:dyDescent="0.2">
      <c r="B97" s="101">
        <v>10.14</v>
      </c>
      <c r="C97" s="98">
        <v>7.8</v>
      </c>
      <c r="D97" s="98">
        <v>5.28</v>
      </c>
      <c r="E97" s="98">
        <v>2.74</v>
      </c>
      <c r="F97" s="98">
        <v>0</v>
      </c>
      <c r="H97" s="98">
        <v>0.25405405405405407</v>
      </c>
      <c r="I97" s="98">
        <v>0.22826086956521738</v>
      </c>
      <c r="J97" s="98">
        <v>0.1763157894736842</v>
      </c>
      <c r="K97" s="98">
        <v>0.12105263157894737</v>
      </c>
      <c r="L97" s="98">
        <v>9.1383812010443863E-2</v>
      </c>
      <c r="N97" s="29">
        <f t="shared" si="26"/>
        <v>0.23076923076923084</v>
      </c>
      <c r="O97" s="29">
        <f t="shared" si="27"/>
        <v>0.47928994082840237</v>
      </c>
      <c r="P97" s="29">
        <f t="shared" si="28"/>
        <v>0.72978303747534512</v>
      </c>
      <c r="Q97" s="29">
        <f t="shared" si="29"/>
        <v>1</v>
      </c>
      <c r="R97" s="29"/>
      <c r="S97" s="29">
        <f t="shared" si="30"/>
        <v>0.1015263644773359</v>
      </c>
      <c r="T97" s="29">
        <f t="shared" si="31"/>
        <v>0.30599104143337075</v>
      </c>
      <c r="U97" s="29">
        <f t="shared" si="32"/>
        <v>0.5235162374020158</v>
      </c>
      <c r="V97" s="29">
        <f t="shared" si="33"/>
        <v>0.64029776123548687</v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87">
        <v>9.56</v>
      </c>
      <c r="AJ97" s="29">
        <v>9.4</v>
      </c>
      <c r="AK97" s="87">
        <v>9.08</v>
      </c>
      <c r="AL97">
        <v>8.98</v>
      </c>
      <c r="AN97">
        <f t="shared" si="34"/>
        <v>5.4551208512994692E-2</v>
      </c>
      <c r="AO97">
        <f t="shared" si="35"/>
        <v>7.0374619249178899E-2</v>
      </c>
      <c r="AP97">
        <f t="shared" si="36"/>
        <v>0.1020214407215473</v>
      </c>
      <c r="AQ97">
        <f t="shared" si="37"/>
        <v>0.11191107243166239</v>
      </c>
    </row>
    <row r="98" spans="2:43" x14ac:dyDescent="0.2">
      <c r="B98" s="101">
        <v>9.42</v>
      </c>
      <c r="C98" s="98">
        <v>7.28</v>
      </c>
      <c r="D98" s="98">
        <v>4.88</v>
      </c>
      <c r="E98" s="98">
        <v>2.56</v>
      </c>
      <c r="F98" s="98">
        <v>0</v>
      </c>
      <c r="H98" s="98">
        <v>0.17380352644836272</v>
      </c>
      <c r="I98" s="98">
        <v>0.13930348258706468</v>
      </c>
      <c r="J98" s="98">
        <v>0.10810810810810811</v>
      </c>
      <c r="K98" s="98">
        <v>6.9825436408977551E-2</v>
      </c>
      <c r="L98" s="98">
        <v>4.975124378109453E-2</v>
      </c>
      <c r="N98" s="29">
        <f t="shared" si="26"/>
        <v>0.22717622080679403</v>
      </c>
      <c r="O98" s="29">
        <f t="shared" si="27"/>
        <v>0.48195329087048833</v>
      </c>
      <c r="P98" s="29">
        <f t="shared" si="28"/>
        <v>0.7282377919320594</v>
      </c>
      <c r="Q98" s="29">
        <f t="shared" si="29"/>
        <v>1</v>
      </c>
      <c r="R98" s="29"/>
      <c r="S98" s="29">
        <f t="shared" si="30"/>
        <v>0.19850025236138147</v>
      </c>
      <c r="T98" s="29">
        <f t="shared" si="31"/>
        <v>0.37798668233450838</v>
      </c>
      <c r="U98" s="29">
        <f t="shared" si="32"/>
        <v>0.59825074993675231</v>
      </c>
      <c r="V98" s="29">
        <f t="shared" si="33"/>
        <v>0.71375009012906487</v>
      </c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87">
        <v>9.14</v>
      </c>
      <c r="AJ98" s="29">
        <v>9.0399999999999991</v>
      </c>
      <c r="AK98" s="87">
        <v>8.7799999999999994</v>
      </c>
      <c r="AL98">
        <v>8.68</v>
      </c>
      <c r="AN98">
        <f t="shared" si="34"/>
        <v>9.608766169547818E-2</v>
      </c>
      <c r="AO98">
        <f t="shared" si="35"/>
        <v>0.10597729340559343</v>
      </c>
      <c r="AP98">
        <f t="shared" si="36"/>
        <v>0.13169033585189271</v>
      </c>
      <c r="AQ98">
        <f t="shared" si="37"/>
        <v>0.1415799675620078</v>
      </c>
    </row>
    <row r="99" spans="2:43" x14ac:dyDescent="0.2">
      <c r="B99" s="101">
        <v>9.98</v>
      </c>
      <c r="C99" s="98">
        <v>7.56</v>
      </c>
      <c r="D99" s="98">
        <v>5.18</v>
      </c>
      <c r="E99" s="98">
        <v>2.36</v>
      </c>
      <c r="F99" s="98">
        <v>0</v>
      </c>
      <c r="H99" s="98">
        <v>0.17444717444717445</v>
      </c>
      <c r="I99" s="98">
        <v>0.15671641791044777</v>
      </c>
      <c r="J99" s="98">
        <v>0.14105793450881612</v>
      </c>
      <c r="K99" s="98">
        <v>0.10606060606060606</v>
      </c>
      <c r="L99" s="98">
        <v>7.6726342710997444E-2</v>
      </c>
      <c r="N99" s="29">
        <f t="shared" si="26"/>
        <v>0.24248496993987984</v>
      </c>
      <c r="O99" s="29">
        <f t="shared" si="27"/>
        <v>0.48096192384769543</v>
      </c>
      <c r="P99" s="29">
        <f t="shared" si="28"/>
        <v>0.76352705410821653</v>
      </c>
      <c r="Q99" s="29">
        <f t="shared" si="29"/>
        <v>1</v>
      </c>
      <c r="R99" s="29"/>
      <c r="S99" s="29">
        <f t="shared" si="30"/>
        <v>0.10163968887954589</v>
      </c>
      <c r="T99" s="29">
        <f t="shared" si="31"/>
        <v>0.19140029091425123</v>
      </c>
      <c r="U99" s="29">
        <f t="shared" si="32"/>
        <v>0.392018779342723</v>
      </c>
      <c r="V99" s="29">
        <f t="shared" si="33"/>
        <v>0.56017434530456389</v>
      </c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87">
        <v>9.6199999999999992</v>
      </c>
      <c r="AJ99" s="29">
        <v>9.36</v>
      </c>
      <c r="AK99" s="87">
        <v>9.0399999999999991</v>
      </c>
      <c r="AL99">
        <v>8.8000000000000007</v>
      </c>
      <c r="AN99">
        <f t="shared" si="34"/>
        <v>4.8617429486925746E-2</v>
      </c>
      <c r="AO99">
        <f t="shared" si="35"/>
        <v>7.4330471933225034E-2</v>
      </c>
      <c r="AP99">
        <f t="shared" si="36"/>
        <v>0.10597729340559343</v>
      </c>
      <c r="AQ99">
        <f t="shared" si="37"/>
        <v>0.12971240950986956</v>
      </c>
    </row>
    <row r="100" spans="2:43" x14ac:dyDescent="0.2">
      <c r="B100" s="101">
        <v>9.98</v>
      </c>
      <c r="C100" s="98">
        <v>7.34</v>
      </c>
      <c r="D100" s="98">
        <v>4.4800000000000004</v>
      </c>
      <c r="E100" s="98">
        <v>2.2200000000000002</v>
      </c>
      <c r="F100" s="98">
        <v>0</v>
      </c>
      <c r="H100" s="98">
        <v>0.24456521739130435</v>
      </c>
      <c r="I100" s="98">
        <v>0.20540540540540542</v>
      </c>
      <c r="J100" s="98">
        <v>0.16802168021680217</v>
      </c>
      <c r="K100" s="98">
        <v>0.15217391304347827</v>
      </c>
      <c r="L100" s="98">
        <v>0.11748633879781421</v>
      </c>
      <c r="N100" s="29">
        <f t="shared" si="26"/>
        <v>0.26452905811623251</v>
      </c>
      <c r="O100" s="29">
        <f t="shared" si="27"/>
        <v>0.55110220440881763</v>
      </c>
      <c r="P100" s="29">
        <f t="shared" si="28"/>
        <v>0.77755511022044088</v>
      </c>
      <c r="Q100" s="29">
        <f t="shared" si="29"/>
        <v>1</v>
      </c>
      <c r="R100" s="29"/>
      <c r="S100" s="29">
        <f t="shared" si="30"/>
        <v>0.16012012012012009</v>
      </c>
      <c r="T100" s="29">
        <f t="shared" si="31"/>
        <v>0.3129780186690756</v>
      </c>
      <c r="U100" s="29">
        <f t="shared" si="32"/>
        <v>0.37777777777777777</v>
      </c>
      <c r="V100" s="29">
        <f t="shared" si="33"/>
        <v>0.5196114146933819</v>
      </c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87">
        <v>9.5</v>
      </c>
      <c r="AJ100" s="29">
        <v>9.4</v>
      </c>
      <c r="AK100" s="87">
        <v>8.92</v>
      </c>
      <c r="AL100">
        <v>8.66</v>
      </c>
      <c r="AN100">
        <f t="shared" si="34"/>
        <v>6.0484987539063811E-2</v>
      </c>
      <c r="AO100">
        <f t="shared" si="35"/>
        <v>7.0374619249178899E-2</v>
      </c>
      <c r="AP100">
        <f t="shared" si="36"/>
        <v>0.11784485145773151</v>
      </c>
      <c r="AQ100">
        <f t="shared" si="37"/>
        <v>0.14355789390403079</v>
      </c>
    </row>
    <row r="101" spans="2:43" x14ac:dyDescent="0.2">
      <c r="B101" s="101">
        <v>9.98</v>
      </c>
      <c r="C101" s="98">
        <v>7.64</v>
      </c>
      <c r="D101" s="98">
        <v>5.32</v>
      </c>
      <c r="E101" s="98">
        <v>2.5</v>
      </c>
      <c r="F101" s="98">
        <v>0</v>
      </c>
      <c r="H101" s="98">
        <v>0.2537313432835821</v>
      </c>
      <c r="I101" s="98">
        <v>0.21890547263681592</v>
      </c>
      <c r="J101" s="98">
        <v>0.16243654822335024</v>
      </c>
      <c r="K101" s="98">
        <v>0.12371134020618557</v>
      </c>
      <c r="L101" s="98">
        <v>7.6923076923076927E-2</v>
      </c>
      <c r="N101" s="29">
        <f t="shared" si="26"/>
        <v>0.23446893787575157</v>
      </c>
      <c r="O101" s="29">
        <f t="shared" si="27"/>
        <v>0.46693386773547091</v>
      </c>
      <c r="P101" s="29">
        <f t="shared" si="28"/>
        <v>0.74949899799599196</v>
      </c>
      <c r="Q101" s="29">
        <f t="shared" si="29"/>
        <v>1</v>
      </c>
      <c r="R101" s="29"/>
      <c r="S101" s="29">
        <f t="shared" si="30"/>
        <v>0.13725490196078433</v>
      </c>
      <c r="T101" s="29">
        <f t="shared" si="31"/>
        <v>0.35980889817856082</v>
      </c>
      <c r="U101" s="29">
        <f t="shared" si="32"/>
        <v>0.51243177683444507</v>
      </c>
      <c r="V101" s="29">
        <f t="shared" si="33"/>
        <v>0.69683257918552033</v>
      </c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87">
        <v>9.3000000000000007</v>
      </c>
      <c r="AJ101" s="29">
        <v>9.24</v>
      </c>
      <c r="AK101" s="87">
        <v>8.7799999999999994</v>
      </c>
      <c r="AL101">
        <v>8.6</v>
      </c>
      <c r="AN101">
        <f t="shared" si="34"/>
        <v>8.0264250959293973E-2</v>
      </c>
      <c r="AO101">
        <f t="shared" si="35"/>
        <v>8.6198029985363092E-2</v>
      </c>
      <c r="AP101">
        <f t="shared" si="36"/>
        <v>0.13169033585189271</v>
      </c>
      <c r="AQ101">
        <f t="shared" si="37"/>
        <v>0.14949167293009991</v>
      </c>
    </row>
    <row r="102" spans="2:43" x14ac:dyDescent="0.2">
      <c r="B102" s="101">
        <v>10.1</v>
      </c>
      <c r="C102" s="98">
        <v>7.66</v>
      </c>
      <c r="D102" s="98">
        <v>5.5</v>
      </c>
      <c r="E102" s="98">
        <v>2.68</v>
      </c>
      <c r="F102" s="98">
        <v>0</v>
      </c>
      <c r="H102" s="98">
        <v>0.22117647058823531</v>
      </c>
      <c r="I102" s="98">
        <v>0.18850574712643678</v>
      </c>
      <c r="J102" s="98">
        <v>0.15242494226327943</v>
      </c>
      <c r="K102" s="98">
        <v>0.11556603773584906</v>
      </c>
      <c r="L102" s="98">
        <v>8.5714285714285715E-2</v>
      </c>
      <c r="N102" s="29">
        <f t="shared" si="26"/>
        <v>0.24158415841584155</v>
      </c>
      <c r="O102" s="29">
        <f t="shared" si="27"/>
        <v>0.45544554455445541</v>
      </c>
      <c r="P102" s="29">
        <f t="shared" si="28"/>
        <v>0.73465346534653464</v>
      </c>
      <c r="Q102" s="29">
        <f t="shared" si="29"/>
        <v>1</v>
      </c>
      <c r="R102" s="29"/>
      <c r="S102" s="29">
        <f t="shared" si="30"/>
        <v>0.14771337735387632</v>
      </c>
      <c r="T102" s="29">
        <f t="shared" si="31"/>
        <v>0.31084467593730047</v>
      </c>
      <c r="U102" s="29">
        <f t="shared" si="32"/>
        <v>0.47749397832195906</v>
      </c>
      <c r="V102" s="29">
        <f t="shared" si="33"/>
        <v>0.61246200607902734</v>
      </c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87">
        <v>9.6</v>
      </c>
      <c r="AJ102" s="29">
        <v>9.4600000000000009</v>
      </c>
      <c r="AK102" s="87">
        <v>9.2200000000000006</v>
      </c>
      <c r="AL102">
        <v>9.18</v>
      </c>
      <c r="AN102">
        <f t="shared" si="34"/>
        <v>5.0595355828948731E-2</v>
      </c>
      <c r="AO102">
        <f t="shared" si="35"/>
        <v>6.444084022310978E-2</v>
      </c>
      <c r="AP102">
        <f t="shared" si="36"/>
        <v>8.8175956327386076E-2</v>
      </c>
      <c r="AQ102">
        <f t="shared" si="37"/>
        <v>9.2131809011432211E-2</v>
      </c>
    </row>
    <row r="103" spans="2:43" x14ac:dyDescent="0.2">
      <c r="B103" s="101">
        <v>9.98</v>
      </c>
      <c r="C103" s="98">
        <v>7.64</v>
      </c>
      <c r="D103" s="98">
        <v>5.24</v>
      </c>
      <c r="E103" s="98">
        <v>2.48</v>
      </c>
      <c r="F103" s="98">
        <v>0</v>
      </c>
      <c r="H103" s="98">
        <v>0.23425692695214106</v>
      </c>
      <c r="I103" s="98">
        <v>0.20638820638820637</v>
      </c>
      <c r="J103" s="98">
        <v>0.15853658536585366</v>
      </c>
      <c r="K103" s="98">
        <v>0.13936430317848411</v>
      </c>
      <c r="L103" s="98">
        <v>9.2682926829268292E-2</v>
      </c>
      <c r="N103" s="29">
        <f t="shared" si="26"/>
        <v>0.23446893787575157</v>
      </c>
      <c r="O103" s="29">
        <f t="shared" si="27"/>
        <v>0.47494989979959917</v>
      </c>
      <c r="P103" s="29">
        <f t="shared" si="28"/>
        <v>0.75150300601202402</v>
      </c>
      <c r="Q103" s="29">
        <f t="shared" si="29"/>
        <v>1</v>
      </c>
      <c r="R103" s="29"/>
      <c r="S103" s="29">
        <f t="shared" si="30"/>
        <v>0.11896647380518356</v>
      </c>
      <c r="T103" s="29">
        <f t="shared" si="31"/>
        <v>0.32323629687909783</v>
      </c>
      <c r="U103" s="29">
        <f t="shared" si="32"/>
        <v>0.40507926492625601</v>
      </c>
      <c r="V103" s="29">
        <f t="shared" si="33"/>
        <v>0.60435352740624182</v>
      </c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87">
        <v>9.5</v>
      </c>
      <c r="AJ103" s="29">
        <v>9.32</v>
      </c>
      <c r="AK103" s="87">
        <v>8.98</v>
      </c>
      <c r="AL103">
        <v>8.84</v>
      </c>
      <c r="AN103">
        <f t="shared" si="34"/>
        <v>6.0484987539063811E-2</v>
      </c>
      <c r="AO103">
        <f t="shared" si="35"/>
        <v>7.8286324617270989E-2</v>
      </c>
      <c r="AP103">
        <f t="shared" si="36"/>
        <v>0.11191107243166239</v>
      </c>
      <c r="AQ103">
        <f t="shared" si="37"/>
        <v>0.1257565568258236</v>
      </c>
    </row>
    <row r="104" spans="2:43" x14ac:dyDescent="0.2">
      <c r="B104" s="101">
        <v>10.4</v>
      </c>
      <c r="C104" s="98">
        <v>7.7</v>
      </c>
      <c r="D104" s="98">
        <v>5.22</v>
      </c>
      <c r="E104" s="98">
        <v>2.64</v>
      </c>
      <c r="F104" s="98">
        <v>0</v>
      </c>
      <c r="H104" s="98">
        <v>0.23195876288659795</v>
      </c>
      <c r="I104" s="98">
        <v>0.21079691516709512</v>
      </c>
      <c r="J104" s="98">
        <v>0.18112244897959184</v>
      </c>
      <c r="K104" s="98">
        <v>0.14175257731958762</v>
      </c>
      <c r="L104" s="98">
        <v>0.11282051282051282</v>
      </c>
      <c r="N104" s="29">
        <f t="shared" si="26"/>
        <v>0.25961538461538464</v>
      </c>
      <c r="O104" s="29">
        <f t="shared" si="27"/>
        <v>0.49807692307692314</v>
      </c>
      <c r="P104" s="29">
        <f t="shared" si="28"/>
        <v>0.74615384615384606</v>
      </c>
      <c r="Q104" s="29">
        <f t="shared" si="29"/>
        <v>1</v>
      </c>
      <c r="R104" s="29"/>
      <c r="S104" s="29">
        <f t="shared" si="30"/>
        <v>9.1231076835189981E-2</v>
      </c>
      <c r="T104" s="29">
        <f t="shared" si="31"/>
        <v>0.21916099773242631</v>
      </c>
      <c r="U104" s="29">
        <f t="shared" si="32"/>
        <v>0.38888888888888895</v>
      </c>
      <c r="V104" s="29">
        <f t="shared" si="33"/>
        <v>0.51361823361823367</v>
      </c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87">
        <v>9.7200000000000006</v>
      </c>
      <c r="AJ104" s="29">
        <v>9.58</v>
      </c>
      <c r="AK104" s="87">
        <v>9.2200000000000006</v>
      </c>
      <c r="AL104">
        <v>9.16</v>
      </c>
      <c r="AN104">
        <f t="shared" si="34"/>
        <v>3.8727797776810485E-2</v>
      </c>
      <c r="AO104">
        <f t="shared" si="35"/>
        <v>5.2573282170971708E-2</v>
      </c>
      <c r="AP104">
        <f t="shared" si="36"/>
        <v>8.8175956327386076E-2</v>
      </c>
      <c r="AQ104">
        <f t="shared" si="37"/>
        <v>9.4109735353455196E-2</v>
      </c>
    </row>
    <row r="105" spans="2:43" x14ac:dyDescent="0.2">
      <c r="B105" s="101">
        <v>10.16</v>
      </c>
      <c r="C105" s="98">
        <v>7.76</v>
      </c>
      <c r="D105" s="98">
        <v>4.96</v>
      </c>
      <c r="E105" s="98">
        <v>2.34</v>
      </c>
      <c r="F105" s="98">
        <v>0</v>
      </c>
      <c r="H105" s="98">
        <v>0.22774869109947643</v>
      </c>
      <c r="I105" s="98">
        <v>0.18015665796344649</v>
      </c>
      <c r="J105" s="98">
        <v>0.13838120104438642</v>
      </c>
      <c r="K105" s="98">
        <v>0.11052631578947368</v>
      </c>
      <c r="L105" s="98">
        <v>9.1623036649214659E-2</v>
      </c>
      <c r="N105" s="29">
        <f t="shared" si="26"/>
        <v>0.23622047244094491</v>
      </c>
      <c r="O105" s="29">
        <f t="shared" si="27"/>
        <v>0.51181102362204722</v>
      </c>
      <c r="P105" s="29">
        <f t="shared" si="28"/>
        <v>0.76968503937007871</v>
      </c>
      <c r="Q105" s="29">
        <f t="shared" si="29"/>
        <v>1</v>
      </c>
      <c r="R105" s="29"/>
      <c r="S105" s="29">
        <f t="shared" si="30"/>
        <v>0.20896731790762574</v>
      </c>
      <c r="T105" s="29">
        <f t="shared" si="31"/>
        <v>0.39239518621890096</v>
      </c>
      <c r="U105" s="29">
        <f t="shared" si="32"/>
        <v>0.51470054446460978</v>
      </c>
      <c r="V105" s="29">
        <f t="shared" si="33"/>
        <v>0.59770114942528729</v>
      </c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87">
        <v>9.5399999999999991</v>
      </c>
      <c r="AJ105" s="29">
        <v>9.34</v>
      </c>
      <c r="AK105" s="87">
        <v>9.18</v>
      </c>
      <c r="AL105">
        <v>9.08</v>
      </c>
      <c r="AN105">
        <f t="shared" si="34"/>
        <v>5.652913485501785E-2</v>
      </c>
      <c r="AO105">
        <f t="shared" si="35"/>
        <v>7.6308398275248018E-2</v>
      </c>
      <c r="AP105">
        <f t="shared" si="36"/>
        <v>9.2131809011432211E-2</v>
      </c>
      <c r="AQ105">
        <f t="shared" si="37"/>
        <v>0.1020214407215473</v>
      </c>
    </row>
    <row r="106" spans="2:43" x14ac:dyDescent="0.2">
      <c r="B106" s="101">
        <v>10.64</v>
      </c>
      <c r="C106" s="98">
        <v>7.7</v>
      </c>
      <c r="D106" s="98">
        <v>5.0599999999999996</v>
      </c>
      <c r="E106" s="98">
        <v>2.48</v>
      </c>
      <c r="F106" s="98">
        <v>0</v>
      </c>
      <c r="H106" s="98">
        <v>0.19186046511627908</v>
      </c>
      <c r="I106" s="98">
        <v>0.17183098591549295</v>
      </c>
      <c r="J106" s="98">
        <v>0.14594594594594595</v>
      </c>
      <c r="K106" s="98">
        <v>9.7625329815303433E-2</v>
      </c>
      <c r="L106" s="98">
        <v>7.4468085106382975E-2</v>
      </c>
      <c r="N106" s="29">
        <f t="shared" si="26"/>
        <v>0.27631578947368424</v>
      </c>
      <c r="O106" s="29">
        <f t="shared" si="27"/>
        <v>0.52443609022556392</v>
      </c>
      <c r="P106" s="29">
        <f t="shared" si="28"/>
        <v>0.76691729323308266</v>
      </c>
      <c r="Q106" s="29">
        <f t="shared" si="29"/>
        <v>1</v>
      </c>
      <c r="R106" s="29"/>
      <c r="S106" s="29">
        <f t="shared" si="30"/>
        <v>0.10439607341015798</v>
      </c>
      <c r="T106" s="29">
        <f t="shared" si="31"/>
        <v>0.23931203931203929</v>
      </c>
      <c r="U106" s="29">
        <f t="shared" si="32"/>
        <v>0.49116494762932761</v>
      </c>
      <c r="V106" s="29">
        <f t="shared" si="33"/>
        <v>0.6118633139909736</v>
      </c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87">
        <v>10.1</v>
      </c>
      <c r="AJ106" s="29">
        <v>9.74</v>
      </c>
      <c r="AK106" s="87">
        <v>9.36</v>
      </c>
      <c r="AL106">
        <v>9.24</v>
      </c>
      <c r="AN106">
        <f t="shared" si="34"/>
        <v>1.1471972783731394E-3</v>
      </c>
      <c r="AO106">
        <f t="shared" si="35"/>
        <v>3.6749871434787508E-2</v>
      </c>
      <c r="AP106">
        <f t="shared" si="36"/>
        <v>7.4330471933225034E-2</v>
      </c>
      <c r="AQ106">
        <f t="shared" si="37"/>
        <v>8.6198029985363092E-2</v>
      </c>
    </row>
    <row r="107" spans="2:43" x14ac:dyDescent="0.2">
      <c r="B107" s="101">
        <v>10.14</v>
      </c>
      <c r="C107" s="98">
        <v>7.44</v>
      </c>
      <c r="D107" s="98">
        <v>4.74</v>
      </c>
      <c r="E107" s="98">
        <v>2.56</v>
      </c>
      <c r="F107" s="98">
        <v>0</v>
      </c>
      <c r="H107" s="98">
        <v>0.23558897243107768</v>
      </c>
      <c r="I107" s="98">
        <v>0.19143576826196473</v>
      </c>
      <c r="J107" s="98">
        <v>0.15625</v>
      </c>
      <c r="K107" s="98">
        <v>0.12051282051282051</v>
      </c>
      <c r="L107" s="98">
        <v>9.8236775818639793E-2</v>
      </c>
      <c r="N107" s="29">
        <f t="shared" si="26"/>
        <v>0.26627218934911245</v>
      </c>
      <c r="O107" s="29">
        <f t="shared" si="27"/>
        <v>0.53254437869822491</v>
      </c>
      <c r="P107" s="29">
        <f t="shared" si="28"/>
        <v>0.74753451676528593</v>
      </c>
      <c r="Q107" s="29">
        <f t="shared" si="29"/>
        <v>1</v>
      </c>
      <c r="R107" s="29"/>
      <c r="S107" s="29">
        <f t="shared" si="30"/>
        <v>0.18741626024974539</v>
      </c>
      <c r="T107" s="29">
        <f t="shared" si="31"/>
        <v>0.33676861702127658</v>
      </c>
      <c r="U107" s="29">
        <f t="shared" si="32"/>
        <v>0.48846153846153845</v>
      </c>
      <c r="V107" s="29">
        <f t="shared" si="33"/>
        <v>0.58301623881236941</v>
      </c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87">
        <v>9.56</v>
      </c>
      <c r="AJ107" s="29">
        <v>9.44</v>
      </c>
      <c r="AK107" s="87">
        <v>8.9600000000000009</v>
      </c>
      <c r="AL107">
        <v>8.8000000000000007</v>
      </c>
      <c r="AN107">
        <f t="shared" si="34"/>
        <v>5.4551208512994692E-2</v>
      </c>
      <c r="AO107">
        <f t="shared" si="35"/>
        <v>6.6418766565132931E-2</v>
      </c>
      <c r="AP107">
        <f t="shared" si="36"/>
        <v>0.11388899877368536</v>
      </c>
      <c r="AQ107">
        <f t="shared" si="37"/>
        <v>0.12971240950986956</v>
      </c>
    </row>
    <row r="108" spans="2:43" x14ac:dyDescent="0.2">
      <c r="B108" s="101">
        <v>10.1</v>
      </c>
      <c r="C108" s="98">
        <v>7.44</v>
      </c>
      <c r="D108" s="98">
        <v>4.96</v>
      </c>
      <c r="E108" s="98">
        <v>2.58</v>
      </c>
      <c r="F108" s="98">
        <v>0</v>
      </c>
      <c r="H108" s="98">
        <v>0.22520107238605899</v>
      </c>
      <c r="I108" s="98">
        <v>0.20273972602739726</v>
      </c>
      <c r="J108" s="98">
        <v>0.16850828729281769</v>
      </c>
      <c r="K108" s="98">
        <v>0.14245810055865921</v>
      </c>
      <c r="L108" s="98">
        <v>0.10497237569060773</v>
      </c>
      <c r="N108" s="29">
        <f t="shared" si="26"/>
        <v>0.26336633663366332</v>
      </c>
      <c r="O108" s="29">
        <f t="shared" si="27"/>
        <v>0.50891089108910892</v>
      </c>
      <c r="P108" s="29">
        <f t="shared" si="28"/>
        <v>0.74455445544554455</v>
      </c>
      <c r="Q108" s="29">
        <f t="shared" si="29"/>
        <v>1</v>
      </c>
      <c r="R108" s="29"/>
      <c r="S108" s="29">
        <f t="shared" si="30"/>
        <v>9.9739073711676493E-2</v>
      </c>
      <c r="T108" s="29">
        <f t="shared" si="31"/>
        <v>0.25174296237832144</v>
      </c>
      <c r="U108" s="29">
        <f t="shared" si="32"/>
        <v>0.36741819632881095</v>
      </c>
      <c r="V108" s="29">
        <f t="shared" si="33"/>
        <v>0.53387266508813469</v>
      </c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87">
        <v>9.56</v>
      </c>
      <c r="AJ108" s="29">
        <v>9.34</v>
      </c>
      <c r="AK108" s="87">
        <v>9.0399999999999991</v>
      </c>
      <c r="AL108">
        <v>8.9600000000000009</v>
      </c>
      <c r="AN108">
        <f t="shared" si="34"/>
        <v>5.4551208512994692E-2</v>
      </c>
      <c r="AO108">
        <f t="shared" si="35"/>
        <v>7.6308398275248018E-2</v>
      </c>
      <c r="AP108">
        <f t="shared" si="36"/>
        <v>0.10597729340559343</v>
      </c>
      <c r="AQ108">
        <f t="shared" si="37"/>
        <v>0.11388899877368536</v>
      </c>
    </row>
  </sheetData>
  <mergeCells count="11">
    <mergeCell ref="AS2:AU2"/>
    <mergeCell ref="BC2:BE2"/>
    <mergeCell ref="B1:F1"/>
    <mergeCell ref="N1:Q1"/>
    <mergeCell ref="H1:L1"/>
    <mergeCell ref="S1:V1"/>
    <mergeCell ref="AI2:AK2"/>
    <mergeCell ref="C2:F2"/>
    <mergeCell ref="I2:L2"/>
    <mergeCell ref="N2:Q2"/>
    <mergeCell ref="S2:V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7" tint="0.59999389629810485"/>
  </sheetPr>
  <dimension ref="B2:J7"/>
  <sheetViews>
    <sheetView showGridLines="0" workbookViewId="0">
      <selection activeCell="I28" sqref="I28"/>
    </sheetView>
  </sheetViews>
  <sheetFormatPr baseColWidth="10" defaultColWidth="8.83203125" defaultRowHeight="15" x14ac:dyDescent="0.2"/>
  <cols>
    <col min="2" max="2" width="13.1640625" bestFit="1" customWidth="1"/>
    <col min="7" max="7" width="13.1640625" bestFit="1" customWidth="1"/>
  </cols>
  <sheetData>
    <row r="2" spans="2:10" x14ac:dyDescent="0.2">
      <c r="C2" s="102" t="s">
        <v>42</v>
      </c>
      <c r="D2" s="102" t="s">
        <v>86</v>
      </c>
      <c r="E2" s="102" t="s">
        <v>87</v>
      </c>
      <c r="H2" s="102" t="s">
        <v>88</v>
      </c>
      <c r="I2" s="102" t="s">
        <v>86</v>
      </c>
      <c r="J2" s="102" t="s">
        <v>87</v>
      </c>
    </row>
    <row r="3" spans="2:10" x14ac:dyDescent="0.2">
      <c r="B3" t="str">
        <f t="array" ref="B3:E7">TRANSPOSE(Analysis!B3:F7)</f>
        <v>No Intervention</v>
      </c>
      <c r="C3" s="110">
        <v>10.111599999999997</v>
      </c>
      <c r="D3" s="110">
        <v>9.4495000000000005</v>
      </c>
      <c r="E3" s="110">
        <v>0</v>
      </c>
      <c r="G3" t="str">
        <f t="array" ref="G3:J7">TRANSPOSE(Analysis!H3:L7)</f>
        <v>No Intervention</v>
      </c>
      <c r="H3" s="109">
        <v>0.22343911085008339</v>
      </c>
      <c r="I3" s="109">
        <v>0.1763209474892892</v>
      </c>
      <c r="J3" s="109">
        <v>0</v>
      </c>
    </row>
    <row r="4" spans="2:10" x14ac:dyDescent="0.2">
      <c r="B4">
        <v>0.25</v>
      </c>
      <c r="C4" s="110">
        <v>7.6157999999999992</v>
      </c>
      <c r="D4" s="110">
        <v>7.0874999999999995</v>
      </c>
      <c r="E4" s="110">
        <v>0</v>
      </c>
      <c r="G4">
        <v>0.25</v>
      </c>
      <c r="H4" s="109">
        <v>0.19307330064325057</v>
      </c>
      <c r="I4" s="109">
        <v>0.1531421535935977</v>
      </c>
      <c r="J4" s="109">
        <v>0</v>
      </c>
    </row>
    <row r="5" spans="2:10" x14ac:dyDescent="0.2">
      <c r="B5">
        <v>0.5</v>
      </c>
      <c r="C5" s="110">
        <v>5.0872000000000002</v>
      </c>
      <c r="D5" s="110">
        <v>4.5190000000000001</v>
      </c>
      <c r="E5" s="110">
        <v>0</v>
      </c>
      <c r="G5">
        <v>0.5</v>
      </c>
      <c r="H5" s="109">
        <v>0.15504840890395374</v>
      </c>
      <c r="I5" s="109">
        <v>0.12402782983508247</v>
      </c>
      <c r="J5" s="109">
        <v>0</v>
      </c>
    </row>
    <row r="6" spans="2:10" x14ac:dyDescent="0.2">
      <c r="B6">
        <v>0.75</v>
      </c>
      <c r="C6" s="110">
        <v>2.5164</v>
      </c>
      <c r="D6" s="110">
        <v>2.1180000000000003</v>
      </c>
      <c r="E6" s="110">
        <v>0</v>
      </c>
      <c r="G6">
        <v>0.75</v>
      </c>
      <c r="H6" s="109">
        <v>0.12055232137014223</v>
      </c>
      <c r="I6" s="109">
        <v>7.0673699383255406E-2</v>
      </c>
      <c r="J6" s="109">
        <v>0</v>
      </c>
    </row>
    <row r="7" spans="2:10" x14ac:dyDescent="0.2">
      <c r="B7">
        <v>1</v>
      </c>
      <c r="C7" s="110">
        <v>0</v>
      </c>
      <c r="D7" s="110">
        <v>0</v>
      </c>
      <c r="E7" s="110">
        <v>0</v>
      </c>
      <c r="G7">
        <v>1</v>
      </c>
      <c r="H7" s="109">
        <v>8.982680891646147E-2</v>
      </c>
      <c r="I7" s="109">
        <v>5.3266699845167E-2</v>
      </c>
      <c r="J7" s="109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9" tint="0.79998168889431442"/>
  </sheetPr>
  <dimension ref="B2:R4426"/>
  <sheetViews>
    <sheetView showGridLines="0" topLeftCell="A42" workbookViewId="0">
      <selection activeCell="B65" sqref="B65"/>
    </sheetView>
  </sheetViews>
  <sheetFormatPr baseColWidth="10" defaultColWidth="8.83203125" defaultRowHeight="15" x14ac:dyDescent="0.2"/>
  <cols>
    <col min="2" max="2" width="19.83203125" customWidth="1"/>
    <col min="3" max="3" width="16.6640625" customWidth="1"/>
    <col min="4" max="4" width="12.33203125" style="161" customWidth="1"/>
    <col min="5" max="7" width="16.6640625" customWidth="1"/>
  </cols>
  <sheetData>
    <row r="2" spans="2:18" x14ac:dyDescent="0.2">
      <c r="B2" s="226" t="s">
        <v>101</v>
      </c>
      <c r="C2" s="226"/>
      <c r="D2" s="226"/>
      <c r="E2" s="226"/>
      <c r="F2" s="226"/>
      <c r="G2" s="226"/>
    </row>
    <row r="3" spans="2:18" ht="60" x14ac:dyDescent="0.2">
      <c r="B3" s="133" t="s">
        <v>92</v>
      </c>
      <c r="C3" s="133" t="s">
        <v>93</v>
      </c>
      <c r="D3" s="133" t="s">
        <v>121</v>
      </c>
      <c r="E3" s="133" t="s">
        <v>117</v>
      </c>
      <c r="F3" s="133" t="s">
        <v>94</v>
      </c>
      <c r="G3" s="133" t="s">
        <v>100</v>
      </c>
      <c r="H3" s="133" t="s">
        <v>86</v>
      </c>
      <c r="I3" s="133" t="s">
        <v>87</v>
      </c>
    </row>
    <row r="4" spans="2:18" x14ac:dyDescent="0.2">
      <c r="B4" s="102" t="s">
        <v>17</v>
      </c>
      <c r="C4" s="131">
        <f>D4/E4</f>
        <v>2.7805362462760674E-2</v>
      </c>
      <c r="D4" s="102">
        <v>28</v>
      </c>
      <c r="E4" s="102">
        <v>1007</v>
      </c>
      <c r="F4" s="102">
        <v>3</v>
      </c>
      <c r="G4" s="131">
        <f>_xlfn.NORM.S.INV(1-0.05/2)*SQRT(1/E4*C4*(1-C4))</f>
        <v>1.0154867163961044E-2</v>
      </c>
      <c r="H4" s="131">
        <f>C4-G4</f>
        <v>1.765049529879963E-2</v>
      </c>
      <c r="I4" s="131">
        <f>C4+G4</f>
        <v>3.7960229626721714E-2</v>
      </c>
      <c r="J4" s="165"/>
      <c r="O4" s="156" t="s">
        <v>108</v>
      </c>
      <c r="P4" s="156">
        <v>0.75</v>
      </c>
    </row>
    <row r="5" spans="2:18" x14ac:dyDescent="0.2">
      <c r="B5" s="102" t="s">
        <v>95</v>
      </c>
      <c r="C5" s="131">
        <f t="shared" ref="C5:C10" si="0">D5/E5</f>
        <v>6.5263157894736842E-2</v>
      </c>
      <c r="D5" s="102">
        <v>62</v>
      </c>
      <c r="E5" s="102">
        <v>950</v>
      </c>
      <c r="F5" s="102">
        <v>3</v>
      </c>
      <c r="G5" s="131">
        <f t="shared" ref="G5:G9" si="1">_xlfn.NORM.S.INV(1-0.05/2)*SQRT(1/E5*C5*(1-C5))</f>
        <v>1.5705978938191759E-2</v>
      </c>
      <c r="H5" s="131">
        <f t="shared" ref="H5:H9" si="2">C5-G5</f>
        <v>4.9557178956545087E-2</v>
      </c>
      <c r="I5" s="131">
        <f t="shared" ref="I5:I9" si="3">C5+G5</f>
        <v>8.0969136832928598E-2</v>
      </c>
      <c r="J5" s="165"/>
      <c r="O5" s="156" t="s">
        <v>109</v>
      </c>
      <c r="P5" s="156">
        <v>3</v>
      </c>
    </row>
    <row r="6" spans="2:18" x14ac:dyDescent="0.2">
      <c r="B6" s="102" t="s">
        <v>96</v>
      </c>
      <c r="C6" s="131">
        <f t="shared" si="0"/>
        <v>7.0057581573896355E-2</v>
      </c>
      <c r="D6" s="102">
        <v>73</v>
      </c>
      <c r="E6" s="102">
        <v>1042</v>
      </c>
      <c r="F6" s="102">
        <v>5</v>
      </c>
      <c r="G6" s="131">
        <f t="shared" si="1"/>
        <v>1.5497792119419431E-2</v>
      </c>
      <c r="H6" s="131">
        <f t="shared" si="2"/>
        <v>5.4559789454476926E-2</v>
      </c>
      <c r="I6" s="131">
        <f t="shared" si="3"/>
        <v>8.5555373693315784E-2</v>
      </c>
      <c r="J6" s="165"/>
    </row>
    <row r="7" spans="2:18" x14ac:dyDescent="0.2">
      <c r="B7" s="102" t="s">
        <v>97</v>
      </c>
      <c r="C7" s="131">
        <f t="shared" si="0"/>
        <v>5.33462657613967E-2</v>
      </c>
      <c r="D7" s="102">
        <v>55</v>
      </c>
      <c r="E7" s="102">
        <v>1031</v>
      </c>
      <c r="F7" s="102">
        <v>4</v>
      </c>
      <c r="G7" s="131">
        <f t="shared" si="1"/>
        <v>1.3717227664613699E-2</v>
      </c>
      <c r="H7" s="131">
        <f t="shared" si="2"/>
        <v>3.9629038096783004E-2</v>
      </c>
      <c r="I7" s="131">
        <f t="shared" si="3"/>
        <v>6.7063493426010395E-2</v>
      </c>
      <c r="J7" s="165"/>
      <c r="P7" t="b">
        <v>1</v>
      </c>
      <c r="Q7" t="s">
        <v>112</v>
      </c>
      <c r="R7" s="139" t="s">
        <v>112</v>
      </c>
    </row>
    <row r="8" spans="2:18" x14ac:dyDescent="0.2">
      <c r="B8" s="102" t="s">
        <v>98</v>
      </c>
      <c r="C8" s="131">
        <f t="shared" si="0"/>
        <v>2.2909507445589918E-2</v>
      </c>
      <c r="D8" s="102">
        <v>20</v>
      </c>
      <c r="E8" s="102">
        <v>873</v>
      </c>
      <c r="F8" s="102">
        <v>0</v>
      </c>
      <c r="G8" s="131">
        <f t="shared" si="1"/>
        <v>9.9246737409492136E-3</v>
      </c>
      <c r="H8" s="131">
        <f t="shared" si="2"/>
        <v>1.2984833704640705E-2</v>
      </c>
      <c r="I8" s="131">
        <f t="shared" si="3"/>
        <v>3.2834181186539135E-2</v>
      </c>
      <c r="J8" s="165"/>
      <c r="O8" s="155" t="s">
        <v>110</v>
      </c>
      <c r="P8" s="157">
        <f>P4/P5</f>
        <v>0.25</v>
      </c>
      <c r="Q8" s="158" t="e">
        <f ca="1">AVERAGE(Q11:Q9999)</f>
        <v>#VALUE!</v>
      </c>
      <c r="R8" s="158">
        <f ca="1">AVERAGE(R11:R9999)</f>
        <v>9.6930840287006825E-2</v>
      </c>
    </row>
    <row r="9" spans="2:18" x14ac:dyDescent="0.2">
      <c r="B9" s="32" t="s">
        <v>99</v>
      </c>
      <c r="C9" s="132">
        <f t="shared" si="0"/>
        <v>5.1413881748071976E-3</v>
      </c>
      <c r="D9" s="32">
        <v>4</v>
      </c>
      <c r="E9" s="32">
        <v>778</v>
      </c>
      <c r="F9" s="32">
        <v>3</v>
      </c>
      <c r="G9" s="132">
        <f t="shared" si="1"/>
        <v>5.0254987759171706E-3</v>
      </c>
      <c r="H9" s="132">
        <f t="shared" si="2"/>
        <v>1.1588939889002701E-4</v>
      </c>
      <c r="I9" s="132">
        <f t="shared" si="3"/>
        <v>1.0166886950724367E-2</v>
      </c>
      <c r="J9" s="165"/>
      <c r="O9" s="155" t="s">
        <v>111</v>
      </c>
      <c r="P9" s="157">
        <f>SQRT(P4/P5^2)</f>
        <v>0.28867513459481287</v>
      </c>
      <c r="Q9" s="158" t="e">
        <f ca="1">_xlfn.STDEV.S(Q11:Q9999)</f>
        <v>#VALUE!</v>
      </c>
      <c r="R9" s="158">
        <f ca="1">_xlfn.STDEV.S(R11:R9999)</f>
        <v>1.1881886794349851E-2</v>
      </c>
    </row>
    <row r="10" spans="2:18" x14ac:dyDescent="0.2">
      <c r="B10" s="135" t="s">
        <v>66</v>
      </c>
      <c r="C10" s="131">
        <f t="shared" si="0"/>
        <v>4.2598134131314906E-2</v>
      </c>
      <c r="D10" s="102">
        <f>SUM(D4:D9)</f>
        <v>242</v>
      </c>
      <c r="E10" s="102">
        <f>SUM(E4:E9)</f>
        <v>5681</v>
      </c>
      <c r="F10" s="102">
        <f>SUM(F4:F9)</f>
        <v>18</v>
      </c>
      <c r="G10" s="131">
        <f t="shared" ref="G10" si="4">_xlfn.NORM.S.INV(1-0.05/2)*SQRT(1/E10*C10*(1-C10))</f>
        <v>5.2514365133959741E-3</v>
      </c>
      <c r="H10" s="131">
        <f t="shared" ref="H10" si="5">C10-G10</f>
        <v>3.7346697617918929E-2</v>
      </c>
      <c r="I10" s="131">
        <f t="shared" ref="I10" si="6">C10+G10</f>
        <v>4.7849570644710883E-2</v>
      </c>
    </row>
    <row r="11" spans="2:18" x14ac:dyDescent="0.2">
      <c r="Q11" t="e">
        <f ca="1">SampleGamma($P$4,$P$5, RAND())</f>
        <v>#VALUE!</v>
      </c>
      <c r="R11">
        <f ca="1">_xlfn.GAMMA.INV(RAND(),$P$4,1/$P$5)</f>
        <v>8.8529077561431149E-2</v>
      </c>
    </row>
    <row r="12" spans="2:18" x14ac:dyDescent="0.2">
      <c r="Q12" s="139" t="e">
        <f ca="1">SampleGamma($P$4,$P$5, RAND())</f>
        <v>#VALUE!</v>
      </c>
      <c r="R12" s="139">
        <f ca="1">_xlfn.GAMMA.INV(RAND(),$P$4,1/$P$5)</f>
        <v>0.10533260301258249</v>
      </c>
    </row>
    <row r="13" spans="2:18" x14ac:dyDescent="0.2">
      <c r="P13" s="139"/>
      <c r="Q13" s="139"/>
      <c r="R13" s="139"/>
    </row>
    <row r="14" spans="2:18" x14ac:dyDescent="0.2">
      <c r="B14" s="159" t="s">
        <v>103</v>
      </c>
      <c r="C14" s="159"/>
      <c r="D14" s="159"/>
      <c r="E14" s="159"/>
      <c r="F14" s="159"/>
      <c r="G14" s="159"/>
      <c r="H14" s="138"/>
      <c r="I14" s="138"/>
      <c r="P14" s="139"/>
      <c r="Q14" s="139"/>
      <c r="R14" s="139"/>
    </row>
    <row r="15" spans="2:18" ht="60" x14ac:dyDescent="0.2">
      <c r="B15" s="133" t="s">
        <v>92</v>
      </c>
      <c r="C15" s="133" t="s">
        <v>118</v>
      </c>
      <c r="D15" s="133" t="s">
        <v>121</v>
      </c>
      <c r="E15" s="133" t="s">
        <v>117</v>
      </c>
      <c r="F15" s="133" t="s">
        <v>94</v>
      </c>
      <c r="G15" s="133" t="s">
        <v>100</v>
      </c>
      <c r="H15" s="133" t="s">
        <v>86</v>
      </c>
      <c r="I15" s="133" t="s">
        <v>87</v>
      </c>
      <c r="P15" s="139"/>
      <c r="Q15" s="139"/>
      <c r="R15" s="139"/>
    </row>
    <row r="16" spans="2:18" x14ac:dyDescent="0.2">
      <c r="B16" s="102" t="s">
        <v>17</v>
      </c>
      <c r="C16" s="109">
        <f>D16/E16</f>
        <v>3.8580246913580245E-2</v>
      </c>
      <c r="D16" s="102">
        <v>25</v>
      </c>
      <c r="E16" s="102">
        <v>648</v>
      </c>
      <c r="F16" s="102">
        <v>1</v>
      </c>
      <c r="G16" s="131">
        <f>_xlfn.NORM.S.INV(1-0.05/2)*SQRT(1/E16*C16*(1-C16))</f>
        <v>1.4828581548244624E-2</v>
      </c>
      <c r="H16" s="131">
        <f>C16-G16</f>
        <v>2.3751665365335621E-2</v>
      </c>
      <c r="I16" s="131">
        <f>C16+G16</f>
        <v>5.3408828461824868E-2</v>
      </c>
      <c r="P16" s="139"/>
      <c r="Q16" s="139"/>
      <c r="R16" s="139"/>
    </row>
    <row r="17" spans="2:18" x14ac:dyDescent="0.2">
      <c r="B17" s="102" t="s">
        <v>95</v>
      </c>
      <c r="C17" s="109">
        <f t="shared" ref="C17:C21" si="7">D17/E17</f>
        <v>0.25752508361204013</v>
      </c>
      <c r="D17" s="102">
        <v>77</v>
      </c>
      <c r="E17" s="102">
        <v>299</v>
      </c>
      <c r="F17" s="102">
        <v>3</v>
      </c>
      <c r="G17" s="131">
        <f t="shared" ref="G17:G22" si="8">_xlfn.NORM.S.INV(1-0.05/2)*SQRT(1/E17*C17*(1-C17))</f>
        <v>4.9563635946013887E-2</v>
      </c>
      <c r="H17" s="131">
        <f t="shared" ref="H17:H22" si="9">C17-G17</f>
        <v>0.20796144766602626</v>
      </c>
      <c r="I17" s="131">
        <f t="shared" ref="I17:I22" si="10">C17+G17</f>
        <v>0.307088719558054</v>
      </c>
      <c r="P17" s="139"/>
      <c r="Q17" s="139"/>
      <c r="R17" s="139"/>
    </row>
    <row r="18" spans="2:18" x14ac:dyDescent="0.2">
      <c r="B18" s="102" t="s">
        <v>96</v>
      </c>
      <c r="C18" s="109">
        <f t="shared" si="7"/>
        <v>0.37</v>
      </c>
      <c r="D18" s="102">
        <v>111</v>
      </c>
      <c r="E18" s="102">
        <v>300</v>
      </c>
      <c r="F18" s="102">
        <v>0</v>
      </c>
      <c r="G18" s="131">
        <f t="shared" si="8"/>
        <v>5.4633446749032179E-2</v>
      </c>
      <c r="H18" s="131">
        <f t="shared" si="9"/>
        <v>0.3153665532509678</v>
      </c>
      <c r="I18" s="131">
        <f t="shared" si="10"/>
        <v>0.4246334467490322</v>
      </c>
      <c r="P18" s="139"/>
      <c r="Q18" s="139"/>
      <c r="R18" s="139"/>
    </row>
    <row r="19" spans="2:18" x14ac:dyDescent="0.2">
      <c r="B19" s="102" t="s">
        <v>97</v>
      </c>
      <c r="C19" s="109">
        <f t="shared" si="7"/>
        <v>0.45787545787545786</v>
      </c>
      <c r="D19" s="102">
        <v>125</v>
      </c>
      <c r="E19" s="102">
        <v>273</v>
      </c>
      <c r="F19" s="102">
        <v>2</v>
      </c>
      <c r="G19" s="131">
        <f t="shared" si="8"/>
        <v>5.9100340722220999E-2</v>
      </c>
      <c r="H19" s="131">
        <f t="shared" si="9"/>
        <v>0.39877511715323688</v>
      </c>
      <c r="I19" s="131">
        <f t="shared" si="10"/>
        <v>0.51697579859767884</v>
      </c>
      <c r="P19" s="139"/>
      <c r="Q19" s="139"/>
      <c r="R19" s="139"/>
    </row>
    <row r="20" spans="2:18" x14ac:dyDescent="0.2">
      <c r="B20" s="102" t="s">
        <v>98</v>
      </c>
      <c r="C20" s="109">
        <f t="shared" si="7"/>
        <v>0.39366515837104071</v>
      </c>
      <c r="D20" s="102">
        <v>87</v>
      </c>
      <c r="E20" s="102">
        <v>221</v>
      </c>
      <c r="F20" s="102">
        <v>2</v>
      </c>
      <c r="G20" s="131">
        <f t="shared" si="8"/>
        <v>6.4412729965457161E-2</v>
      </c>
      <c r="H20" s="131">
        <f t="shared" si="9"/>
        <v>0.32925242840558355</v>
      </c>
      <c r="I20" s="131">
        <f t="shared" si="10"/>
        <v>0.45807788833649787</v>
      </c>
      <c r="P20" s="139"/>
      <c r="Q20" s="139"/>
      <c r="R20" s="139"/>
    </row>
    <row r="21" spans="2:18" x14ac:dyDescent="0.2">
      <c r="B21" s="32" t="s">
        <v>99</v>
      </c>
      <c r="C21" s="174">
        <f t="shared" si="7"/>
        <v>0.40883977900552487</v>
      </c>
      <c r="D21" s="32">
        <v>74</v>
      </c>
      <c r="E21" s="32">
        <v>181</v>
      </c>
      <c r="F21" s="32">
        <v>0</v>
      </c>
      <c r="G21" s="132">
        <f t="shared" si="8"/>
        <v>7.1620603700779953E-2</v>
      </c>
      <c r="H21" s="132">
        <f t="shared" si="9"/>
        <v>0.33721917530474493</v>
      </c>
      <c r="I21" s="132">
        <f t="shared" si="10"/>
        <v>0.48046038270630481</v>
      </c>
      <c r="P21" s="139"/>
      <c r="Q21" s="139"/>
      <c r="R21" s="139"/>
    </row>
    <row r="22" spans="2:18" x14ac:dyDescent="0.2">
      <c r="B22" s="135" t="s">
        <v>66</v>
      </c>
      <c r="C22" s="109">
        <f>SUMPRODUCT(C16:C21,E16:E21)/SUM(E16:E21)</f>
        <v>0.25962539021852238</v>
      </c>
      <c r="D22" s="102">
        <f>SUM(D16:D21)</f>
        <v>499</v>
      </c>
      <c r="E22" s="102">
        <f>SUM(E16:E21)</f>
        <v>1922</v>
      </c>
      <c r="F22" s="102">
        <f>SUM(F16:F21)</f>
        <v>8</v>
      </c>
      <c r="G22" s="131">
        <f t="shared" si="8"/>
        <v>1.9600661966092867E-2</v>
      </c>
      <c r="H22" s="131">
        <f t="shared" si="9"/>
        <v>0.24002472825242951</v>
      </c>
      <c r="I22" s="131">
        <f t="shared" si="10"/>
        <v>0.27922605218461527</v>
      </c>
      <c r="P22" s="139"/>
      <c r="Q22" s="139"/>
      <c r="R22" s="139"/>
    </row>
    <row r="23" spans="2:18" x14ac:dyDescent="0.2">
      <c r="P23" s="139"/>
      <c r="Q23" s="139"/>
      <c r="R23" s="139"/>
    </row>
    <row r="24" spans="2:18" x14ac:dyDescent="0.2">
      <c r="P24" s="139"/>
      <c r="Q24" s="139"/>
      <c r="R24" s="139"/>
    </row>
    <row r="25" spans="2:18" x14ac:dyDescent="0.2">
      <c r="B25" s="159" t="s">
        <v>116</v>
      </c>
      <c r="C25" s="159"/>
      <c r="D25" s="159"/>
      <c r="E25" s="159"/>
      <c r="F25" s="159"/>
      <c r="G25" s="159"/>
      <c r="H25" s="161"/>
      <c r="I25" s="161"/>
      <c r="P25" s="139"/>
      <c r="Q25" s="139"/>
      <c r="R25" s="139"/>
    </row>
    <row r="26" spans="2:18" ht="60" x14ac:dyDescent="0.2">
      <c r="B26" s="133" t="s">
        <v>92</v>
      </c>
      <c r="C26" s="133" t="s">
        <v>118</v>
      </c>
      <c r="D26" s="133" t="s">
        <v>121</v>
      </c>
      <c r="E26" s="133" t="s">
        <v>117</v>
      </c>
      <c r="F26" s="133" t="s">
        <v>94</v>
      </c>
      <c r="G26" s="133" t="s">
        <v>100</v>
      </c>
      <c r="H26" s="133" t="s">
        <v>86</v>
      </c>
      <c r="I26" s="133" t="s">
        <v>87</v>
      </c>
      <c r="P26" s="139"/>
      <c r="Q26" s="139"/>
      <c r="R26" s="139"/>
    </row>
    <row r="27" spans="2:18" x14ac:dyDescent="0.2">
      <c r="B27" s="166" t="str">
        <f>Parameters!B16</f>
        <v>Sexually Inactive</v>
      </c>
      <c r="C27" s="109">
        <f>D27/E27</f>
        <v>0.38565400843881859</v>
      </c>
      <c r="D27" s="102">
        <v>457</v>
      </c>
      <c r="E27" s="102">
        <v>1185</v>
      </c>
      <c r="F27" s="102">
        <v>10</v>
      </c>
      <c r="G27" s="131">
        <f>_xlfn.NORM.S.INV(1-0.05/2)*SQRT(1/E27*C27*(1-C27))</f>
        <v>2.7713690029959364E-2</v>
      </c>
      <c r="H27" s="131">
        <f>C27-G27</f>
        <v>0.3579403184088592</v>
      </c>
      <c r="I27" s="131">
        <f>C27+G27</f>
        <v>0.41336769846877797</v>
      </c>
      <c r="P27" s="139"/>
      <c r="Q27" s="139"/>
      <c r="R27" s="139"/>
    </row>
    <row r="28" spans="2:18" x14ac:dyDescent="0.2">
      <c r="B28" s="166" t="str">
        <f>Parameters!B17</f>
        <v>Careful sex</v>
      </c>
      <c r="C28" s="109">
        <f t="shared" ref="C28:C31" si="11">D28/E28</f>
        <v>0.69142066420664205</v>
      </c>
      <c r="D28" s="102">
        <v>1499</v>
      </c>
      <c r="E28" s="102">
        <v>2168</v>
      </c>
      <c r="F28" s="102">
        <v>17</v>
      </c>
      <c r="G28" s="131">
        <f t="shared" ref="G28:G31" si="12">_xlfn.NORM.S.INV(1-0.05/2)*SQRT(1/E28*C28*(1-C28))</f>
        <v>1.9443437549874262E-2</v>
      </c>
      <c r="H28" s="131">
        <f t="shared" ref="H28:H31" si="13">C28-G28</f>
        <v>0.67197722665676785</v>
      </c>
      <c r="I28" s="131">
        <f t="shared" ref="I28:I31" si="14">C28+G28</f>
        <v>0.71086410175651626</v>
      </c>
      <c r="P28" s="139"/>
      <c r="Q28" s="139"/>
      <c r="R28" s="139"/>
    </row>
    <row r="29" spans="2:18" x14ac:dyDescent="0.2">
      <c r="B29" s="166" t="str">
        <f>Parameters!B18</f>
        <v>Unsafe Sex</v>
      </c>
      <c r="C29" s="109">
        <f t="shared" si="11"/>
        <v>0.59506531204644408</v>
      </c>
      <c r="D29" s="102">
        <v>410</v>
      </c>
      <c r="E29" s="102">
        <v>689</v>
      </c>
      <c r="F29" s="102">
        <v>9</v>
      </c>
      <c r="G29" s="131">
        <f t="shared" si="12"/>
        <v>3.6653317441606249E-2</v>
      </c>
      <c r="H29" s="131">
        <f t="shared" si="13"/>
        <v>0.55841199460483781</v>
      </c>
      <c r="I29" s="131">
        <f t="shared" si="14"/>
        <v>0.63171862948805035</v>
      </c>
      <c r="P29" s="139"/>
      <c r="Q29" s="139"/>
      <c r="R29" s="139"/>
    </row>
    <row r="30" spans="2:18" x14ac:dyDescent="0.2">
      <c r="B30" s="167" t="str">
        <f>Parameters!B19</f>
        <v>Seeking Pregnancy</v>
      </c>
      <c r="C30" s="174">
        <f t="shared" si="11"/>
        <v>0.6333333333333333</v>
      </c>
      <c r="D30" s="32">
        <v>152</v>
      </c>
      <c r="E30" s="32">
        <v>240</v>
      </c>
      <c r="F30" s="32">
        <v>0</v>
      </c>
      <c r="G30" s="132">
        <f t="shared" si="12"/>
        <v>6.0966934478068606E-2</v>
      </c>
      <c r="H30" s="132">
        <f t="shared" si="13"/>
        <v>0.57236639885526475</v>
      </c>
      <c r="I30" s="132">
        <f t="shared" si="14"/>
        <v>0.69430026781140186</v>
      </c>
      <c r="P30" s="139"/>
      <c r="Q30" s="139"/>
      <c r="R30" s="139"/>
    </row>
    <row r="31" spans="2:18" x14ac:dyDescent="0.2">
      <c r="B31" s="176" t="s">
        <v>66</v>
      </c>
      <c r="C31" s="109">
        <f t="shared" si="11"/>
        <v>0.58804297057449795</v>
      </c>
      <c r="D31" s="102">
        <f>SUM(D27:D30)</f>
        <v>2518</v>
      </c>
      <c r="E31" s="102">
        <f>SUM(E27:E30)</f>
        <v>4282</v>
      </c>
      <c r="F31" s="102">
        <f>SUM(F27:F30)</f>
        <v>36</v>
      </c>
      <c r="G31" s="131">
        <f t="shared" si="12"/>
        <v>1.4741960726111907E-2</v>
      </c>
      <c r="H31" s="131">
        <f t="shared" si="13"/>
        <v>0.57330100984838606</v>
      </c>
      <c r="I31" s="131">
        <f t="shared" si="14"/>
        <v>0.60278493130060984</v>
      </c>
      <c r="P31" s="139"/>
      <c r="Q31" s="139"/>
      <c r="R31" s="139"/>
    </row>
    <row r="32" spans="2:18" x14ac:dyDescent="0.2">
      <c r="P32" s="139"/>
      <c r="Q32" s="139"/>
      <c r="R32" s="139"/>
    </row>
    <row r="33" spans="2:18" x14ac:dyDescent="0.2">
      <c r="P33" s="139"/>
      <c r="Q33" s="139"/>
      <c r="R33" s="139"/>
    </row>
    <row r="34" spans="2:18" x14ac:dyDescent="0.2">
      <c r="B34" s="159" t="s">
        <v>116</v>
      </c>
      <c r="C34" s="159"/>
      <c r="D34" s="159"/>
      <c r="E34" s="159"/>
      <c r="F34" s="159"/>
      <c r="G34" s="159"/>
      <c r="H34" s="161"/>
      <c r="I34" s="161"/>
      <c r="P34" s="139"/>
      <c r="Q34" s="139"/>
      <c r="R34" s="139"/>
    </row>
    <row r="35" spans="2:18" ht="60" x14ac:dyDescent="0.2">
      <c r="B35" s="133" t="s">
        <v>92</v>
      </c>
      <c r="C35" s="133" t="s">
        <v>118</v>
      </c>
      <c r="D35" s="133" t="s">
        <v>121</v>
      </c>
      <c r="E35" s="133" t="s">
        <v>117</v>
      </c>
      <c r="F35" s="133" t="s">
        <v>94</v>
      </c>
      <c r="G35" s="133" t="s">
        <v>100</v>
      </c>
      <c r="H35" s="133" t="s">
        <v>86</v>
      </c>
      <c r="I35" s="133" t="s">
        <v>87</v>
      </c>
      <c r="P35" s="139"/>
      <c r="Q35" s="139"/>
      <c r="R35" s="139"/>
    </row>
    <row r="36" spans="2:18" x14ac:dyDescent="0.2">
      <c r="B36" s="166" t="str">
        <f>B16</f>
        <v>15-19</v>
      </c>
      <c r="C36" s="109">
        <f>D36/E36</f>
        <v>0.34583333333333333</v>
      </c>
      <c r="D36" s="172">
        <v>332</v>
      </c>
      <c r="E36" s="102">
        <v>960</v>
      </c>
      <c r="F36" s="102">
        <v>8</v>
      </c>
      <c r="G36" s="131">
        <f>_xlfn.NORM.S.INV(1-0.05/2)*SQRT(1/E36*C36*(1-C36))</f>
        <v>3.0087777248906634E-2</v>
      </c>
      <c r="H36" s="131">
        <f>C36-G36</f>
        <v>0.31574555608442667</v>
      </c>
      <c r="I36" s="131">
        <f>C36+G36</f>
        <v>0.37592111058223998</v>
      </c>
      <c r="P36" s="139"/>
      <c r="Q36" s="139"/>
      <c r="R36" s="139"/>
    </row>
    <row r="37" spans="2:18" s="161" customFormat="1" x14ac:dyDescent="0.2">
      <c r="B37" s="166" t="str">
        <f t="shared" ref="B37:B41" si="15">B17</f>
        <v>20- 24</v>
      </c>
      <c r="C37" s="109">
        <f t="shared" ref="C37:C41" si="16">D37/E37</f>
        <v>0.68632075471698117</v>
      </c>
      <c r="D37" s="172">
        <v>582</v>
      </c>
      <c r="E37" s="102">
        <v>848</v>
      </c>
      <c r="F37" s="102">
        <v>9</v>
      </c>
      <c r="G37" s="131">
        <f t="shared" ref="G37:G41" si="17">_xlfn.NORM.S.INV(1-0.05/2)*SQRT(1/E37*C37*(1-C37))</f>
        <v>3.122889541739509E-2</v>
      </c>
      <c r="H37" s="131">
        <f t="shared" ref="H37:H41" si="18">C37-G37</f>
        <v>0.65509185929958613</v>
      </c>
      <c r="I37" s="131">
        <f t="shared" ref="I37:I41" si="19">C37+G37</f>
        <v>0.71754965013437622</v>
      </c>
    </row>
    <row r="38" spans="2:18" s="161" customFormat="1" x14ac:dyDescent="0.2">
      <c r="B38" s="166" t="str">
        <f t="shared" si="15"/>
        <v>25- 29</v>
      </c>
      <c r="C38" s="109">
        <f t="shared" si="16"/>
        <v>0.67178276269185355</v>
      </c>
      <c r="D38" s="172">
        <v>569</v>
      </c>
      <c r="E38" s="102">
        <v>847</v>
      </c>
      <c r="F38" s="102">
        <v>6</v>
      </c>
      <c r="G38" s="131">
        <f>_xlfn.NORM.S.INV(1-0.05/2)*SQRT(1/E38*C38*(1-C38))</f>
        <v>3.1622886309520815E-2</v>
      </c>
      <c r="H38" s="131">
        <f t="shared" si="18"/>
        <v>0.64015987638233274</v>
      </c>
      <c r="I38" s="131">
        <f t="shared" si="19"/>
        <v>0.70340564900137437</v>
      </c>
    </row>
    <row r="39" spans="2:18" x14ac:dyDescent="0.2">
      <c r="B39" s="166" t="str">
        <f t="shared" si="15"/>
        <v>30 - 34</v>
      </c>
      <c r="C39" s="109">
        <f t="shared" si="16"/>
        <v>0.66208791208791207</v>
      </c>
      <c r="D39" s="172">
        <v>482</v>
      </c>
      <c r="E39" s="102">
        <v>728</v>
      </c>
      <c r="F39" s="102">
        <v>5</v>
      </c>
      <c r="G39" s="131">
        <f t="shared" si="17"/>
        <v>3.4359124944457253E-2</v>
      </c>
      <c r="H39" s="131">
        <f t="shared" si="18"/>
        <v>0.62772878714345481</v>
      </c>
      <c r="I39" s="131">
        <f t="shared" si="19"/>
        <v>0.69644703703236932</v>
      </c>
      <c r="P39" s="139"/>
      <c r="Q39" s="139"/>
      <c r="R39" s="139"/>
    </row>
    <row r="40" spans="2:18" x14ac:dyDescent="0.2">
      <c r="B40" s="166" t="str">
        <f t="shared" si="15"/>
        <v>35- 39</v>
      </c>
      <c r="C40" s="109">
        <f t="shared" si="16"/>
        <v>0.61090225563909772</v>
      </c>
      <c r="D40" s="172">
        <v>325</v>
      </c>
      <c r="E40" s="102">
        <v>532</v>
      </c>
      <c r="F40" s="102">
        <v>5</v>
      </c>
      <c r="G40" s="131">
        <f t="shared" si="17"/>
        <v>4.1429290497308237E-2</v>
      </c>
      <c r="H40" s="131">
        <f t="shared" si="18"/>
        <v>0.56947296514178947</v>
      </c>
      <c r="I40" s="131">
        <f t="shared" si="19"/>
        <v>0.65233154613640598</v>
      </c>
      <c r="P40" s="139"/>
      <c r="Q40" s="139"/>
      <c r="R40" s="139"/>
    </row>
    <row r="41" spans="2:18" x14ac:dyDescent="0.2">
      <c r="B41" s="167" t="str">
        <f t="shared" si="15"/>
        <v>40 - 44</v>
      </c>
      <c r="C41" s="174">
        <f t="shared" si="16"/>
        <v>0.62125340599455037</v>
      </c>
      <c r="D41" s="173">
        <v>228</v>
      </c>
      <c r="E41" s="32">
        <v>367</v>
      </c>
      <c r="F41" s="32">
        <v>3</v>
      </c>
      <c r="G41" s="132">
        <f t="shared" si="17"/>
        <v>4.9627662292591961E-2</v>
      </c>
      <c r="H41" s="132">
        <f t="shared" si="18"/>
        <v>0.5716257437019584</v>
      </c>
      <c r="I41" s="132">
        <f t="shared" si="19"/>
        <v>0.67088106828714233</v>
      </c>
      <c r="P41" s="139"/>
      <c r="Q41" s="139"/>
      <c r="R41" s="139"/>
    </row>
    <row r="42" spans="2:18" x14ac:dyDescent="0.2">
      <c r="B42" s="176" t="s">
        <v>66</v>
      </c>
      <c r="C42" s="109">
        <f>SUMPRODUCT(C36:C41,E36:E41)/SUM(E36:E41)</f>
        <v>0.58804297057449795</v>
      </c>
      <c r="D42" s="102">
        <f>SUM(D36:D41)</f>
        <v>2518</v>
      </c>
      <c r="E42" s="102">
        <f>SUM(E36:E41)</f>
        <v>4282</v>
      </c>
      <c r="F42" s="102">
        <f>SUM(F36:F41)</f>
        <v>36</v>
      </c>
      <c r="G42" s="131">
        <f t="shared" ref="G42" si="20">_xlfn.NORM.S.INV(1-0.05/2)*SQRT(1/E42*C42*(1-C42))</f>
        <v>1.4741960726111907E-2</v>
      </c>
      <c r="H42" s="131">
        <f t="shared" ref="H42" si="21">C42-G42</f>
        <v>0.57330100984838606</v>
      </c>
      <c r="I42" s="131">
        <f t="shared" ref="I42" si="22">C42+G42</f>
        <v>0.60278493130060984</v>
      </c>
      <c r="P42" s="139"/>
      <c r="Q42" s="139"/>
      <c r="R42" s="139"/>
    </row>
    <row r="43" spans="2:18" x14ac:dyDescent="0.2">
      <c r="P43" s="139"/>
      <c r="Q43" s="139"/>
      <c r="R43" s="139"/>
    </row>
    <row r="44" spans="2:18" x14ac:dyDescent="0.2">
      <c r="P44" s="139"/>
      <c r="Q44" s="139"/>
      <c r="R44" s="139"/>
    </row>
    <row r="45" spans="2:18" x14ac:dyDescent="0.2">
      <c r="B45" s="159" t="s">
        <v>122</v>
      </c>
      <c r="C45" s="159"/>
      <c r="D45" s="159"/>
      <c r="E45" s="159"/>
      <c r="F45" s="159"/>
      <c r="G45" s="159"/>
      <c r="H45" s="161"/>
      <c r="I45" s="161"/>
      <c r="P45" s="139"/>
      <c r="Q45" s="139"/>
      <c r="R45" s="139"/>
    </row>
    <row r="46" spans="2:18" ht="60" x14ac:dyDescent="0.2">
      <c r="B46" s="133" t="s">
        <v>92</v>
      </c>
      <c r="C46" s="133" t="s">
        <v>118</v>
      </c>
      <c r="D46" s="133" t="s">
        <v>121</v>
      </c>
      <c r="E46" s="133" t="s">
        <v>117</v>
      </c>
      <c r="F46" s="133" t="s">
        <v>94</v>
      </c>
      <c r="G46" s="133" t="s">
        <v>100</v>
      </c>
      <c r="H46" s="133" t="s">
        <v>86</v>
      </c>
      <c r="I46" s="133" t="s">
        <v>87</v>
      </c>
      <c r="P46" s="139"/>
      <c r="Q46" s="139"/>
      <c r="R46" s="139"/>
    </row>
    <row r="47" spans="2:18" x14ac:dyDescent="0.2">
      <c r="B47" s="166" t="str">
        <f>B36</f>
        <v>15-19</v>
      </c>
      <c r="C47" s="109">
        <f>D47/E47</f>
        <v>1.5495867768595042E-2</v>
      </c>
      <c r="D47" s="180">
        <v>15</v>
      </c>
      <c r="E47" s="180">
        <v>968</v>
      </c>
      <c r="F47" s="102">
        <v>8</v>
      </c>
      <c r="G47" s="131">
        <f>_xlfn.NORM.S.INV(1-0.05/2)*SQRT(1/E47*C47*(1-C47))</f>
        <v>7.7808516461419595E-3</v>
      </c>
      <c r="H47" s="131">
        <f>C47-G47</f>
        <v>7.7150161224530823E-3</v>
      </c>
      <c r="I47" s="131">
        <f>C47+G47</f>
        <v>2.3276719414737003E-2</v>
      </c>
      <c r="P47" s="139"/>
      <c r="Q47" s="139"/>
      <c r="R47" s="139"/>
    </row>
    <row r="48" spans="2:18" x14ac:dyDescent="0.2">
      <c r="B48" s="166" t="str">
        <f t="shared" ref="B48:B52" si="23">B37</f>
        <v>20- 24</v>
      </c>
      <c r="C48" s="109">
        <f t="shared" ref="C48:C52" si="24">D48/E48</f>
        <v>5.2508751458576426E-2</v>
      </c>
      <c r="D48" s="180">
        <v>45</v>
      </c>
      <c r="E48" s="180">
        <v>857</v>
      </c>
      <c r="F48" s="102">
        <v>8</v>
      </c>
      <c r="G48" s="131">
        <f t="shared" ref="G48:G53" si="25">_xlfn.NORM.S.INV(1-0.05/2)*SQRT(1/E48*C48*(1-C48))</f>
        <v>1.4933483610277158E-2</v>
      </c>
      <c r="H48" s="131">
        <f t="shared" ref="H48:H53" si="26">C48-G48</f>
        <v>3.7575267848299267E-2</v>
      </c>
      <c r="I48" s="131">
        <f t="shared" ref="I48:I53" si="27">C48+G48</f>
        <v>6.7442235068853579E-2</v>
      </c>
      <c r="P48" s="139"/>
      <c r="Q48" s="139"/>
      <c r="R48" s="139"/>
    </row>
    <row r="49" spans="2:18" x14ac:dyDescent="0.2">
      <c r="B49" s="166" t="str">
        <f t="shared" si="23"/>
        <v>25- 29</v>
      </c>
      <c r="C49" s="109">
        <f t="shared" si="24"/>
        <v>8.0890973036342323E-2</v>
      </c>
      <c r="D49" s="180">
        <v>69</v>
      </c>
      <c r="E49" s="180">
        <v>853</v>
      </c>
      <c r="F49" s="102">
        <v>5</v>
      </c>
      <c r="G49" s="131">
        <f t="shared" si="25"/>
        <v>1.8298147369026591E-2</v>
      </c>
      <c r="H49" s="131">
        <f t="shared" si="26"/>
        <v>6.2592825667315735E-2</v>
      </c>
      <c r="I49" s="131">
        <f t="shared" si="27"/>
        <v>9.9189120405368911E-2</v>
      </c>
      <c r="P49" s="139"/>
      <c r="Q49" s="139"/>
      <c r="R49" s="139"/>
    </row>
    <row r="50" spans="2:18" x14ac:dyDescent="0.2">
      <c r="B50" s="166" t="str">
        <f t="shared" si="23"/>
        <v>30 - 34</v>
      </c>
      <c r="C50" s="109">
        <f t="shared" si="24"/>
        <v>0.11869031377899045</v>
      </c>
      <c r="D50" s="180">
        <v>87</v>
      </c>
      <c r="E50" s="180">
        <v>733</v>
      </c>
      <c r="F50" s="102">
        <v>5</v>
      </c>
      <c r="G50" s="131">
        <f t="shared" si="25"/>
        <v>2.3413590285562492E-2</v>
      </c>
      <c r="H50" s="131">
        <f t="shared" si="26"/>
        <v>9.5276723493427959E-2</v>
      </c>
      <c r="I50" s="131">
        <f t="shared" si="27"/>
        <v>0.14210390406455295</v>
      </c>
      <c r="P50" s="139"/>
      <c r="Q50" s="139"/>
      <c r="R50" s="139"/>
    </row>
    <row r="51" spans="2:18" x14ac:dyDescent="0.2">
      <c r="B51" s="166" t="str">
        <f t="shared" si="23"/>
        <v>35- 39</v>
      </c>
      <c r="C51" s="109">
        <f t="shared" si="24"/>
        <v>0.10242085661080075</v>
      </c>
      <c r="D51" s="180">
        <v>55</v>
      </c>
      <c r="E51" s="180">
        <v>537</v>
      </c>
      <c r="F51" s="102">
        <v>5</v>
      </c>
      <c r="G51" s="131">
        <f t="shared" si="25"/>
        <v>2.564434000513327E-2</v>
      </c>
      <c r="H51" s="131">
        <f t="shared" si="26"/>
        <v>7.6776516605667477E-2</v>
      </c>
      <c r="I51" s="131">
        <f t="shared" si="27"/>
        <v>0.12806519661593402</v>
      </c>
      <c r="P51" s="139"/>
      <c r="Q51" s="139"/>
      <c r="R51" s="139"/>
    </row>
    <row r="52" spans="2:18" x14ac:dyDescent="0.2">
      <c r="B52" s="167" t="str">
        <f t="shared" si="23"/>
        <v>40 - 44</v>
      </c>
      <c r="C52" s="174">
        <f t="shared" si="24"/>
        <v>0.12972972972972974</v>
      </c>
      <c r="D52" s="32">
        <v>48</v>
      </c>
      <c r="E52" s="32">
        <v>370</v>
      </c>
      <c r="F52" s="32">
        <v>3</v>
      </c>
      <c r="G52" s="132">
        <f t="shared" si="25"/>
        <v>3.4236870446659282E-2</v>
      </c>
      <c r="H52" s="132">
        <f t="shared" si="26"/>
        <v>9.5492859283070455E-2</v>
      </c>
      <c r="I52" s="132">
        <f t="shared" si="27"/>
        <v>0.16396660017638903</v>
      </c>
      <c r="P52" s="139"/>
      <c r="Q52" s="139"/>
      <c r="R52" s="139"/>
    </row>
    <row r="53" spans="2:18" x14ac:dyDescent="0.2">
      <c r="B53" s="176" t="s">
        <v>66</v>
      </c>
      <c r="C53" s="109">
        <f>SUMPRODUCT(C47:C52,E47:E52)/SUM(E47:E52)</f>
        <v>7.387679481241316E-2</v>
      </c>
      <c r="D53" s="102">
        <f>SUM(D47:D52)</f>
        <v>319</v>
      </c>
      <c r="E53" s="102">
        <f>SUM(E47:E52)</f>
        <v>4318</v>
      </c>
      <c r="F53" s="102">
        <f>SUM(F47:F52)</f>
        <v>34</v>
      </c>
      <c r="G53" s="131">
        <f t="shared" si="25"/>
        <v>7.8018065513425746E-3</v>
      </c>
      <c r="H53" s="131">
        <f t="shared" si="26"/>
        <v>6.6074988261070583E-2</v>
      </c>
      <c r="I53" s="131">
        <f t="shared" si="27"/>
        <v>8.1678601363755737E-2</v>
      </c>
      <c r="P53" s="139"/>
      <c r="Q53" s="139"/>
      <c r="R53" s="139"/>
    </row>
    <row r="54" spans="2:18" x14ac:dyDescent="0.2">
      <c r="P54" s="139"/>
      <c r="Q54" s="139"/>
      <c r="R54" s="139"/>
    </row>
    <row r="55" spans="2:18" x14ac:dyDescent="0.2">
      <c r="P55" s="139"/>
      <c r="Q55" s="139"/>
      <c r="R55" s="139"/>
    </row>
    <row r="56" spans="2:18" x14ac:dyDescent="0.2">
      <c r="P56" s="139"/>
      <c r="Q56" s="139"/>
      <c r="R56" s="139"/>
    </row>
    <row r="57" spans="2:18" x14ac:dyDescent="0.2">
      <c r="B57" s="159" t="s">
        <v>123</v>
      </c>
      <c r="C57" s="31"/>
      <c r="D57" s="31"/>
      <c r="E57" s="184">
        <f>$C$66^2*($C$66+1)</f>
        <v>185128025700</v>
      </c>
      <c r="F57" s="31"/>
      <c r="G57" s="31"/>
      <c r="P57" s="139"/>
      <c r="Q57" s="139"/>
      <c r="R57" s="139"/>
    </row>
    <row r="58" spans="2:18" x14ac:dyDescent="0.2">
      <c r="B58" s="177" t="s">
        <v>124</v>
      </c>
      <c r="C58" s="178" t="s">
        <v>121</v>
      </c>
      <c r="D58" s="133" t="s">
        <v>118</v>
      </c>
      <c r="E58" s="133" t="s">
        <v>130</v>
      </c>
      <c r="F58" s="133" t="s">
        <v>86</v>
      </c>
      <c r="G58" s="133" t="s">
        <v>87</v>
      </c>
      <c r="P58" s="139"/>
      <c r="Q58" s="139"/>
      <c r="R58" s="139"/>
    </row>
    <row r="59" spans="2:18" x14ac:dyDescent="0.2">
      <c r="B59" s="27" t="s">
        <v>12</v>
      </c>
      <c r="C59" s="140">
        <v>1195</v>
      </c>
      <c r="D59" s="109">
        <f>C59/$C$66</f>
        <v>0.20968590980873839</v>
      </c>
      <c r="E59" s="109">
        <f>SQRT(C59*($C$66-C59)/$E$57)</f>
        <v>5.391964929027558E-3</v>
      </c>
      <c r="F59" s="109">
        <f t="shared" ref="F59:F65" si="28">_xlfn.BETA.INV(alpha/2,C59,$C$66-C59)</f>
        <v>0.19921507063306748</v>
      </c>
      <c r="G59" s="109">
        <f t="shared" ref="G59:G65" si="29">_xlfn.BETA.INV(1-alpha/2,C59,$C$66-C59)</f>
        <v>0.22034974256764073</v>
      </c>
      <c r="P59" s="139"/>
      <c r="Q59" s="139"/>
      <c r="R59" s="139"/>
    </row>
    <row r="60" spans="2:18" x14ac:dyDescent="0.2">
      <c r="B60" s="27" t="s">
        <v>58</v>
      </c>
      <c r="C60" s="140">
        <v>2185</v>
      </c>
      <c r="D60" s="109">
        <f t="shared" ref="D60:D65" si="30">C60/$C$66</f>
        <v>0.38340059659589404</v>
      </c>
      <c r="E60" s="109">
        <f t="shared" ref="E60:E65" si="31">SQRT(C60*($C$66-C60)/$E$57)</f>
        <v>6.4400689100296881E-3</v>
      </c>
      <c r="F60" s="109">
        <f t="shared" si="28"/>
        <v>0.37081756134242783</v>
      </c>
      <c r="G60" s="109">
        <f t="shared" si="29"/>
        <v>0.39606114599718334</v>
      </c>
      <c r="P60" s="139"/>
      <c r="Q60" s="139"/>
      <c r="R60" s="139"/>
    </row>
    <row r="61" spans="2:18" x14ac:dyDescent="0.2">
      <c r="B61" s="27" t="s">
        <v>59</v>
      </c>
      <c r="C61" s="140">
        <v>698</v>
      </c>
      <c r="D61" s="109">
        <f t="shared" si="30"/>
        <v>0.12247762765397438</v>
      </c>
      <c r="E61" s="109">
        <f t="shared" si="31"/>
        <v>4.3423022913153964E-3</v>
      </c>
      <c r="F61" s="109">
        <f t="shared" si="28"/>
        <v>0.11409335902404914</v>
      </c>
      <c r="G61" s="109">
        <f t="shared" si="29"/>
        <v>0.13111285339839784</v>
      </c>
      <c r="P61" s="139"/>
      <c r="Q61" s="139"/>
      <c r="R61" s="139"/>
    </row>
    <row r="62" spans="2:18" x14ac:dyDescent="0.2">
      <c r="B62" s="27" t="s">
        <v>14</v>
      </c>
      <c r="C62" s="140">
        <v>240</v>
      </c>
      <c r="D62" s="109">
        <f t="shared" si="30"/>
        <v>4.2112651342340761E-2</v>
      </c>
      <c r="E62" s="109">
        <f t="shared" si="31"/>
        <v>2.6602722436616056E-3</v>
      </c>
      <c r="F62" s="109">
        <f t="shared" si="28"/>
        <v>3.705263310235505E-2</v>
      </c>
      <c r="G62" s="109">
        <f t="shared" si="29"/>
        <v>4.7476989524456448E-2</v>
      </c>
      <c r="P62" s="139"/>
      <c r="Q62" s="139"/>
      <c r="R62" s="139"/>
    </row>
    <row r="63" spans="2:18" x14ac:dyDescent="0.2">
      <c r="B63" s="27" t="s">
        <v>67</v>
      </c>
      <c r="C63" s="140">
        <v>242</v>
      </c>
      <c r="D63" s="109">
        <f t="shared" si="30"/>
        <v>4.2463590103526933E-2</v>
      </c>
      <c r="E63" s="109">
        <f t="shared" si="31"/>
        <v>2.6708443247127449E-3</v>
      </c>
      <c r="F63" s="109">
        <f t="shared" si="28"/>
        <v>3.7382726356148969E-2</v>
      </c>
      <c r="G63" s="109">
        <f t="shared" si="29"/>
        <v>4.7848541307007331E-2</v>
      </c>
      <c r="P63" s="139"/>
      <c r="Q63" s="139"/>
      <c r="R63" s="139"/>
    </row>
    <row r="64" spans="2:18" x14ac:dyDescent="0.2">
      <c r="B64" s="27" t="s">
        <v>125</v>
      </c>
      <c r="C64" s="140">
        <v>1120</v>
      </c>
      <c r="D64" s="109">
        <f t="shared" si="30"/>
        <v>0.19652570626425689</v>
      </c>
      <c r="E64" s="109">
        <f t="shared" si="31"/>
        <v>5.263301496102591E-3</v>
      </c>
      <c r="F64" s="109">
        <f t="shared" si="28"/>
        <v>0.18631144688755794</v>
      </c>
      <c r="G64" s="109">
        <f t="shared" si="29"/>
        <v>0.20694170703928172</v>
      </c>
      <c r="P64" s="139"/>
      <c r="Q64" s="139"/>
      <c r="R64" s="139"/>
    </row>
    <row r="65" spans="2:18" ht="60" x14ac:dyDescent="0.2">
      <c r="B65" s="113" t="s">
        <v>126</v>
      </c>
      <c r="C65" s="67">
        <v>19</v>
      </c>
      <c r="D65" s="174">
        <f t="shared" si="30"/>
        <v>3.3339182312686435E-3</v>
      </c>
      <c r="E65" s="174">
        <f t="shared" si="31"/>
        <v>7.6351027067114556E-4</v>
      </c>
      <c r="F65" s="174">
        <f t="shared" si="28"/>
        <v>2.0087460668632004E-3</v>
      </c>
      <c r="G65" s="174">
        <f t="shared" si="29"/>
        <v>4.9880091671307136E-3</v>
      </c>
      <c r="P65" s="139"/>
      <c r="Q65" s="139"/>
      <c r="R65" s="139"/>
    </row>
    <row r="66" spans="2:18" x14ac:dyDescent="0.2">
      <c r="B66" s="176" t="s">
        <v>66</v>
      </c>
      <c r="C66" s="140">
        <f>SUM(C59:C65)</f>
        <v>5699</v>
      </c>
      <c r="D66" s="175">
        <f>SUM(D59:D65)</f>
        <v>1.0000000000000002</v>
      </c>
      <c r="P66" s="139"/>
      <c r="Q66" s="139"/>
      <c r="R66" s="139"/>
    </row>
    <row r="67" spans="2:18" x14ac:dyDescent="0.2">
      <c r="P67" s="139"/>
      <c r="Q67" s="139"/>
      <c r="R67" s="139"/>
    </row>
    <row r="68" spans="2:18" x14ac:dyDescent="0.2">
      <c r="P68" s="139"/>
      <c r="Q68" s="139"/>
      <c r="R68" s="139"/>
    </row>
    <row r="69" spans="2:18" x14ac:dyDescent="0.2">
      <c r="P69" s="139"/>
      <c r="Q69" s="139"/>
      <c r="R69" s="139"/>
    </row>
    <row r="70" spans="2:18" x14ac:dyDescent="0.2">
      <c r="P70" s="139"/>
      <c r="Q70" s="139"/>
      <c r="R70" s="139"/>
    </row>
    <row r="71" spans="2:18" x14ac:dyDescent="0.2">
      <c r="P71" s="139"/>
      <c r="Q71" s="139"/>
      <c r="R71" s="139"/>
    </row>
    <row r="72" spans="2:18" x14ac:dyDescent="0.2">
      <c r="P72" s="139"/>
      <c r="Q72" s="139"/>
      <c r="R72" s="139"/>
    </row>
    <row r="73" spans="2:18" x14ac:dyDescent="0.2">
      <c r="P73" s="139"/>
      <c r="Q73" s="139"/>
      <c r="R73" s="139"/>
    </row>
    <row r="74" spans="2:18" x14ac:dyDescent="0.2">
      <c r="P74" s="139"/>
      <c r="Q74" s="139"/>
      <c r="R74" s="139"/>
    </row>
    <row r="75" spans="2:18" x14ac:dyDescent="0.2">
      <c r="P75" s="139"/>
      <c r="Q75" s="139"/>
      <c r="R75" s="139"/>
    </row>
    <row r="76" spans="2:18" x14ac:dyDescent="0.2">
      <c r="P76" s="139"/>
      <c r="Q76" s="139"/>
      <c r="R76" s="139"/>
    </row>
    <row r="77" spans="2:18" x14ac:dyDescent="0.2">
      <c r="P77" s="139"/>
      <c r="Q77" s="139"/>
      <c r="R77" s="139"/>
    </row>
    <row r="78" spans="2:18" x14ac:dyDescent="0.2">
      <c r="P78" s="139"/>
      <c r="Q78" s="139"/>
      <c r="R78" s="139"/>
    </row>
    <row r="79" spans="2:18" x14ac:dyDescent="0.2">
      <c r="P79" s="139"/>
      <c r="Q79" s="139"/>
      <c r="R79" s="139"/>
    </row>
    <row r="80" spans="2:18" x14ac:dyDescent="0.2">
      <c r="P80" s="139"/>
      <c r="Q80" s="139"/>
      <c r="R80" s="139"/>
    </row>
    <row r="81" spans="16:18" x14ac:dyDescent="0.2">
      <c r="P81" s="139"/>
      <c r="Q81" s="139"/>
      <c r="R81" s="139"/>
    </row>
    <row r="82" spans="16:18" x14ac:dyDescent="0.2">
      <c r="P82" s="139"/>
      <c r="Q82" s="139"/>
      <c r="R82" s="139"/>
    </row>
    <row r="83" spans="16:18" x14ac:dyDescent="0.2">
      <c r="P83" s="139"/>
      <c r="Q83" s="139"/>
      <c r="R83" s="139"/>
    </row>
    <row r="84" spans="16:18" x14ac:dyDescent="0.2">
      <c r="P84" s="139"/>
      <c r="Q84" s="139"/>
      <c r="R84" s="139"/>
    </row>
    <row r="85" spans="16:18" x14ac:dyDescent="0.2">
      <c r="P85" s="139"/>
      <c r="Q85" s="139"/>
      <c r="R85" s="139"/>
    </row>
    <row r="86" spans="16:18" x14ac:dyDescent="0.2">
      <c r="P86" s="139"/>
      <c r="Q86" s="139"/>
      <c r="R86" s="139"/>
    </row>
    <row r="87" spans="16:18" x14ac:dyDescent="0.2">
      <c r="P87" s="139"/>
      <c r="Q87" s="139"/>
      <c r="R87" s="139"/>
    </row>
    <row r="88" spans="16:18" x14ac:dyDescent="0.2">
      <c r="P88" s="139"/>
      <c r="Q88" s="139"/>
      <c r="R88" s="139"/>
    </row>
    <row r="89" spans="16:18" x14ac:dyDescent="0.2">
      <c r="P89" s="139"/>
      <c r="Q89" s="139"/>
      <c r="R89" s="139"/>
    </row>
    <row r="90" spans="16:18" x14ac:dyDescent="0.2">
      <c r="P90" s="139"/>
      <c r="Q90" s="139"/>
      <c r="R90" s="139"/>
    </row>
    <row r="91" spans="16:18" x14ac:dyDescent="0.2">
      <c r="P91" s="139"/>
      <c r="Q91" s="139"/>
      <c r="R91" s="139"/>
    </row>
    <row r="92" spans="16:18" x14ac:dyDescent="0.2">
      <c r="P92" s="139"/>
      <c r="Q92" s="139"/>
      <c r="R92" s="139"/>
    </row>
    <row r="93" spans="16:18" x14ac:dyDescent="0.2">
      <c r="P93" s="139"/>
      <c r="Q93" s="139"/>
      <c r="R93" s="139"/>
    </row>
    <row r="94" spans="16:18" x14ac:dyDescent="0.2">
      <c r="P94" s="139"/>
      <c r="Q94" s="139"/>
      <c r="R94" s="139"/>
    </row>
    <row r="95" spans="16:18" x14ac:dyDescent="0.2">
      <c r="P95" s="139"/>
      <c r="Q95" s="139"/>
      <c r="R95" s="139"/>
    </row>
    <row r="96" spans="16:18" x14ac:dyDescent="0.2">
      <c r="P96" s="139"/>
      <c r="Q96" s="139"/>
      <c r="R96" s="139"/>
    </row>
    <row r="97" spans="16:18" x14ac:dyDescent="0.2">
      <c r="P97" s="139"/>
      <c r="Q97" s="139"/>
      <c r="R97" s="139"/>
    </row>
    <row r="98" spans="16:18" x14ac:dyDescent="0.2">
      <c r="P98" s="139"/>
      <c r="Q98" s="139"/>
      <c r="R98" s="139"/>
    </row>
    <row r="99" spans="16:18" x14ac:dyDescent="0.2">
      <c r="P99" s="139"/>
      <c r="Q99" s="139"/>
      <c r="R99" s="139"/>
    </row>
    <row r="100" spans="16:18" x14ac:dyDescent="0.2">
      <c r="P100" s="139"/>
      <c r="Q100" s="139"/>
      <c r="R100" s="139"/>
    </row>
    <row r="101" spans="16:18" x14ac:dyDescent="0.2">
      <c r="P101" s="139"/>
      <c r="Q101" s="139"/>
      <c r="R101" s="139"/>
    </row>
    <row r="102" spans="16:18" x14ac:dyDescent="0.2">
      <c r="P102" s="139"/>
      <c r="Q102" s="139"/>
      <c r="R102" s="139"/>
    </row>
    <row r="103" spans="16:18" x14ac:dyDescent="0.2">
      <c r="P103" s="139"/>
      <c r="Q103" s="139"/>
      <c r="R103" s="139"/>
    </row>
    <row r="104" spans="16:18" x14ac:dyDescent="0.2">
      <c r="P104" s="139"/>
      <c r="Q104" s="139"/>
      <c r="R104" s="139"/>
    </row>
    <row r="105" spans="16:18" x14ac:dyDescent="0.2">
      <c r="P105" s="139"/>
      <c r="Q105" s="139"/>
      <c r="R105" s="139"/>
    </row>
    <row r="106" spans="16:18" x14ac:dyDescent="0.2">
      <c r="P106" s="139"/>
      <c r="Q106" s="139"/>
      <c r="R106" s="139"/>
    </row>
    <row r="107" spans="16:18" x14ac:dyDescent="0.2">
      <c r="P107" s="139"/>
      <c r="Q107" s="139"/>
      <c r="R107" s="139"/>
    </row>
    <row r="108" spans="16:18" x14ac:dyDescent="0.2">
      <c r="P108" s="139"/>
      <c r="Q108" s="139"/>
      <c r="R108" s="139"/>
    </row>
    <row r="109" spans="16:18" x14ac:dyDescent="0.2">
      <c r="P109" s="139"/>
      <c r="Q109" s="139"/>
      <c r="R109" s="139"/>
    </row>
    <row r="110" spans="16:18" x14ac:dyDescent="0.2">
      <c r="P110" s="139"/>
      <c r="Q110" s="139"/>
      <c r="R110" s="139"/>
    </row>
    <row r="111" spans="16:18" x14ac:dyDescent="0.2">
      <c r="P111" s="139"/>
      <c r="Q111" s="139"/>
      <c r="R111" s="139"/>
    </row>
    <row r="112" spans="16:18" x14ac:dyDescent="0.2">
      <c r="P112" s="139"/>
      <c r="Q112" s="139"/>
      <c r="R112" s="139"/>
    </row>
    <row r="113" spans="16:18" x14ac:dyDescent="0.2">
      <c r="P113" s="139"/>
      <c r="Q113" s="139"/>
      <c r="R113" s="139"/>
    </row>
    <row r="114" spans="16:18" x14ac:dyDescent="0.2">
      <c r="P114" s="139"/>
      <c r="Q114" s="139"/>
      <c r="R114" s="139"/>
    </row>
    <row r="115" spans="16:18" x14ac:dyDescent="0.2">
      <c r="P115" s="139"/>
      <c r="Q115" s="139"/>
      <c r="R115" s="139"/>
    </row>
    <row r="116" spans="16:18" x14ac:dyDescent="0.2">
      <c r="P116" s="139"/>
      <c r="Q116" s="139"/>
      <c r="R116" s="139"/>
    </row>
    <row r="117" spans="16:18" x14ac:dyDescent="0.2">
      <c r="P117" s="139"/>
      <c r="Q117" s="139"/>
      <c r="R117" s="139"/>
    </row>
    <row r="118" spans="16:18" x14ac:dyDescent="0.2">
      <c r="P118" s="139"/>
      <c r="Q118" s="139"/>
      <c r="R118" s="139"/>
    </row>
    <row r="119" spans="16:18" x14ac:dyDescent="0.2">
      <c r="P119" s="139"/>
      <c r="Q119" s="139"/>
      <c r="R119" s="139"/>
    </row>
    <row r="120" spans="16:18" x14ac:dyDescent="0.2">
      <c r="P120" s="139"/>
      <c r="Q120" s="139"/>
      <c r="R120" s="139"/>
    </row>
    <row r="121" spans="16:18" x14ac:dyDescent="0.2">
      <c r="P121" s="139"/>
      <c r="Q121" s="139"/>
      <c r="R121" s="139"/>
    </row>
    <row r="122" spans="16:18" x14ac:dyDescent="0.2">
      <c r="P122" s="139"/>
      <c r="Q122" s="139"/>
      <c r="R122" s="139"/>
    </row>
    <row r="123" spans="16:18" x14ac:dyDescent="0.2">
      <c r="P123" s="139"/>
      <c r="Q123" s="139"/>
      <c r="R123" s="139"/>
    </row>
    <row r="124" spans="16:18" x14ac:dyDescent="0.2">
      <c r="P124" s="139"/>
      <c r="Q124" s="139"/>
      <c r="R124" s="139"/>
    </row>
    <row r="125" spans="16:18" x14ac:dyDescent="0.2">
      <c r="P125" s="139"/>
      <c r="Q125" s="139"/>
      <c r="R125" s="139"/>
    </row>
    <row r="126" spans="16:18" x14ac:dyDescent="0.2">
      <c r="P126" s="139"/>
      <c r="Q126" s="139"/>
      <c r="R126" s="139"/>
    </row>
    <row r="127" spans="16:18" x14ac:dyDescent="0.2">
      <c r="P127" s="139"/>
      <c r="Q127" s="139"/>
      <c r="R127" s="139"/>
    </row>
    <row r="128" spans="16:18" x14ac:dyDescent="0.2">
      <c r="P128" s="139"/>
      <c r="Q128" s="139"/>
      <c r="R128" s="139"/>
    </row>
    <row r="129" spans="16:18" x14ac:dyDescent="0.2">
      <c r="P129" s="139"/>
      <c r="Q129" s="139"/>
      <c r="R129" s="139"/>
    </row>
    <row r="130" spans="16:18" x14ac:dyDescent="0.2">
      <c r="P130" s="139"/>
      <c r="Q130" s="139"/>
      <c r="R130" s="139"/>
    </row>
    <row r="131" spans="16:18" x14ac:dyDescent="0.2">
      <c r="P131" s="139"/>
      <c r="Q131" s="139"/>
      <c r="R131" s="139"/>
    </row>
    <row r="132" spans="16:18" x14ac:dyDescent="0.2">
      <c r="P132" s="139"/>
      <c r="Q132" s="139"/>
      <c r="R132" s="139"/>
    </row>
    <row r="133" spans="16:18" x14ac:dyDescent="0.2">
      <c r="P133" s="139"/>
      <c r="Q133" s="139"/>
      <c r="R133" s="139"/>
    </row>
    <row r="134" spans="16:18" x14ac:dyDescent="0.2">
      <c r="P134" s="139"/>
      <c r="Q134" s="139"/>
      <c r="R134" s="139"/>
    </row>
    <row r="135" spans="16:18" x14ac:dyDescent="0.2">
      <c r="P135" s="139"/>
      <c r="Q135" s="139"/>
      <c r="R135" s="139"/>
    </row>
    <row r="136" spans="16:18" x14ac:dyDescent="0.2">
      <c r="P136" s="139"/>
      <c r="Q136" s="139"/>
      <c r="R136" s="139"/>
    </row>
    <row r="137" spans="16:18" x14ac:dyDescent="0.2">
      <c r="P137" s="139"/>
      <c r="Q137" s="139"/>
      <c r="R137" s="139"/>
    </row>
    <row r="138" spans="16:18" x14ac:dyDescent="0.2">
      <c r="P138" s="139"/>
      <c r="Q138" s="139"/>
      <c r="R138" s="139"/>
    </row>
    <row r="139" spans="16:18" x14ac:dyDescent="0.2">
      <c r="P139" s="139"/>
      <c r="Q139" s="139"/>
      <c r="R139" s="139"/>
    </row>
    <row r="140" spans="16:18" x14ac:dyDescent="0.2">
      <c r="P140" s="139"/>
      <c r="Q140" s="139"/>
      <c r="R140" s="139"/>
    </row>
    <row r="141" spans="16:18" x14ac:dyDescent="0.2">
      <c r="P141" s="139"/>
      <c r="Q141" s="139"/>
      <c r="R141" s="139"/>
    </row>
    <row r="142" spans="16:18" x14ac:dyDescent="0.2">
      <c r="P142" s="139"/>
      <c r="Q142" s="139"/>
      <c r="R142" s="139"/>
    </row>
    <row r="143" spans="16:18" x14ac:dyDescent="0.2">
      <c r="P143" s="139"/>
      <c r="Q143" s="139"/>
      <c r="R143" s="139"/>
    </row>
    <row r="144" spans="16:18" x14ac:dyDescent="0.2">
      <c r="P144" s="139"/>
      <c r="Q144" s="139"/>
      <c r="R144" s="139"/>
    </row>
    <row r="145" spans="16:18" x14ac:dyDescent="0.2">
      <c r="P145" s="139"/>
      <c r="Q145" s="139"/>
      <c r="R145" s="139"/>
    </row>
    <row r="146" spans="16:18" x14ac:dyDescent="0.2">
      <c r="P146" s="139"/>
      <c r="Q146" s="139"/>
      <c r="R146" s="139"/>
    </row>
    <row r="147" spans="16:18" x14ac:dyDescent="0.2">
      <c r="P147" s="139"/>
      <c r="Q147" s="139"/>
      <c r="R147" s="139"/>
    </row>
    <row r="148" spans="16:18" x14ac:dyDescent="0.2">
      <c r="P148" s="139"/>
      <c r="Q148" s="139"/>
      <c r="R148" s="139"/>
    </row>
    <row r="149" spans="16:18" x14ac:dyDescent="0.2">
      <c r="P149" s="139"/>
      <c r="Q149" s="139"/>
      <c r="R149" s="139"/>
    </row>
    <row r="150" spans="16:18" x14ac:dyDescent="0.2">
      <c r="P150" s="139"/>
      <c r="Q150" s="139"/>
      <c r="R150" s="139"/>
    </row>
    <row r="151" spans="16:18" x14ac:dyDescent="0.2">
      <c r="P151" s="139"/>
      <c r="Q151" s="139"/>
      <c r="R151" s="139"/>
    </row>
    <row r="152" spans="16:18" x14ac:dyDescent="0.2">
      <c r="P152" s="139"/>
      <c r="Q152" s="139"/>
      <c r="R152" s="139"/>
    </row>
    <row r="153" spans="16:18" x14ac:dyDescent="0.2">
      <c r="P153" s="139"/>
      <c r="Q153" s="139"/>
      <c r="R153" s="139"/>
    </row>
    <row r="154" spans="16:18" x14ac:dyDescent="0.2">
      <c r="P154" s="139"/>
      <c r="Q154" s="139"/>
      <c r="R154" s="139"/>
    </row>
    <row r="155" spans="16:18" x14ac:dyDescent="0.2">
      <c r="P155" s="139"/>
      <c r="Q155" s="139"/>
      <c r="R155" s="139"/>
    </row>
    <row r="156" spans="16:18" x14ac:dyDescent="0.2">
      <c r="P156" s="139"/>
      <c r="Q156" s="139"/>
      <c r="R156" s="139"/>
    </row>
    <row r="157" spans="16:18" x14ac:dyDescent="0.2">
      <c r="P157" s="139"/>
      <c r="Q157" s="139"/>
      <c r="R157" s="139"/>
    </row>
    <row r="158" spans="16:18" x14ac:dyDescent="0.2">
      <c r="P158" s="139"/>
      <c r="Q158" s="139"/>
      <c r="R158" s="139"/>
    </row>
    <row r="159" spans="16:18" x14ac:dyDescent="0.2">
      <c r="P159" s="139"/>
      <c r="Q159" s="139"/>
      <c r="R159" s="139"/>
    </row>
    <row r="160" spans="16:18" x14ac:dyDescent="0.2">
      <c r="P160" s="139"/>
      <c r="Q160" s="139"/>
      <c r="R160" s="139"/>
    </row>
    <row r="161" spans="16:18" x14ac:dyDescent="0.2">
      <c r="P161" s="139"/>
      <c r="Q161" s="139"/>
      <c r="R161" s="139"/>
    </row>
    <row r="162" spans="16:18" x14ac:dyDescent="0.2">
      <c r="P162" s="139"/>
      <c r="Q162" s="139"/>
      <c r="R162" s="139"/>
    </row>
    <row r="163" spans="16:18" x14ac:dyDescent="0.2">
      <c r="P163" s="139"/>
      <c r="Q163" s="139"/>
      <c r="R163" s="139"/>
    </row>
    <row r="164" spans="16:18" x14ac:dyDescent="0.2">
      <c r="P164" s="139"/>
      <c r="Q164" s="139"/>
      <c r="R164" s="139"/>
    </row>
    <row r="165" spans="16:18" x14ac:dyDescent="0.2">
      <c r="P165" s="139"/>
      <c r="Q165" s="139"/>
      <c r="R165" s="139"/>
    </row>
    <row r="166" spans="16:18" x14ac:dyDescent="0.2">
      <c r="P166" s="139"/>
      <c r="Q166" s="139"/>
      <c r="R166" s="139"/>
    </row>
    <row r="167" spans="16:18" x14ac:dyDescent="0.2">
      <c r="P167" s="139"/>
      <c r="Q167" s="139"/>
      <c r="R167" s="139"/>
    </row>
    <row r="168" spans="16:18" x14ac:dyDescent="0.2">
      <c r="P168" s="139"/>
      <c r="Q168" s="139"/>
      <c r="R168" s="139"/>
    </row>
    <row r="169" spans="16:18" x14ac:dyDescent="0.2">
      <c r="P169" s="139"/>
      <c r="Q169" s="139"/>
      <c r="R169" s="139"/>
    </row>
    <row r="170" spans="16:18" x14ac:dyDescent="0.2">
      <c r="P170" s="139"/>
      <c r="Q170" s="139"/>
      <c r="R170" s="139"/>
    </row>
    <row r="171" spans="16:18" x14ac:dyDescent="0.2">
      <c r="P171" s="139"/>
      <c r="Q171" s="139"/>
      <c r="R171" s="139"/>
    </row>
    <row r="172" spans="16:18" x14ac:dyDescent="0.2">
      <c r="P172" s="139"/>
      <c r="Q172" s="139"/>
      <c r="R172" s="139"/>
    </row>
    <row r="173" spans="16:18" x14ac:dyDescent="0.2">
      <c r="P173" s="139"/>
      <c r="Q173" s="139"/>
      <c r="R173" s="139"/>
    </row>
    <row r="174" spans="16:18" x14ac:dyDescent="0.2">
      <c r="P174" s="139"/>
      <c r="Q174" s="139"/>
      <c r="R174" s="139"/>
    </row>
    <row r="175" spans="16:18" x14ac:dyDescent="0.2">
      <c r="P175" s="139"/>
      <c r="Q175" s="139"/>
      <c r="R175" s="139"/>
    </row>
    <row r="176" spans="16:18" x14ac:dyDescent="0.2">
      <c r="P176" s="139"/>
      <c r="Q176" s="139"/>
      <c r="R176" s="139"/>
    </row>
    <row r="177" spans="16:18" x14ac:dyDescent="0.2">
      <c r="P177" s="139"/>
      <c r="Q177" s="139"/>
      <c r="R177" s="139"/>
    </row>
    <row r="178" spans="16:18" x14ac:dyDescent="0.2">
      <c r="P178" s="139"/>
      <c r="Q178" s="139"/>
      <c r="R178" s="139"/>
    </row>
    <row r="179" spans="16:18" x14ac:dyDescent="0.2">
      <c r="P179" s="139"/>
      <c r="Q179" s="139"/>
      <c r="R179" s="139"/>
    </row>
    <row r="180" spans="16:18" x14ac:dyDescent="0.2">
      <c r="P180" s="139"/>
      <c r="Q180" s="139"/>
      <c r="R180" s="139"/>
    </row>
    <row r="181" spans="16:18" x14ac:dyDescent="0.2">
      <c r="P181" s="139"/>
      <c r="Q181" s="139"/>
      <c r="R181" s="139"/>
    </row>
    <row r="182" spans="16:18" x14ac:dyDescent="0.2">
      <c r="P182" s="139"/>
      <c r="Q182" s="139"/>
      <c r="R182" s="139"/>
    </row>
    <row r="183" spans="16:18" x14ac:dyDescent="0.2">
      <c r="P183" s="139"/>
      <c r="Q183" s="139"/>
      <c r="R183" s="139"/>
    </row>
    <row r="184" spans="16:18" x14ac:dyDescent="0.2">
      <c r="P184" s="139"/>
      <c r="Q184" s="139"/>
      <c r="R184" s="139"/>
    </row>
    <row r="185" spans="16:18" x14ac:dyDescent="0.2">
      <c r="P185" s="139"/>
      <c r="Q185" s="139"/>
      <c r="R185" s="139"/>
    </row>
    <row r="186" spans="16:18" x14ac:dyDescent="0.2">
      <c r="P186" s="139"/>
      <c r="Q186" s="139"/>
      <c r="R186" s="139"/>
    </row>
    <row r="187" spans="16:18" x14ac:dyDescent="0.2">
      <c r="P187" s="139"/>
      <c r="Q187" s="139"/>
      <c r="R187" s="139"/>
    </row>
    <row r="188" spans="16:18" x14ac:dyDescent="0.2">
      <c r="P188" s="139"/>
      <c r="Q188" s="139"/>
      <c r="R188" s="139"/>
    </row>
    <row r="189" spans="16:18" x14ac:dyDescent="0.2">
      <c r="P189" s="139"/>
      <c r="Q189" s="139"/>
      <c r="R189" s="139"/>
    </row>
    <row r="190" spans="16:18" x14ac:dyDescent="0.2">
      <c r="P190" s="139"/>
      <c r="Q190" s="139"/>
      <c r="R190" s="139"/>
    </row>
    <row r="191" spans="16:18" x14ac:dyDescent="0.2">
      <c r="P191" s="139"/>
      <c r="Q191" s="139"/>
      <c r="R191" s="139"/>
    </row>
    <row r="192" spans="16:18" x14ac:dyDescent="0.2">
      <c r="P192" s="139"/>
      <c r="Q192" s="139"/>
      <c r="R192" s="139"/>
    </row>
    <row r="193" spans="16:18" x14ac:dyDescent="0.2">
      <c r="P193" s="139"/>
      <c r="Q193" s="139"/>
      <c r="R193" s="139"/>
    </row>
    <row r="194" spans="16:18" x14ac:dyDescent="0.2">
      <c r="P194" s="139"/>
      <c r="Q194" s="139"/>
      <c r="R194" s="139"/>
    </row>
    <row r="195" spans="16:18" x14ac:dyDescent="0.2">
      <c r="P195" s="139"/>
      <c r="Q195" s="139"/>
      <c r="R195" s="139"/>
    </row>
    <row r="196" spans="16:18" x14ac:dyDescent="0.2">
      <c r="P196" s="139"/>
      <c r="Q196" s="139"/>
      <c r="R196" s="139"/>
    </row>
    <row r="197" spans="16:18" x14ac:dyDescent="0.2">
      <c r="P197" s="139"/>
      <c r="Q197" s="139"/>
      <c r="R197" s="139"/>
    </row>
    <row r="198" spans="16:18" x14ac:dyDescent="0.2">
      <c r="P198" s="139"/>
      <c r="Q198" s="139"/>
      <c r="R198" s="139"/>
    </row>
    <row r="199" spans="16:18" x14ac:dyDescent="0.2">
      <c r="P199" s="139"/>
      <c r="Q199" s="139"/>
      <c r="R199" s="139"/>
    </row>
    <row r="200" spans="16:18" x14ac:dyDescent="0.2">
      <c r="P200" s="139"/>
      <c r="Q200" s="139"/>
      <c r="R200" s="139"/>
    </row>
    <row r="201" spans="16:18" x14ac:dyDescent="0.2">
      <c r="P201" s="139"/>
      <c r="Q201" s="139"/>
      <c r="R201" s="139"/>
    </row>
    <row r="202" spans="16:18" x14ac:dyDescent="0.2">
      <c r="P202" s="139"/>
      <c r="Q202" s="139"/>
      <c r="R202" s="139"/>
    </row>
    <row r="203" spans="16:18" x14ac:dyDescent="0.2">
      <c r="P203" s="139"/>
      <c r="Q203" s="139"/>
      <c r="R203" s="139"/>
    </row>
    <row r="204" spans="16:18" x14ac:dyDescent="0.2">
      <c r="P204" s="139"/>
      <c r="Q204" s="139"/>
      <c r="R204" s="139"/>
    </row>
    <row r="205" spans="16:18" x14ac:dyDescent="0.2">
      <c r="P205" s="139"/>
      <c r="Q205" s="139"/>
      <c r="R205" s="139"/>
    </row>
    <row r="206" spans="16:18" x14ac:dyDescent="0.2">
      <c r="P206" s="139"/>
      <c r="Q206" s="139"/>
      <c r="R206" s="139"/>
    </row>
    <row r="207" spans="16:18" x14ac:dyDescent="0.2">
      <c r="P207" s="139"/>
      <c r="Q207" s="139"/>
      <c r="R207" s="139"/>
    </row>
    <row r="208" spans="16:18" x14ac:dyDescent="0.2">
      <c r="P208" s="139"/>
      <c r="Q208" s="139"/>
      <c r="R208" s="139"/>
    </row>
    <row r="209" spans="16:18" x14ac:dyDescent="0.2">
      <c r="P209" s="139"/>
      <c r="Q209" s="139"/>
      <c r="R209" s="139"/>
    </row>
    <row r="210" spans="16:18" x14ac:dyDescent="0.2">
      <c r="P210" s="139"/>
      <c r="Q210" s="139"/>
      <c r="R210" s="139"/>
    </row>
    <row r="211" spans="16:18" x14ac:dyDescent="0.2">
      <c r="P211" s="139"/>
      <c r="Q211" s="139"/>
      <c r="R211" s="139"/>
    </row>
    <row r="212" spans="16:18" x14ac:dyDescent="0.2">
      <c r="P212" s="139"/>
      <c r="Q212" s="139"/>
      <c r="R212" s="139"/>
    </row>
    <row r="213" spans="16:18" x14ac:dyDescent="0.2">
      <c r="P213" s="139"/>
      <c r="Q213" s="139"/>
      <c r="R213" s="139"/>
    </row>
    <row r="214" spans="16:18" x14ac:dyDescent="0.2">
      <c r="P214" s="139"/>
      <c r="Q214" s="139"/>
      <c r="R214" s="139"/>
    </row>
    <row r="215" spans="16:18" x14ac:dyDescent="0.2">
      <c r="P215" s="139"/>
      <c r="Q215" s="139"/>
      <c r="R215" s="139"/>
    </row>
    <row r="216" spans="16:18" x14ac:dyDescent="0.2">
      <c r="P216" s="139"/>
      <c r="Q216" s="139"/>
      <c r="R216" s="139"/>
    </row>
    <row r="217" spans="16:18" x14ac:dyDescent="0.2">
      <c r="P217" s="139"/>
      <c r="Q217" s="139"/>
      <c r="R217" s="139"/>
    </row>
    <row r="218" spans="16:18" x14ac:dyDescent="0.2">
      <c r="P218" s="139"/>
      <c r="Q218" s="139"/>
      <c r="R218" s="139"/>
    </row>
    <row r="219" spans="16:18" x14ac:dyDescent="0.2">
      <c r="P219" s="139"/>
      <c r="Q219" s="139"/>
      <c r="R219" s="139"/>
    </row>
    <row r="220" spans="16:18" x14ac:dyDescent="0.2">
      <c r="P220" s="139"/>
      <c r="Q220" s="139"/>
      <c r="R220" s="139"/>
    </row>
    <row r="221" spans="16:18" x14ac:dyDescent="0.2">
      <c r="P221" s="139"/>
      <c r="Q221" s="139"/>
      <c r="R221" s="139"/>
    </row>
    <row r="222" spans="16:18" x14ac:dyDescent="0.2">
      <c r="P222" s="139"/>
      <c r="Q222" s="139"/>
      <c r="R222" s="139"/>
    </row>
    <row r="223" spans="16:18" x14ac:dyDescent="0.2">
      <c r="P223" s="139"/>
      <c r="Q223" s="139"/>
      <c r="R223" s="139"/>
    </row>
    <row r="224" spans="16:18" x14ac:dyDescent="0.2">
      <c r="P224" s="139"/>
      <c r="Q224" s="139"/>
      <c r="R224" s="139"/>
    </row>
    <row r="225" spans="16:18" x14ac:dyDescent="0.2">
      <c r="P225" s="139"/>
      <c r="Q225" s="139"/>
      <c r="R225" s="139"/>
    </row>
    <row r="226" spans="16:18" x14ac:dyDescent="0.2">
      <c r="P226" s="139"/>
      <c r="Q226" s="139"/>
      <c r="R226" s="139"/>
    </row>
    <row r="227" spans="16:18" x14ac:dyDescent="0.2">
      <c r="P227" s="139"/>
      <c r="Q227" s="139"/>
      <c r="R227" s="139"/>
    </row>
    <row r="228" spans="16:18" x14ac:dyDescent="0.2">
      <c r="P228" s="139"/>
      <c r="Q228" s="139"/>
      <c r="R228" s="139"/>
    </row>
    <row r="229" spans="16:18" x14ac:dyDescent="0.2">
      <c r="P229" s="139"/>
      <c r="Q229" s="139"/>
      <c r="R229" s="139"/>
    </row>
    <row r="230" spans="16:18" x14ac:dyDescent="0.2">
      <c r="P230" s="139"/>
      <c r="Q230" s="139"/>
      <c r="R230" s="139"/>
    </row>
    <row r="231" spans="16:18" x14ac:dyDescent="0.2">
      <c r="P231" s="139"/>
      <c r="Q231" s="139"/>
      <c r="R231" s="139"/>
    </row>
    <row r="232" spans="16:18" x14ac:dyDescent="0.2">
      <c r="P232" s="139"/>
      <c r="Q232" s="139"/>
      <c r="R232" s="139"/>
    </row>
    <row r="233" spans="16:18" x14ac:dyDescent="0.2">
      <c r="P233" s="139"/>
      <c r="Q233" s="139"/>
      <c r="R233" s="139"/>
    </row>
    <row r="234" spans="16:18" x14ac:dyDescent="0.2">
      <c r="P234" s="139"/>
      <c r="Q234" s="139"/>
      <c r="R234" s="139"/>
    </row>
    <row r="235" spans="16:18" x14ac:dyDescent="0.2">
      <c r="P235" s="139"/>
      <c r="Q235" s="139"/>
      <c r="R235" s="139"/>
    </row>
    <row r="236" spans="16:18" x14ac:dyDescent="0.2">
      <c r="P236" s="139"/>
      <c r="Q236" s="139"/>
      <c r="R236" s="139"/>
    </row>
    <row r="237" spans="16:18" x14ac:dyDescent="0.2">
      <c r="P237" s="139"/>
      <c r="Q237" s="139"/>
      <c r="R237" s="139"/>
    </row>
    <row r="238" spans="16:18" x14ac:dyDescent="0.2">
      <c r="P238" s="139"/>
      <c r="Q238" s="139"/>
      <c r="R238" s="139"/>
    </row>
    <row r="239" spans="16:18" x14ac:dyDescent="0.2">
      <c r="P239" s="139"/>
      <c r="Q239" s="139"/>
      <c r="R239" s="139"/>
    </row>
    <row r="240" spans="16:18" x14ac:dyDescent="0.2">
      <c r="P240" s="139"/>
      <c r="Q240" s="139"/>
      <c r="R240" s="139"/>
    </row>
    <row r="241" spans="16:18" x14ac:dyDescent="0.2">
      <c r="P241" s="139"/>
      <c r="Q241" s="139"/>
      <c r="R241" s="139"/>
    </row>
    <row r="242" spans="16:18" x14ac:dyDescent="0.2">
      <c r="P242" s="139"/>
      <c r="Q242" s="139"/>
      <c r="R242" s="139"/>
    </row>
    <row r="243" spans="16:18" x14ac:dyDescent="0.2">
      <c r="P243" s="139"/>
      <c r="Q243" s="139"/>
      <c r="R243" s="139"/>
    </row>
    <row r="244" spans="16:18" x14ac:dyDescent="0.2">
      <c r="P244" s="139"/>
      <c r="Q244" s="139"/>
      <c r="R244" s="139"/>
    </row>
    <row r="245" spans="16:18" x14ac:dyDescent="0.2">
      <c r="P245" s="139"/>
      <c r="Q245" s="139"/>
      <c r="R245" s="139"/>
    </row>
    <row r="246" spans="16:18" x14ac:dyDescent="0.2">
      <c r="P246" s="139"/>
      <c r="Q246" s="139"/>
      <c r="R246" s="139"/>
    </row>
    <row r="247" spans="16:18" x14ac:dyDescent="0.2">
      <c r="P247" s="139"/>
      <c r="Q247" s="139"/>
      <c r="R247" s="139"/>
    </row>
    <row r="248" spans="16:18" x14ac:dyDescent="0.2">
      <c r="P248" s="139"/>
      <c r="Q248" s="139"/>
      <c r="R248" s="139"/>
    </row>
    <row r="249" spans="16:18" x14ac:dyDescent="0.2">
      <c r="P249" s="139"/>
      <c r="Q249" s="139"/>
      <c r="R249" s="139"/>
    </row>
    <row r="250" spans="16:18" x14ac:dyDescent="0.2">
      <c r="P250" s="139"/>
      <c r="Q250" s="139"/>
      <c r="R250" s="139"/>
    </row>
    <row r="251" spans="16:18" x14ac:dyDescent="0.2">
      <c r="P251" s="139"/>
      <c r="Q251" s="139"/>
      <c r="R251" s="139"/>
    </row>
    <row r="252" spans="16:18" x14ac:dyDescent="0.2">
      <c r="P252" s="139"/>
      <c r="Q252" s="139"/>
      <c r="R252" s="139"/>
    </row>
    <row r="253" spans="16:18" x14ac:dyDescent="0.2">
      <c r="P253" s="139"/>
      <c r="Q253" s="139"/>
      <c r="R253" s="139"/>
    </row>
    <row r="254" spans="16:18" x14ac:dyDescent="0.2">
      <c r="P254" s="139"/>
      <c r="Q254" s="139"/>
      <c r="R254" s="139"/>
    </row>
    <row r="255" spans="16:18" x14ac:dyDescent="0.2">
      <c r="P255" s="139"/>
      <c r="Q255" s="139"/>
      <c r="R255" s="139"/>
    </row>
    <row r="256" spans="16:18" x14ac:dyDescent="0.2">
      <c r="P256" s="139"/>
      <c r="Q256" s="139"/>
      <c r="R256" s="139"/>
    </row>
    <row r="257" spans="16:18" x14ac:dyDescent="0.2">
      <c r="P257" s="139"/>
      <c r="Q257" s="139"/>
      <c r="R257" s="139"/>
    </row>
    <row r="258" spans="16:18" x14ac:dyDescent="0.2">
      <c r="P258" s="139"/>
      <c r="Q258" s="139"/>
      <c r="R258" s="139"/>
    </row>
    <row r="259" spans="16:18" x14ac:dyDescent="0.2">
      <c r="P259" s="139"/>
      <c r="Q259" s="139"/>
      <c r="R259" s="139"/>
    </row>
    <row r="260" spans="16:18" x14ac:dyDescent="0.2">
      <c r="P260" s="139"/>
      <c r="Q260" s="139"/>
      <c r="R260" s="139"/>
    </row>
    <row r="261" spans="16:18" x14ac:dyDescent="0.2">
      <c r="P261" s="139"/>
      <c r="Q261" s="139"/>
      <c r="R261" s="139"/>
    </row>
    <row r="262" spans="16:18" x14ac:dyDescent="0.2">
      <c r="P262" s="139"/>
      <c r="Q262" s="139"/>
      <c r="R262" s="139"/>
    </row>
    <row r="263" spans="16:18" x14ac:dyDescent="0.2">
      <c r="P263" s="139"/>
      <c r="Q263" s="139"/>
      <c r="R263" s="139"/>
    </row>
    <row r="264" spans="16:18" x14ac:dyDescent="0.2">
      <c r="P264" s="139"/>
      <c r="Q264" s="139"/>
      <c r="R264" s="139"/>
    </row>
    <row r="265" spans="16:18" x14ac:dyDescent="0.2">
      <c r="P265" s="139"/>
      <c r="Q265" s="139"/>
      <c r="R265" s="139"/>
    </row>
    <row r="266" spans="16:18" x14ac:dyDescent="0.2">
      <c r="P266" s="139"/>
      <c r="Q266" s="139"/>
      <c r="R266" s="139"/>
    </row>
    <row r="267" spans="16:18" x14ac:dyDescent="0.2">
      <c r="P267" s="139"/>
      <c r="Q267" s="139"/>
      <c r="R267" s="139"/>
    </row>
    <row r="268" spans="16:18" x14ac:dyDescent="0.2">
      <c r="P268" s="139"/>
      <c r="Q268" s="139"/>
      <c r="R268" s="139"/>
    </row>
    <row r="269" spans="16:18" x14ac:dyDescent="0.2">
      <c r="P269" s="139"/>
      <c r="Q269" s="139"/>
      <c r="R269" s="139"/>
    </row>
    <row r="270" spans="16:18" x14ac:dyDescent="0.2">
      <c r="P270" s="139"/>
      <c r="Q270" s="139"/>
      <c r="R270" s="139"/>
    </row>
    <row r="271" spans="16:18" x14ac:dyDescent="0.2">
      <c r="P271" s="139"/>
      <c r="Q271" s="139"/>
      <c r="R271" s="139"/>
    </row>
    <row r="272" spans="16:18" x14ac:dyDescent="0.2">
      <c r="P272" s="139"/>
      <c r="Q272" s="139"/>
      <c r="R272" s="139"/>
    </row>
    <row r="273" spans="16:18" x14ac:dyDescent="0.2">
      <c r="P273" s="139"/>
      <c r="Q273" s="139"/>
      <c r="R273" s="139"/>
    </row>
    <row r="274" spans="16:18" x14ac:dyDescent="0.2">
      <c r="P274" s="139"/>
      <c r="Q274" s="139"/>
      <c r="R274" s="139"/>
    </row>
    <row r="275" spans="16:18" x14ac:dyDescent="0.2">
      <c r="P275" s="139"/>
      <c r="Q275" s="139"/>
      <c r="R275" s="139"/>
    </row>
    <row r="276" spans="16:18" x14ac:dyDescent="0.2">
      <c r="P276" s="139"/>
      <c r="Q276" s="139"/>
      <c r="R276" s="139"/>
    </row>
    <row r="277" spans="16:18" x14ac:dyDescent="0.2">
      <c r="P277" s="139"/>
      <c r="Q277" s="139"/>
      <c r="R277" s="139"/>
    </row>
    <row r="278" spans="16:18" x14ac:dyDescent="0.2">
      <c r="P278" s="139"/>
      <c r="Q278" s="139"/>
      <c r="R278" s="139"/>
    </row>
    <row r="279" spans="16:18" x14ac:dyDescent="0.2">
      <c r="P279" s="139"/>
      <c r="Q279" s="139"/>
      <c r="R279" s="139"/>
    </row>
    <row r="280" spans="16:18" x14ac:dyDescent="0.2">
      <c r="P280" s="139"/>
      <c r="Q280" s="139"/>
      <c r="R280" s="139"/>
    </row>
    <row r="281" spans="16:18" x14ac:dyDescent="0.2">
      <c r="P281" s="139"/>
      <c r="Q281" s="139"/>
      <c r="R281" s="139"/>
    </row>
    <row r="282" spans="16:18" x14ac:dyDescent="0.2">
      <c r="P282" s="139"/>
      <c r="Q282" s="139"/>
      <c r="R282" s="139"/>
    </row>
    <row r="283" spans="16:18" x14ac:dyDescent="0.2">
      <c r="P283" s="139"/>
      <c r="Q283" s="139"/>
      <c r="R283" s="139"/>
    </row>
    <row r="284" spans="16:18" x14ac:dyDescent="0.2">
      <c r="P284" s="139"/>
      <c r="Q284" s="139"/>
      <c r="R284" s="139"/>
    </row>
    <row r="285" spans="16:18" x14ac:dyDescent="0.2">
      <c r="P285" s="139"/>
      <c r="Q285" s="139"/>
      <c r="R285" s="139"/>
    </row>
    <row r="286" spans="16:18" x14ac:dyDescent="0.2">
      <c r="P286" s="139"/>
      <c r="Q286" s="139"/>
      <c r="R286" s="139"/>
    </row>
    <row r="287" spans="16:18" x14ac:dyDescent="0.2">
      <c r="P287" s="139"/>
      <c r="Q287" s="139"/>
      <c r="R287" s="139"/>
    </row>
    <row r="288" spans="16:18" x14ac:dyDescent="0.2">
      <c r="P288" s="139"/>
      <c r="Q288" s="139"/>
      <c r="R288" s="139"/>
    </row>
    <row r="289" spans="16:18" x14ac:dyDescent="0.2">
      <c r="P289" s="139"/>
      <c r="Q289" s="139"/>
      <c r="R289" s="139"/>
    </row>
    <row r="290" spans="16:18" x14ac:dyDescent="0.2">
      <c r="P290" s="139"/>
      <c r="Q290" s="139"/>
      <c r="R290" s="139"/>
    </row>
    <row r="291" spans="16:18" x14ac:dyDescent="0.2">
      <c r="P291" s="139"/>
      <c r="Q291" s="139"/>
      <c r="R291" s="139"/>
    </row>
    <row r="292" spans="16:18" x14ac:dyDescent="0.2">
      <c r="P292" s="139"/>
      <c r="Q292" s="139"/>
      <c r="R292" s="139"/>
    </row>
    <row r="293" spans="16:18" x14ac:dyDescent="0.2">
      <c r="P293" s="139"/>
      <c r="Q293" s="139"/>
      <c r="R293" s="139"/>
    </row>
    <row r="294" spans="16:18" x14ac:dyDescent="0.2">
      <c r="P294" s="139"/>
      <c r="Q294" s="139"/>
      <c r="R294" s="139"/>
    </row>
    <row r="295" spans="16:18" x14ac:dyDescent="0.2">
      <c r="P295" s="139"/>
      <c r="Q295" s="139"/>
      <c r="R295" s="139"/>
    </row>
    <row r="296" spans="16:18" x14ac:dyDescent="0.2">
      <c r="P296" s="139"/>
      <c r="Q296" s="139"/>
      <c r="R296" s="139"/>
    </row>
    <row r="297" spans="16:18" x14ac:dyDescent="0.2">
      <c r="P297" s="139"/>
      <c r="Q297" s="139"/>
      <c r="R297" s="139"/>
    </row>
    <row r="298" spans="16:18" x14ac:dyDescent="0.2">
      <c r="P298" s="139"/>
      <c r="Q298" s="139"/>
      <c r="R298" s="139"/>
    </row>
    <row r="299" spans="16:18" x14ac:dyDescent="0.2">
      <c r="P299" s="139"/>
      <c r="Q299" s="139"/>
      <c r="R299" s="139"/>
    </row>
    <row r="300" spans="16:18" x14ac:dyDescent="0.2">
      <c r="P300" s="139"/>
      <c r="Q300" s="139"/>
      <c r="R300" s="139"/>
    </row>
    <row r="301" spans="16:18" x14ac:dyDescent="0.2">
      <c r="P301" s="139"/>
      <c r="Q301" s="139"/>
      <c r="R301" s="139"/>
    </row>
    <row r="302" spans="16:18" x14ac:dyDescent="0.2">
      <c r="P302" s="139"/>
      <c r="Q302" s="139"/>
      <c r="R302" s="139"/>
    </row>
    <row r="303" spans="16:18" x14ac:dyDescent="0.2">
      <c r="P303" s="139"/>
      <c r="Q303" s="139"/>
      <c r="R303" s="139"/>
    </row>
    <row r="304" spans="16:18" x14ac:dyDescent="0.2">
      <c r="P304" s="139"/>
      <c r="Q304" s="139"/>
      <c r="R304" s="139"/>
    </row>
    <row r="305" spans="16:18" x14ac:dyDescent="0.2">
      <c r="P305" s="139"/>
      <c r="Q305" s="139"/>
      <c r="R305" s="139"/>
    </row>
    <row r="306" spans="16:18" x14ac:dyDescent="0.2">
      <c r="P306" s="139"/>
      <c r="Q306" s="139"/>
      <c r="R306" s="139"/>
    </row>
    <row r="307" spans="16:18" x14ac:dyDescent="0.2">
      <c r="P307" s="139"/>
      <c r="Q307" s="139"/>
      <c r="R307" s="139"/>
    </row>
    <row r="308" spans="16:18" x14ac:dyDescent="0.2">
      <c r="P308" s="139"/>
      <c r="Q308" s="139"/>
      <c r="R308" s="139"/>
    </row>
    <row r="309" spans="16:18" x14ac:dyDescent="0.2">
      <c r="P309" s="139"/>
      <c r="Q309" s="139"/>
      <c r="R309" s="139"/>
    </row>
    <row r="310" spans="16:18" x14ac:dyDescent="0.2">
      <c r="P310" s="139"/>
      <c r="Q310" s="139"/>
      <c r="R310" s="139"/>
    </row>
    <row r="311" spans="16:18" x14ac:dyDescent="0.2">
      <c r="P311" s="139"/>
      <c r="Q311" s="139"/>
      <c r="R311" s="139"/>
    </row>
    <row r="312" spans="16:18" x14ac:dyDescent="0.2">
      <c r="P312" s="139"/>
      <c r="Q312" s="139"/>
      <c r="R312" s="139"/>
    </row>
    <row r="313" spans="16:18" x14ac:dyDescent="0.2">
      <c r="P313" s="139"/>
      <c r="Q313" s="139"/>
      <c r="R313" s="139"/>
    </row>
    <row r="314" spans="16:18" x14ac:dyDescent="0.2">
      <c r="P314" s="139"/>
      <c r="Q314" s="139"/>
      <c r="R314" s="139"/>
    </row>
    <row r="315" spans="16:18" x14ac:dyDescent="0.2">
      <c r="P315" s="139"/>
      <c r="Q315" s="139"/>
      <c r="R315" s="139"/>
    </row>
    <row r="316" spans="16:18" x14ac:dyDescent="0.2">
      <c r="P316" s="139"/>
      <c r="Q316" s="139"/>
      <c r="R316" s="139"/>
    </row>
    <row r="317" spans="16:18" x14ac:dyDescent="0.2">
      <c r="P317" s="139"/>
      <c r="Q317" s="139"/>
      <c r="R317" s="139"/>
    </row>
    <row r="318" spans="16:18" x14ac:dyDescent="0.2">
      <c r="P318" s="139"/>
      <c r="Q318" s="139"/>
      <c r="R318" s="139"/>
    </row>
    <row r="319" spans="16:18" x14ac:dyDescent="0.2">
      <c r="P319" s="139"/>
      <c r="Q319" s="139"/>
      <c r="R319" s="139"/>
    </row>
    <row r="320" spans="16:18" x14ac:dyDescent="0.2">
      <c r="P320" s="139"/>
      <c r="Q320" s="139"/>
      <c r="R320" s="139"/>
    </row>
    <row r="321" spans="16:18" x14ac:dyDescent="0.2">
      <c r="P321" s="139"/>
      <c r="Q321" s="139"/>
      <c r="R321" s="139"/>
    </row>
    <row r="322" spans="16:18" x14ac:dyDescent="0.2">
      <c r="P322" s="139"/>
      <c r="Q322" s="139"/>
      <c r="R322" s="139"/>
    </row>
    <row r="323" spans="16:18" x14ac:dyDescent="0.2">
      <c r="P323" s="139"/>
      <c r="Q323" s="139"/>
      <c r="R323" s="139"/>
    </row>
    <row r="324" spans="16:18" x14ac:dyDescent="0.2">
      <c r="P324" s="139"/>
      <c r="Q324" s="139"/>
      <c r="R324" s="139"/>
    </row>
    <row r="325" spans="16:18" x14ac:dyDescent="0.2">
      <c r="P325" s="139"/>
      <c r="Q325" s="139"/>
      <c r="R325" s="139"/>
    </row>
    <row r="326" spans="16:18" x14ac:dyDescent="0.2">
      <c r="P326" s="139"/>
      <c r="Q326" s="139"/>
      <c r="R326" s="139"/>
    </row>
    <row r="327" spans="16:18" x14ac:dyDescent="0.2">
      <c r="P327" s="139"/>
      <c r="Q327" s="139"/>
      <c r="R327" s="139"/>
    </row>
    <row r="328" spans="16:18" x14ac:dyDescent="0.2">
      <c r="P328" s="139"/>
      <c r="Q328" s="139"/>
      <c r="R328" s="139"/>
    </row>
    <row r="329" spans="16:18" x14ac:dyDescent="0.2">
      <c r="P329" s="139"/>
      <c r="Q329" s="139"/>
      <c r="R329" s="139"/>
    </row>
    <row r="330" spans="16:18" x14ac:dyDescent="0.2">
      <c r="P330" s="139"/>
      <c r="Q330" s="139"/>
      <c r="R330" s="139"/>
    </row>
    <row r="331" spans="16:18" x14ac:dyDescent="0.2">
      <c r="P331" s="139"/>
      <c r="Q331" s="139"/>
      <c r="R331" s="139"/>
    </row>
    <row r="332" spans="16:18" x14ac:dyDescent="0.2">
      <c r="P332" s="139"/>
      <c r="Q332" s="139"/>
      <c r="R332" s="139"/>
    </row>
    <row r="333" spans="16:18" x14ac:dyDescent="0.2">
      <c r="P333" s="139"/>
      <c r="Q333" s="139"/>
      <c r="R333" s="139"/>
    </row>
    <row r="334" spans="16:18" x14ac:dyDescent="0.2">
      <c r="P334" s="139"/>
      <c r="Q334" s="139"/>
      <c r="R334" s="139"/>
    </row>
    <row r="335" spans="16:18" x14ac:dyDescent="0.2">
      <c r="P335" s="139"/>
      <c r="Q335" s="139"/>
      <c r="R335" s="139"/>
    </row>
    <row r="336" spans="16:18" x14ac:dyDescent="0.2">
      <c r="P336" s="139"/>
      <c r="Q336" s="139"/>
      <c r="R336" s="139"/>
    </row>
    <row r="337" spans="16:18" x14ac:dyDescent="0.2">
      <c r="P337" s="139"/>
      <c r="Q337" s="139"/>
      <c r="R337" s="139"/>
    </row>
    <row r="338" spans="16:18" x14ac:dyDescent="0.2">
      <c r="P338" s="139"/>
      <c r="Q338" s="139"/>
      <c r="R338" s="139"/>
    </row>
    <row r="339" spans="16:18" x14ac:dyDescent="0.2">
      <c r="P339" s="139"/>
      <c r="Q339" s="139"/>
      <c r="R339" s="139"/>
    </row>
    <row r="340" spans="16:18" x14ac:dyDescent="0.2">
      <c r="P340" s="139"/>
      <c r="Q340" s="139"/>
      <c r="R340" s="139"/>
    </row>
    <row r="341" spans="16:18" x14ac:dyDescent="0.2">
      <c r="P341" s="139"/>
      <c r="Q341" s="139"/>
      <c r="R341" s="139"/>
    </row>
    <row r="342" spans="16:18" x14ac:dyDescent="0.2">
      <c r="P342" s="139"/>
      <c r="Q342" s="139"/>
      <c r="R342" s="139"/>
    </row>
    <row r="343" spans="16:18" x14ac:dyDescent="0.2">
      <c r="P343" s="139"/>
      <c r="Q343" s="139"/>
      <c r="R343" s="139"/>
    </row>
    <row r="344" spans="16:18" x14ac:dyDescent="0.2">
      <c r="P344" s="139"/>
      <c r="Q344" s="139"/>
      <c r="R344" s="139"/>
    </row>
    <row r="345" spans="16:18" x14ac:dyDescent="0.2">
      <c r="P345" s="139"/>
      <c r="Q345" s="139"/>
      <c r="R345" s="139"/>
    </row>
    <row r="346" spans="16:18" x14ac:dyDescent="0.2">
      <c r="P346" s="139"/>
      <c r="Q346" s="139"/>
      <c r="R346" s="139"/>
    </row>
    <row r="347" spans="16:18" x14ac:dyDescent="0.2">
      <c r="P347" s="139"/>
      <c r="Q347" s="139"/>
      <c r="R347" s="139"/>
    </row>
    <row r="348" spans="16:18" x14ac:dyDescent="0.2">
      <c r="P348" s="139"/>
      <c r="Q348" s="139"/>
      <c r="R348" s="139"/>
    </row>
    <row r="349" spans="16:18" x14ac:dyDescent="0.2">
      <c r="P349" s="139"/>
      <c r="Q349" s="139"/>
      <c r="R349" s="139"/>
    </row>
    <row r="350" spans="16:18" x14ac:dyDescent="0.2">
      <c r="P350" s="139"/>
      <c r="Q350" s="139"/>
      <c r="R350" s="139"/>
    </row>
    <row r="351" spans="16:18" x14ac:dyDescent="0.2">
      <c r="P351" s="139"/>
      <c r="Q351" s="139"/>
      <c r="R351" s="139"/>
    </row>
    <row r="352" spans="16:18" x14ac:dyDescent="0.2">
      <c r="P352" s="139"/>
      <c r="Q352" s="139"/>
      <c r="R352" s="139"/>
    </row>
    <row r="353" spans="16:18" x14ac:dyDescent="0.2">
      <c r="P353" s="139"/>
      <c r="Q353" s="139"/>
      <c r="R353" s="139"/>
    </row>
    <row r="354" spans="16:18" x14ac:dyDescent="0.2">
      <c r="P354" s="139"/>
      <c r="Q354" s="139"/>
      <c r="R354" s="139"/>
    </row>
    <row r="355" spans="16:18" x14ac:dyDescent="0.2">
      <c r="P355" s="139"/>
      <c r="Q355" s="139"/>
      <c r="R355" s="139"/>
    </row>
    <row r="356" spans="16:18" x14ac:dyDescent="0.2">
      <c r="P356" s="139"/>
      <c r="Q356" s="139"/>
      <c r="R356" s="139"/>
    </row>
    <row r="357" spans="16:18" x14ac:dyDescent="0.2">
      <c r="P357" s="139"/>
      <c r="Q357" s="139"/>
      <c r="R357" s="139"/>
    </row>
    <row r="358" spans="16:18" x14ac:dyDescent="0.2">
      <c r="P358" s="139"/>
      <c r="Q358" s="139"/>
      <c r="R358" s="139"/>
    </row>
    <row r="359" spans="16:18" x14ac:dyDescent="0.2">
      <c r="P359" s="139"/>
      <c r="Q359" s="139"/>
      <c r="R359" s="139"/>
    </row>
    <row r="360" spans="16:18" x14ac:dyDescent="0.2">
      <c r="P360" s="139"/>
      <c r="Q360" s="139"/>
      <c r="R360" s="139"/>
    </row>
    <row r="361" spans="16:18" x14ac:dyDescent="0.2">
      <c r="P361" s="139"/>
      <c r="Q361" s="139"/>
      <c r="R361" s="139"/>
    </row>
    <row r="362" spans="16:18" x14ac:dyDescent="0.2">
      <c r="P362" s="139"/>
      <c r="Q362" s="139"/>
      <c r="R362" s="139"/>
    </row>
    <row r="363" spans="16:18" x14ac:dyDescent="0.2">
      <c r="P363" s="139"/>
      <c r="Q363" s="139"/>
      <c r="R363" s="139"/>
    </row>
    <row r="364" spans="16:18" x14ac:dyDescent="0.2">
      <c r="P364" s="139"/>
      <c r="Q364" s="139"/>
      <c r="R364" s="139"/>
    </row>
    <row r="365" spans="16:18" x14ac:dyDescent="0.2">
      <c r="P365" s="139"/>
      <c r="Q365" s="139"/>
      <c r="R365" s="139"/>
    </row>
    <row r="366" spans="16:18" x14ac:dyDescent="0.2">
      <c r="P366" s="139"/>
      <c r="Q366" s="139"/>
      <c r="R366" s="139"/>
    </row>
    <row r="367" spans="16:18" x14ac:dyDescent="0.2">
      <c r="P367" s="139"/>
      <c r="Q367" s="139"/>
      <c r="R367" s="139"/>
    </row>
    <row r="368" spans="16:18" x14ac:dyDescent="0.2">
      <c r="P368" s="139"/>
      <c r="Q368" s="139"/>
      <c r="R368" s="139"/>
    </row>
    <row r="369" spans="16:18" x14ac:dyDescent="0.2">
      <c r="P369" s="139"/>
      <c r="Q369" s="139"/>
      <c r="R369" s="139"/>
    </row>
    <row r="370" spans="16:18" x14ac:dyDescent="0.2">
      <c r="P370" s="139"/>
      <c r="Q370" s="139"/>
      <c r="R370" s="139"/>
    </row>
    <row r="371" spans="16:18" x14ac:dyDescent="0.2">
      <c r="P371" s="139"/>
      <c r="Q371" s="139"/>
      <c r="R371" s="139"/>
    </row>
    <row r="372" spans="16:18" x14ac:dyDescent="0.2">
      <c r="P372" s="139"/>
      <c r="Q372" s="139"/>
      <c r="R372" s="139"/>
    </row>
    <row r="373" spans="16:18" x14ac:dyDescent="0.2">
      <c r="P373" s="139"/>
      <c r="Q373" s="139"/>
      <c r="R373" s="139"/>
    </row>
    <row r="374" spans="16:18" x14ac:dyDescent="0.2">
      <c r="P374" s="139"/>
      <c r="Q374" s="139"/>
      <c r="R374" s="139"/>
    </row>
    <row r="375" spans="16:18" x14ac:dyDescent="0.2">
      <c r="P375" s="139"/>
      <c r="Q375" s="139"/>
      <c r="R375" s="139"/>
    </row>
    <row r="376" spans="16:18" x14ac:dyDescent="0.2">
      <c r="P376" s="139"/>
      <c r="Q376" s="139"/>
      <c r="R376" s="139"/>
    </row>
    <row r="377" spans="16:18" x14ac:dyDescent="0.2">
      <c r="P377" s="139"/>
      <c r="Q377" s="139"/>
      <c r="R377" s="139"/>
    </row>
    <row r="378" spans="16:18" x14ac:dyDescent="0.2">
      <c r="P378" s="139"/>
      <c r="Q378" s="139"/>
      <c r="R378" s="139"/>
    </row>
    <row r="379" spans="16:18" x14ac:dyDescent="0.2">
      <c r="P379" s="139"/>
      <c r="Q379" s="139"/>
      <c r="R379" s="139"/>
    </row>
    <row r="380" spans="16:18" x14ac:dyDescent="0.2">
      <c r="P380" s="139"/>
      <c r="Q380" s="139"/>
      <c r="R380" s="139"/>
    </row>
    <row r="381" spans="16:18" x14ac:dyDescent="0.2">
      <c r="P381" s="139"/>
      <c r="Q381" s="139"/>
      <c r="R381" s="139"/>
    </row>
    <row r="382" spans="16:18" x14ac:dyDescent="0.2">
      <c r="P382" s="139"/>
      <c r="Q382" s="139"/>
      <c r="R382" s="139"/>
    </row>
    <row r="383" spans="16:18" x14ac:dyDescent="0.2">
      <c r="P383" s="139"/>
      <c r="Q383" s="139"/>
      <c r="R383" s="139"/>
    </row>
    <row r="384" spans="16:18" x14ac:dyDescent="0.2">
      <c r="P384" s="139"/>
      <c r="Q384" s="139"/>
      <c r="R384" s="139"/>
    </row>
    <row r="385" spans="16:18" x14ac:dyDescent="0.2">
      <c r="P385" s="139"/>
      <c r="Q385" s="139"/>
      <c r="R385" s="139"/>
    </row>
    <row r="386" spans="16:18" x14ac:dyDescent="0.2">
      <c r="P386" s="139"/>
      <c r="Q386" s="139"/>
      <c r="R386" s="139"/>
    </row>
    <row r="387" spans="16:18" x14ac:dyDescent="0.2">
      <c r="P387" s="139"/>
      <c r="Q387" s="139"/>
      <c r="R387" s="139"/>
    </row>
    <row r="388" spans="16:18" x14ac:dyDescent="0.2">
      <c r="P388" s="139"/>
      <c r="Q388" s="139"/>
      <c r="R388" s="139"/>
    </row>
    <row r="389" spans="16:18" x14ac:dyDescent="0.2">
      <c r="P389" s="139"/>
      <c r="Q389" s="139"/>
      <c r="R389" s="139"/>
    </row>
    <row r="390" spans="16:18" x14ac:dyDescent="0.2">
      <c r="P390" s="139"/>
      <c r="Q390" s="139"/>
      <c r="R390" s="139"/>
    </row>
    <row r="391" spans="16:18" x14ac:dyDescent="0.2">
      <c r="P391" s="139"/>
      <c r="Q391" s="139"/>
      <c r="R391" s="139"/>
    </row>
    <row r="392" spans="16:18" x14ac:dyDescent="0.2">
      <c r="P392" s="139"/>
      <c r="Q392" s="139"/>
      <c r="R392" s="139"/>
    </row>
    <row r="393" spans="16:18" x14ac:dyDescent="0.2">
      <c r="P393" s="139"/>
      <c r="Q393" s="139"/>
      <c r="R393" s="139"/>
    </row>
    <row r="394" spans="16:18" x14ac:dyDescent="0.2">
      <c r="P394" s="139"/>
      <c r="Q394" s="139"/>
      <c r="R394" s="139"/>
    </row>
    <row r="395" spans="16:18" x14ac:dyDescent="0.2">
      <c r="P395" s="139"/>
      <c r="Q395" s="139"/>
      <c r="R395" s="139"/>
    </row>
    <row r="396" spans="16:18" x14ac:dyDescent="0.2">
      <c r="P396" s="139"/>
      <c r="Q396" s="139"/>
      <c r="R396" s="139"/>
    </row>
    <row r="397" spans="16:18" x14ac:dyDescent="0.2">
      <c r="P397" s="139"/>
      <c r="Q397" s="139"/>
      <c r="R397" s="139"/>
    </row>
    <row r="398" spans="16:18" x14ac:dyDescent="0.2">
      <c r="P398" s="139"/>
      <c r="Q398" s="139"/>
      <c r="R398" s="139"/>
    </row>
    <row r="399" spans="16:18" x14ac:dyDescent="0.2">
      <c r="P399" s="139"/>
      <c r="Q399" s="139"/>
      <c r="R399" s="139"/>
    </row>
    <row r="400" spans="16:18" x14ac:dyDescent="0.2">
      <c r="P400" s="139"/>
      <c r="Q400" s="139"/>
      <c r="R400" s="139"/>
    </row>
    <row r="401" spans="16:18" x14ac:dyDescent="0.2">
      <c r="P401" s="139"/>
      <c r="Q401" s="139"/>
      <c r="R401" s="139"/>
    </row>
    <row r="402" spans="16:18" x14ac:dyDescent="0.2">
      <c r="P402" s="139"/>
      <c r="Q402" s="139"/>
      <c r="R402" s="139"/>
    </row>
    <row r="403" spans="16:18" x14ac:dyDescent="0.2">
      <c r="P403" s="139"/>
      <c r="Q403" s="139"/>
      <c r="R403" s="139"/>
    </row>
    <row r="404" spans="16:18" x14ac:dyDescent="0.2">
      <c r="P404" s="139"/>
      <c r="Q404" s="139"/>
      <c r="R404" s="139"/>
    </row>
    <row r="405" spans="16:18" x14ac:dyDescent="0.2">
      <c r="P405" s="139"/>
      <c r="Q405" s="139"/>
      <c r="R405" s="139"/>
    </row>
    <row r="406" spans="16:18" x14ac:dyDescent="0.2">
      <c r="P406" s="139"/>
      <c r="Q406" s="139"/>
      <c r="R406" s="139"/>
    </row>
    <row r="407" spans="16:18" x14ac:dyDescent="0.2">
      <c r="P407" s="139"/>
      <c r="Q407" s="139"/>
      <c r="R407" s="139"/>
    </row>
    <row r="408" spans="16:18" x14ac:dyDescent="0.2">
      <c r="P408" s="139"/>
      <c r="Q408" s="139"/>
      <c r="R408" s="139"/>
    </row>
    <row r="409" spans="16:18" x14ac:dyDescent="0.2">
      <c r="P409" s="139"/>
      <c r="Q409" s="139"/>
      <c r="R409" s="139"/>
    </row>
    <row r="410" spans="16:18" x14ac:dyDescent="0.2">
      <c r="P410" s="139"/>
      <c r="Q410" s="139"/>
      <c r="R410" s="139"/>
    </row>
    <row r="411" spans="16:18" x14ac:dyDescent="0.2">
      <c r="P411" s="139"/>
      <c r="Q411" s="139"/>
      <c r="R411" s="139"/>
    </row>
    <row r="412" spans="16:18" x14ac:dyDescent="0.2">
      <c r="P412" s="139"/>
      <c r="Q412" s="139"/>
      <c r="R412" s="139"/>
    </row>
    <row r="413" spans="16:18" x14ac:dyDescent="0.2">
      <c r="P413" s="139"/>
      <c r="Q413" s="139"/>
      <c r="R413" s="139"/>
    </row>
    <row r="414" spans="16:18" x14ac:dyDescent="0.2">
      <c r="P414" s="139"/>
      <c r="Q414" s="139"/>
      <c r="R414" s="139"/>
    </row>
    <row r="415" spans="16:18" x14ac:dyDescent="0.2">
      <c r="P415" s="139"/>
      <c r="Q415" s="139"/>
      <c r="R415" s="139"/>
    </row>
    <row r="416" spans="16:18" x14ac:dyDescent="0.2">
      <c r="P416" s="139"/>
      <c r="Q416" s="139"/>
      <c r="R416" s="139"/>
    </row>
    <row r="417" spans="16:18" x14ac:dyDescent="0.2">
      <c r="P417" s="139"/>
      <c r="Q417" s="139"/>
      <c r="R417" s="139"/>
    </row>
    <row r="418" spans="16:18" x14ac:dyDescent="0.2">
      <c r="P418" s="139"/>
      <c r="Q418" s="139"/>
      <c r="R418" s="139"/>
    </row>
    <row r="419" spans="16:18" x14ac:dyDescent="0.2">
      <c r="P419" s="139"/>
      <c r="Q419" s="139"/>
      <c r="R419" s="139"/>
    </row>
    <row r="420" spans="16:18" x14ac:dyDescent="0.2">
      <c r="P420" s="139"/>
      <c r="Q420" s="139"/>
      <c r="R420" s="139"/>
    </row>
    <row r="421" spans="16:18" x14ac:dyDescent="0.2">
      <c r="P421" s="139"/>
      <c r="Q421" s="139"/>
      <c r="R421" s="139"/>
    </row>
    <row r="422" spans="16:18" x14ac:dyDescent="0.2">
      <c r="P422" s="139"/>
      <c r="Q422" s="139"/>
      <c r="R422" s="139"/>
    </row>
    <row r="423" spans="16:18" x14ac:dyDescent="0.2">
      <c r="P423" s="139"/>
      <c r="Q423" s="139"/>
      <c r="R423" s="139"/>
    </row>
    <row r="424" spans="16:18" x14ac:dyDescent="0.2">
      <c r="P424" s="139"/>
      <c r="Q424" s="139"/>
      <c r="R424" s="139"/>
    </row>
    <row r="425" spans="16:18" x14ac:dyDescent="0.2">
      <c r="P425" s="139"/>
      <c r="Q425" s="139"/>
      <c r="R425" s="139"/>
    </row>
    <row r="426" spans="16:18" x14ac:dyDescent="0.2">
      <c r="P426" s="139"/>
      <c r="Q426" s="139"/>
      <c r="R426" s="139"/>
    </row>
    <row r="427" spans="16:18" x14ac:dyDescent="0.2">
      <c r="P427" s="139"/>
      <c r="Q427" s="139"/>
      <c r="R427" s="139"/>
    </row>
    <row r="428" spans="16:18" x14ac:dyDescent="0.2">
      <c r="P428" s="139"/>
      <c r="Q428" s="139"/>
      <c r="R428" s="139"/>
    </row>
    <row r="429" spans="16:18" x14ac:dyDescent="0.2">
      <c r="P429" s="139"/>
      <c r="Q429" s="139"/>
      <c r="R429" s="139"/>
    </row>
    <row r="430" spans="16:18" x14ac:dyDescent="0.2">
      <c r="P430" s="139"/>
      <c r="Q430" s="139"/>
      <c r="R430" s="139"/>
    </row>
    <row r="431" spans="16:18" x14ac:dyDescent="0.2">
      <c r="P431" s="139"/>
      <c r="Q431" s="139"/>
      <c r="R431" s="139"/>
    </row>
    <row r="432" spans="16:18" x14ac:dyDescent="0.2">
      <c r="P432" s="139"/>
      <c r="Q432" s="139"/>
      <c r="R432" s="139"/>
    </row>
    <row r="433" spans="16:18" x14ac:dyDescent="0.2">
      <c r="P433" s="139"/>
      <c r="Q433" s="139"/>
      <c r="R433" s="139"/>
    </row>
    <row r="434" spans="16:18" x14ac:dyDescent="0.2">
      <c r="P434" s="139"/>
      <c r="Q434" s="139"/>
      <c r="R434" s="139"/>
    </row>
    <row r="435" spans="16:18" x14ac:dyDescent="0.2">
      <c r="P435" s="139"/>
      <c r="Q435" s="139"/>
      <c r="R435" s="139"/>
    </row>
    <row r="436" spans="16:18" x14ac:dyDescent="0.2">
      <c r="P436" s="139"/>
      <c r="Q436" s="139"/>
      <c r="R436" s="139"/>
    </row>
    <row r="437" spans="16:18" x14ac:dyDescent="0.2">
      <c r="P437" s="139"/>
      <c r="Q437" s="139"/>
      <c r="R437" s="139"/>
    </row>
    <row r="438" spans="16:18" x14ac:dyDescent="0.2">
      <c r="P438" s="139"/>
      <c r="Q438" s="139"/>
      <c r="R438" s="139"/>
    </row>
    <row r="439" spans="16:18" x14ac:dyDescent="0.2">
      <c r="P439" s="139"/>
      <c r="Q439" s="139"/>
      <c r="R439" s="139"/>
    </row>
    <row r="440" spans="16:18" x14ac:dyDescent="0.2">
      <c r="P440" s="139"/>
      <c r="Q440" s="139"/>
      <c r="R440" s="139"/>
    </row>
    <row r="441" spans="16:18" x14ac:dyDescent="0.2">
      <c r="P441" s="139"/>
      <c r="Q441" s="139"/>
      <c r="R441" s="139"/>
    </row>
    <row r="442" spans="16:18" x14ac:dyDescent="0.2">
      <c r="P442" s="139"/>
      <c r="Q442" s="139"/>
      <c r="R442" s="139"/>
    </row>
    <row r="443" spans="16:18" x14ac:dyDescent="0.2">
      <c r="P443" s="139"/>
      <c r="Q443" s="139"/>
      <c r="R443" s="139"/>
    </row>
    <row r="444" spans="16:18" x14ac:dyDescent="0.2">
      <c r="P444" s="139"/>
      <c r="Q444" s="139"/>
      <c r="R444" s="139"/>
    </row>
    <row r="445" spans="16:18" x14ac:dyDescent="0.2">
      <c r="P445" s="139"/>
      <c r="Q445" s="139"/>
      <c r="R445" s="139"/>
    </row>
    <row r="446" spans="16:18" x14ac:dyDescent="0.2">
      <c r="P446" s="139"/>
      <c r="Q446" s="139"/>
      <c r="R446" s="139"/>
    </row>
    <row r="447" spans="16:18" x14ac:dyDescent="0.2">
      <c r="P447" s="139"/>
      <c r="Q447" s="139"/>
      <c r="R447" s="139"/>
    </row>
    <row r="448" spans="16:18" x14ac:dyDescent="0.2">
      <c r="P448" s="139"/>
      <c r="Q448" s="139"/>
      <c r="R448" s="139"/>
    </row>
    <row r="449" spans="16:18" x14ac:dyDescent="0.2">
      <c r="P449" s="139"/>
      <c r="Q449" s="139"/>
      <c r="R449" s="139"/>
    </row>
    <row r="450" spans="16:18" x14ac:dyDescent="0.2">
      <c r="P450" s="139"/>
      <c r="Q450" s="139"/>
      <c r="R450" s="139"/>
    </row>
    <row r="451" spans="16:18" x14ac:dyDescent="0.2">
      <c r="P451" s="139"/>
      <c r="Q451" s="139"/>
      <c r="R451" s="139"/>
    </row>
    <row r="452" spans="16:18" x14ac:dyDescent="0.2">
      <c r="P452" s="139"/>
      <c r="Q452" s="139"/>
      <c r="R452" s="139"/>
    </row>
    <row r="453" spans="16:18" x14ac:dyDescent="0.2">
      <c r="P453" s="139"/>
      <c r="Q453" s="139"/>
      <c r="R453" s="139"/>
    </row>
    <row r="454" spans="16:18" x14ac:dyDescent="0.2">
      <c r="P454" s="139"/>
      <c r="Q454" s="139"/>
      <c r="R454" s="139"/>
    </row>
    <row r="455" spans="16:18" x14ac:dyDescent="0.2">
      <c r="P455" s="139"/>
      <c r="Q455" s="139"/>
      <c r="R455" s="139"/>
    </row>
    <row r="456" spans="16:18" x14ac:dyDescent="0.2">
      <c r="P456" s="139"/>
      <c r="Q456" s="139"/>
      <c r="R456" s="139"/>
    </row>
    <row r="457" spans="16:18" x14ac:dyDescent="0.2">
      <c r="P457" s="139"/>
      <c r="Q457" s="139"/>
      <c r="R457" s="139"/>
    </row>
    <row r="458" spans="16:18" x14ac:dyDescent="0.2">
      <c r="P458" s="139"/>
      <c r="Q458" s="139"/>
      <c r="R458" s="139"/>
    </row>
    <row r="459" spans="16:18" x14ac:dyDescent="0.2">
      <c r="P459" s="139"/>
      <c r="Q459" s="139"/>
      <c r="R459" s="139"/>
    </row>
    <row r="460" spans="16:18" x14ac:dyDescent="0.2">
      <c r="P460" s="139"/>
      <c r="Q460" s="139"/>
      <c r="R460" s="139"/>
    </row>
    <row r="461" spans="16:18" x14ac:dyDescent="0.2">
      <c r="P461" s="139"/>
      <c r="Q461" s="139"/>
      <c r="R461" s="139"/>
    </row>
    <row r="462" spans="16:18" x14ac:dyDescent="0.2">
      <c r="P462" s="139"/>
      <c r="Q462" s="139"/>
      <c r="R462" s="139"/>
    </row>
    <row r="463" spans="16:18" x14ac:dyDescent="0.2">
      <c r="P463" s="139"/>
      <c r="Q463" s="139"/>
      <c r="R463" s="139"/>
    </row>
    <row r="464" spans="16:18" x14ac:dyDescent="0.2">
      <c r="P464" s="139"/>
      <c r="Q464" s="139"/>
      <c r="R464" s="139"/>
    </row>
    <row r="465" spans="16:18" x14ac:dyDescent="0.2">
      <c r="P465" s="139"/>
      <c r="Q465" s="139"/>
      <c r="R465" s="139"/>
    </row>
    <row r="466" spans="16:18" x14ac:dyDescent="0.2">
      <c r="P466" s="139"/>
      <c r="Q466" s="139"/>
      <c r="R466" s="139"/>
    </row>
    <row r="467" spans="16:18" x14ac:dyDescent="0.2">
      <c r="P467" s="139"/>
      <c r="Q467" s="139"/>
      <c r="R467" s="139"/>
    </row>
    <row r="468" spans="16:18" x14ac:dyDescent="0.2">
      <c r="P468" s="139"/>
      <c r="Q468" s="139"/>
      <c r="R468" s="139"/>
    </row>
    <row r="469" spans="16:18" x14ac:dyDescent="0.2">
      <c r="P469" s="139"/>
      <c r="Q469" s="139"/>
      <c r="R469" s="139"/>
    </row>
    <row r="470" spans="16:18" x14ac:dyDescent="0.2">
      <c r="P470" s="139"/>
      <c r="Q470" s="139"/>
      <c r="R470" s="139"/>
    </row>
    <row r="471" spans="16:18" x14ac:dyDescent="0.2">
      <c r="P471" s="139"/>
      <c r="Q471" s="139"/>
      <c r="R471" s="139"/>
    </row>
    <row r="472" spans="16:18" x14ac:dyDescent="0.2">
      <c r="P472" s="139"/>
      <c r="Q472" s="139"/>
      <c r="R472" s="139"/>
    </row>
    <row r="473" spans="16:18" x14ac:dyDescent="0.2">
      <c r="P473" s="139"/>
      <c r="Q473" s="139"/>
      <c r="R473" s="139"/>
    </row>
    <row r="474" spans="16:18" x14ac:dyDescent="0.2">
      <c r="P474" s="139"/>
      <c r="Q474" s="139"/>
      <c r="R474" s="139"/>
    </row>
    <row r="475" spans="16:18" x14ac:dyDescent="0.2">
      <c r="P475" s="139"/>
      <c r="Q475" s="139"/>
      <c r="R475" s="139"/>
    </row>
    <row r="476" spans="16:18" x14ac:dyDescent="0.2">
      <c r="P476" s="139"/>
      <c r="Q476" s="139"/>
      <c r="R476" s="139"/>
    </row>
    <row r="477" spans="16:18" x14ac:dyDescent="0.2">
      <c r="P477" s="139"/>
      <c r="Q477" s="139"/>
      <c r="R477" s="139"/>
    </row>
    <row r="478" spans="16:18" x14ac:dyDescent="0.2">
      <c r="P478" s="139"/>
      <c r="Q478" s="139"/>
      <c r="R478" s="139"/>
    </row>
    <row r="479" spans="16:18" x14ac:dyDescent="0.2">
      <c r="P479" s="139"/>
      <c r="Q479" s="139"/>
      <c r="R479" s="139"/>
    </row>
    <row r="480" spans="16:18" x14ac:dyDescent="0.2">
      <c r="P480" s="139"/>
      <c r="Q480" s="139"/>
      <c r="R480" s="139"/>
    </row>
    <row r="481" spans="16:18" x14ac:dyDescent="0.2">
      <c r="P481" s="139"/>
      <c r="Q481" s="139"/>
      <c r="R481" s="139"/>
    </row>
    <row r="482" spans="16:18" x14ac:dyDescent="0.2">
      <c r="P482" s="139"/>
      <c r="Q482" s="139"/>
      <c r="R482" s="139"/>
    </row>
    <row r="483" spans="16:18" x14ac:dyDescent="0.2">
      <c r="P483" s="139"/>
      <c r="Q483" s="139"/>
      <c r="R483" s="139"/>
    </row>
    <row r="484" spans="16:18" x14ac:dyDescent="0.2">
      <c r="P484" s="139"/>
      <c r="Q484" s="139"/>
      <c r="R484" s="139"/>
    </row>
    <row r="485" spans="16:18" x14ac:dyDescent="0.2">
      <c r="P485" s="139"/>
      <c r="Q485" s="139"/>
      <c r="R485" s="139"/>
    </row>
    <row r="486" spans="16:18" x14ac:dyDescent="0.2">
      <c r="P486" s="139"/>
      <c r="Q486" s="139"/>
      <c r="R486" s="139"/>
    </row>
    <row r="487" spans="16:18" x14ac:dyDescent="0.2">
      <c r="P487" s="139"/>
      <c r="Q487" s="139"/>
      <c r="R487" s="139"/>
    </row>
    <row r="488" spans="16:18" x14ac:dyDescent="0.2">
      <c r="P488" s="139"/>
      <c r="Q488" s="139"/>
      <c r="R488" s="139"/>
    </row>
    <row r="489" spans="16:18" x14ac:dyDescent="0.2">
      <c r="P489" s="139"/>
      <c r="Q489" s="139"/>
      <c r="R489" s="139"/>
    </row>
    <row r="490" spans="16:18" x14ac:dyDescent="0.2">
      <c r="P490" s="139"/>
      <c r="Q490" s="139"/>
      <c r="R490" s="139"/>
    </row>
    <row r="491" spans="16:18" x14ac:dyDescent="0.2">
      <c r="P491" s="139"/>
      <c r="Q491" s="139"/>
      <c r="R491" s="139"/>
    </row>
    <row r="492" spans="16:18" x14ac:dyDescent="0.2">
      <c r="P492" s="139"/>
      <c r="Q492" s="139"/>
      <c r="R492" s="139"/>
    </row>
    <row r="493" spans="16:18" x14ac:dyDescent="0.2">
      <c r="P493" s="139"/>
      <c r="Q493" s="139"/>
      <c r="R493" s="139"/>
    </row>
    <row r="494" spans="16:18" x14ac:dyDescent="0.2">
      <c r="P494" s="139"/>
    </row>
    <row r="495" spans="16:18" x14ac:dyDescent="0.2">
      <c r="P495" s="139"/>
    </row>
    <row r="496" spans="16:18" x14ac:dyDescent="0.2">
      <c r="P496" s="139"/>
    </row>
    <row r="497" spans="16:16" x14ac:dyDescent="0.2">
      <c r="P497" s="139"/>
    </row>
    <row r="498" spans="16:16" x14ac:dyDescent="0.2">
      <c r="P498" s="139"/>
    </row>
    <row r="499" spans="16:16" x14ac:dyDescent="0.2">
      <c r="P499" s="139"/>
    </row>
    <row r="500" spans="16:16" x14ac:dyDescent="0.2">
      <c r="P500" s="139"/>
    </row>
    <row r="501" spans="16:16" x14ac:dyDescent="0.2">
      <c r="P501" s="139"/>
    </row>
    <row r="502" spans="16:16" x14ac:dyDescent="0.2">
      <c r="P502" s="139"/>
    </row>
    <row r="503" spans="16:16" x14ac:dyDescent="0.2">
      <c r="P503" s="139"/>
    </row>
    <row r="504" spans="16:16" x14ac:dyDescent="0.2">
      <c r="P504" s="139"/>
    </row>
    <row r="505" spans="16:16" x14ac:dyDescent="0.2">
      <c r="P505" s="139"/>
    </row>
    <row r="506" spans="16:16" x14ac:dyDescent="0.2">
      <c r="P506" s="139"/>
    </row>
    <row r="507" spans="16:16" x14ac:dyDescent="0.2">
      <c r="P507" s="139"/>
    </row>
    <row r="508" spans="16:16" x14ac:dyDescent="0.2">
      <c r="P508" s="139"/>
    </row>
    <row r="509" spans="16:16" x14ac:dyDescent="0.2">
      <c r="P509" s="139"/>
    </row>
    <row r="510" spans="16:16" x14ac:dyDescent="0.2">
      <c r="P510" s="139"/>
    </row>
    <row r="511" spans="16:16" x14ac:dyDescent="0.2">
      <c r="P511" s="139"/>
    </row>
    <row r="512" spans="16:16" x14ac:dyDescent="0.2">
      <c r="P512" s="139"/>
    </row>
    <row r="513" spans="16:16" x14ac:dyDescent="0.2">
      <c r="P513" s="139"/>
    </row>
    <row r="514" spans="16:16" x14ac:dyDescent="0.2">
      <c r="P514" s="139"/>
    </row>
    <row r="515" spans="16:16" x14ac:dyDescent="0.2">
      <c r="P515" s="139"/>
    </row>
    <row r="516" spans="16:16" x14ac:dyDescent="0.2">
      <c r="P516" s="139"/>
    </row>
    <row r="517" spans="16:16" x14ac:dyDescent="0.2">
      <c r="P517" s="139"/>
    </row>
    <row r="518" spans="16:16" x14ac:dyDescent="0.2">
      <c r="P518" s="139"/>
    </row>
    <row r="519" spans="16:16" x14ac:dyDescent="0.2">
      <c r="P519" s="139"/>
    </row>
    <row r="520" spans="16:16" x14ac:dyDescent="0.2">
      <c r="P520" s="139"/>
    </row>
    <row r="521" spans="16:16" x14ac:dyDescent="0.2">
      <c r="P521" s="139"/>
    </row>
    <row r="522" spans="16:16" x14ac:dyDescent="0.2">
      <c r="P522" s="139"/>
    </row>
    <row r="523" spans="16:16" x14ac:dyDescent="0.2">
      <c r="P523" s="139"/>
    </row>
    <row r="524" spans="16:16" x14ac:dyDescent="0.2">
      <c r="P524" s="139"/>
    </row>
    <row r="525" spans="16:16" x14ac:dyDescent="0.2">
      <c r="P525" s="139"/>
    </row>
    <row r="526" spans="16:16" x14ac:dyDescent="0.2">
      <c r="P526" s="139"/>
    </row>
    <row r="527" spans="16:16" x14ac:dyDescent="0.2">
      <c r="P527" s="139"/>
    </row>
    <row r="528" spans="16:16" x14ac:dyDescent="0.2">
      <c r="P528" s="139"/>
    </row>
    <row r="529" spans="16:16" x14ac:dyDescent="0.2">
      <c r="P529" s="139"/>
    </row>
    <row r="530" spans="16:16" x14ac:dyDescent="0.2">
      <c r="P530" s="139"/>
    </row>
    <row r="531" spans="16:16" x14ac:dyDescent="0.2">
      <c r="P531" s="139"/>
    </row>
    <row r="532" spans="16:16" x14ac:dyDescent="0.2">
      <c r="P532" s="139"/>
    </row>
    <row r="533" spans="16:16" x14ac:dyDescent="0.2">
      <c r="P533" s="139"/>
    </row>
    <row r="534" spans="16:16" x14ac:dyDescent="0.2">
      <c r="P534" s="139"/>
    </row>
    <row r="535" spans="16:16" x14ac:dyDescent="0.2">
      <c r="P535" s="139"/>
    </row>
    <row r="536" spans="16:16" x14ac:dyDescent="0.2">
      <c r="P536" s="139"/>
    </row>
    <row r="537" spans="16:16" x14ac:dyDescent="0.2">
      <c r="P537" s="139"/>
    </row>
    <row r="538" spans="16:16" x14ac:dyDescent="0.2">
      <c r="P538" s="139"/>
    </row>
    <row r="539" spans="16:16" x14ac:dyDescent="0.2">
      <c r="P539" s="139"/>
    </row>
    <row r="540" spans="16:16" x14ac:dyDescent="0.2">
      <c r="P540" s="139"/>
    </row>
    <row r="541" spans="16:16" x14ac:dyDescent="0.2">
      <c r="P541" s="139"/>
    </row>
    <row r="542" spans="16:16" x14ac:dyDescent="0.2">
      <c r="P542" s="139"/>
    </row>
    <row r="543" spans="16:16" x14ac:dyDescent="0.2">
      <c r="P543" s="139"/>
    </row>
    <row r="544" spans="16:16" x14ac:dyDescent="0.2">
      <c r="P544" s="139"/>
    </row>
    <row r="545" spans="16:16" x14ac:dyDescent="0.2">
      <c r="P545" s="139"/>
    </row>
    <row r="546" spans="16:16" x14ac:dyDescent="0.2">
      <c r="P546" s="139"/>
    </row>
    <row r="547" spans="16:16" x14ac:dyDescent="0.2">
      <c r="P547" s="139"/>
    </row>
    <row r="548" spans="16:16" x14ac:dyDescent="0.2">
      <c r="P548" s="139"/>
    </row>
    <row r="549" spans="16:16" x14ac:dyDescent="0.2">
      <c r="P549" s="139"/>
    </row>
    <row r="550" spans="16:16" x14ac:dyDescent="0.2">
      <c r="P550" s="139"/>
    </row>
    <row r="551" spans="16:16" x14ac:dyDescent="0.2">
      <c r="P551" s="139"/>
    </row>
    <row r="552" spans="16:16" x14ac:dyDescent="0.2">
      <c r="P552" s="139"/>
    </row>
    <row r="553" spans="16:16" x14ac:dyDescent="0.2">
      <c r="P553" s="139"/>
    </row>
    <row r="554" spans="16:16" x14ac:dyDescent="0.2">
      <c r="P554" s="139"/>
    </row>
    <row r="555" spans="16:16" x14ac:dyDescent="0.2">
      <c r="P555" s="139"/>
    </row>
    <row r="556" spans="16:16" x14ac:dyDescent="0.2">
      <c r="P556" s="139"/>
    </row>
    <row r="557" spans="16:16" x14ac:dyDescent="0.2">
      <c r="P557" s="139"/>
    </row>
    <row r="558" spans="16:16" x14ac:dyDescent="0.2">
      <c r="P558" s="139"/>
    </row>
    <row r="559" spans="16:16" x14ac:dyDescent="0.2">
      <c r="P559" s="139"/>
    </row>
    <row r="560" spans="16:16" x14ac:dyDescent="0.2">
      <c r="P560" s="139"/>
    </row>
    <row r="561" spans="16:16" x14ac:dyDescent="0.2">
      <c r="P561" s="139"/>
    </row>
    <row r="562" spans="16:16" x14ac:dyDescent="0.2">
      <c r="P562" s="139"/>
    </row>
    <row r="563" spans="16:16" x14ac:dyDescent="0.2">
      <c r="P563" s="139"/>
    </row>
    <row r="564" spans="16:16" x14ac:dyDescent="0.2">
      <c r="P564" s="139"/>
    </row>
    <row r="565" spans="16:16" x14ac:dyDescent="0.2">
      <c r="P565" s="139"/>
    </row>
    <row r="566" spans="16:16" x14ac:dyDescent="0.2">
      <c r="P566" s="139"/>
    </row>
    <row r="567" spans="16:16" x14ac:dyDescent="0.2">
      <c r="P567" s="139"/>
    </row>
    <row r="568" spans="16:16" x14ac:dyDescent="0.2">
      <c r="P568" s="139"/>
    </row>
    <row r="569" spans="16:16" x14ac:dyDescent="0.2">
      <c r="P569" s="139"/>
    </row>
    <row r="570" spans="16:16" x14ac:dyDescent="0.2">
      <c r="P570" s="139"/>
    </row>
    <row r="571" spans="16:16" x14ac:dyDescent="0.2">
      <c r="P571" s="139"/>
    </row>
    <row r="572" spans="16:16" x14ac:dyDescent="0.2">
      <c r="P572" s="139"/>
    </row>
    <row r="573" spans="16:16" x14ac:dyDescent="0.2">
      <c r="P573" s="139"/>
    </row>
    <row r="574" spans="16:16" x14ac:dyDescent="0.2">
      <c r="P574" s="139"/>
    </row>
    <row r="575" spans="16:16" x14ac:dyDescent="0.2">
      <c r="P575" s="139"/>
    </row>
    <row r="576" spans="16:16" x14ac:dyDescent="0.2">
      <c r="P576" s="139"/>
    </row>
    <row r="577" spans="16:16" x14ac:dyDescent="0.2">
      <c r="P577" s="139"/>
    </row>
    <row r="578" spans="16:16" x14ac:dyDescent="0.2">
      <c r="P578" s="139"/>
    </row>
    <row r="579" spans="16:16" x14ac:dyDescent="0.2">
      <c r="P579" s="139"/>
    </row>
    <row r="580" spans="16:16" x14ac:dyDescent="0.2">
      <c r="P580" s="139"/>
    </row>
    <row r="581" spans="16:16" x14ac:dyDescent="0.2">
      <c r="P581" s="139"/>
    </row>
    <row r="582" spans="16:16" x14ac:dyDescent="0.2">
      <c r="P582" s="139"/>
    </row>
    <row r="583" spans="16:16" x14ac:dyDescent="0.2">
      <c r="P583" s="139"/>
    </row>
    <row r="584" spans="16:16" x14ac:dyDescent="0.2">
      <c r="P584" s="139"/>
    </row>
    <row r="585" spans="16:16" x14ac:dyDescent="0.2">
      <c r="P585" s="139"/>
    </row>
    <row r="586" spans="16:16" x14ac:dyDescent="0.2">
      <c r="P586" s="139"/>
    </row>
    <row r="587" spans="16:16" x14ac:dyDescent="0.2">
      <c r="P587" s="139"/>
    </row>
    <row r="588" spans="16:16" x14ac:dyDescent="0.2">
      <c r="P588" s="139"/>
    </row>
    <row r="589" spans="16:16" x14ac:dyDescent="0.2">
      <c r="P589" s="139"/>
    </row>
    <row r="590" spans="16:16" x14ac:dyDescent="0.2">
      <c r="P590" s="139"/>
    </row>
    <row r="591" spans="16:16" x14ac:dyDescent="0.2">
      <c r="P591" s="139"/>
    </row>
    <row r="592" spans="16:16" x14ac:dyDescent="0.2">
      <c r="P592" s="139"/>
    </row>
    <row r="593" spans="16:16" x14ac:dyDescent="0.2">
      <c r="P593" s="139"/>
    </row>
    <row r="594" spans="16:16" x14ac:dyDescent="0.2">
      <c r="P594" s="139"/>
    </row>
    <row r="595" spans="16:16" x14ac:dyDescent="0.2">
      <c r="P595" s="139"/>
    </row>
    <row r="596" spans="16:16" x14ac:dyDescent="0.2">
      <c r="P596" s="139"/>
    </row>
    <row r="597" spans="16:16" x14ac:dyDescent="0.2">
      <c r="P597" s="139"/>
    </row>
    <row r="598" spans="16:16" x14ac:dyDescent="0.2">
      <c r="P598" s="139"/>
    </row>
    <row r="599" spans="16:16" x14ac:dyDescent="0.2">
      <c r="P599" s="139"/>
    </row>
    <row r="600" spans="16:16" x14ac:dyDescent="0.2">
      <c r="P600" s="139"/>
    </row>
    <row r="601" spans="16:16" x14ac:dyDescent="0.2">
      <c r="P601" s="139"/>
    </row>
    <row r="602" spans="16:16" x14ac:dyDescent="0.2">
      <c r="P602" s="139"/>
    </row>
    <row r="603" spans="16:16" x14ac:dyDescent="0.2">
      <c r="P603" s="139"/>
    </row>
    <row r="604" spans="16:16" x14ac:dyDescent="0.2">
      <c r="P604" s="139"/>
    </row>
    <row r="605" spans="16:16" x14ac:dyDescent="0.2">
      <c r="P605" s="139"/>
    </row>
    <row r="606" spans="16:16" x14ac:dyDescent="0.2">
      <c r="P606" s="139"/>
    </row>
    <row r="607" spans="16:16" x14ac:dyDescent="0.2">
      <c r="P607" s="139"/>
    </row>
    <row r="608" spans="16:16" x14ac:dyDescent="0.2">
      <c r="P608" s="139"/>
    </row>
    <row r="609" spans="16:16" x14ac:dyDescent="0.2">
      <c r="P609" s="139"/>
    </row>
    <row r="610" spans="16:16" x14ac:dyDescent="0.2">
      <c r="P610" s="139"/>
    </row>
    <row r="611" spans="16:16" x14ac:dyDescent="0.2">
      <c r="P611" s="139"/>
    </row>
    <row r="612" spans="16:16" x14ac:dyDescent="0.2">
      <c r="P612" s="139"/>
    </row>
    <row r="613" spans="16:16" x14ac:dyDescent="0.2">
      <c r="P613" s="139"/>
    </row>
    <row r="614" spans="16:16" x14ac:dyDescent="0.2">
      <c r="P614" s="139"/>
    </row>
    <row r="615" spans="16:16" x14ac:dyDescent="0.2">
      <c r="P615" s="139"/>
    </row>
    <row r="616" spans="16:16" x14ac:dyDescent="0.2">
      <c r="P616" s="139"/>
    </row>
    <row r="617" spans="16:16" x14ac:dyDescent="0.2">
      <c r="P617" s="139"/>
    </row>
    <row r="618" spans="16:16" x14ac:dyDescent="0.2">
      <c r="P618" s="139"/>
    </row>
    <row r="619" spans="16:16" x14ac:dyDescent="0.2">
      <c r="P619" s="139"/>
    </row>
    <row r="620" spans="16:16" x14ac:dyDescent="0.2">
      <c r="P620" s="139"/>
    </row>
    <row r="621" spans="16:16" x14ac:dyDescent="0.2">
      <c r="P621" s="139"/>
    </row>
    <row r="622" spans="16:16" x14ac:dyDescent="0.2">
      <c r="P622" s="139"/>
    </row>
    <row r="623" spans="16:16" x14ac:dyDescent="0.2">
      <c r="P623" s="139"/>
    </row>
    <row r="624" spans="16:16" x14ac:dyDescent="0.2">
      <c r="P624" s="139"/>
    </row>
    <row r="625" spans="16:16" x14ac:dyDescent="0.2">
      <c r="P625" s="139"/>
    </row>
    <row r="626" spans="16:16" x14ac:dyDescent="0.2">
      <c r="P626" s="139"/>
    </row>
    <row r="627" spans="16:16" x14ac:dyDescent="0.2">
      <c r="P627" s="139"/>
    </row>
    <row r="628" spans="16:16" x14ac:dyDescent="0.2">
      <c r="P628" s="139"/>
    </row>
    <row r="629" spans="16:16" x14ac:dyDescent="0.2">
      <c r="P629" s="139"/>
    </row>
    <row r="630" spans="16:16" x14ac:dyDescent="0.2">
      <c r="P630" s="139"/>
    </row>
    <row r="631" spans="16:16" x14ac:dyDescent="0.2">
      <c r="P631" s="139"/>
    </row>
    <row r="632" spans="16:16" x14ac:dyDescent="0.2">
      <c r="P632" s="139"/>
    </row>
    <row r="633" spans="16:16" x14ac:dyDescent="0.2">
      <c r="P633" s="139"/>
    </row>
    <row r="634" spans="16:16" x14ac:dyDescent="0.2">
      <c r="P634" s="139"/>
    </row>
    <row r="635" spans="16:16" x14ac:dyDescent="0.2">
      <c r="P635" s="139"/>
    </row>
    <row r="636" spans="16:16" x14ac:dyDescent="0.2">
      <c r="P636" s="139"/>
    </row>
    <row r="637" spans="16:16" x14ac:dyDescent="0.2">
      <c r="P637" s="139"/>
    </row>
    <row r="638" spans="16:16" x14ac:dyDescent="0.2">
      <c r="P638" s="139"/>
    </row>
    <row r="639" spans="16:16" x14ac:dyDescent="0.2">
      <c r="P639" s="139"/>
    </row>
    <row r="640" spans="16:16" x14ac:dyDescent="0.2">
      <c r="P640" s="139"/>
    </row>
    <row r="641" spans="16:16" x14ac:dyDescent="0.2">
      <c r="P641" s="139"/>
    </row>
    <row r="642" spans="16:16" x14ac:dyDescent="0.2">
      <c r="P642" s="139"/>
    </row>
    <row r="643" spans="16:16" x14ac:dyDescent="0.2">
      <c r="P643" s="139"/>
    </row>
    <row r="644" spans="16:16" x14ac:dyDescent="0.2">
      <c r="P644" s="139"/>
    </row>
    <row r="645" spans="16:16" x14ac:dyDescent="0.2">
      <c r="P645" s="139"/>
    </row>
    <row r="646" spans="16:16" x14ac:dyDescent="0.2">
      <c r="P646" s="139"/>
    </row>
    <row r="647" spans="16:16" x14ac:dyDescent="0.2">
      <c r="P647" s="139"/>
    </row>
    <row r="648" spans="16:16" x14ac:dyDescent="0.2">
      <c r="P648" s="139"/>
    </row>
    <row r="649" spans="16:16" x14ac:dyDescent="0.2">
      <c r="P649" s="139"/>
    </row>
    <row r="650" spans="16:16" x14ac:dyDescent="0.2">
      <c r="P650" s="139"/>
    </row>
    <row r="651" spans="16:16" x14ac:dyDescent="0.2">
      <c r="P651" s="139"/>
    </row>
    <row r="652" spans="16:16" x14ac:dyDescent="0.2">
      <c r="P652" s="139"/>
    </row>
    <row r="653" spans="16:16" x14ac:dyDescent="0.2">
      <c r="P653" s="139"/>
    </row>
    <row r="654" spans="16:16" x14ac:dyDescent="0.2">
      <c r="P654" s="139"/>
    </row>
    <row r="655" spans="16:16" x14ac:dyDescent="0.2">
      <c r="P655" s="139"/>
    </row>
    <row r="656" spans="16:16" x14ac:dyDescent="0.2">
      <c r="P656" s="139"/>
    </row>
    <row r="657" spans="16:16" x14ac:dyDescent="0.2">
      <c r="P657" s="139"/>
    </row>
    <row r="658" spans="16:16" x14ac:dyDescent="0.2">
      <c r="P658" s="139"/>
    </row>
    <row r="659" spans="16:16" x14ac:dyDescent="0.2">
      <c r="P659" s="139"/>
    </row>
    <row r="660" spans="16:16" x14ac:dyDescent="0.2">
      <c r="P660" s="139"/>
    </row>
    <row r="661" spans="16:16" x14ac:dyDescent="0.2">
      <c r="P661" s="139"/>
    </row>
    <row r="662" spans="16:16" x14ac:dyDescent="0.2">
      <c r="P662" s="139"/>
    </row>
    <row r="663" spans="16:16" x14ac:dyDescent="0.2">
      <c r="P663" s="139"/>
    </row>
    <row r="664" spans="16:16" x14ac:dyDescent="0.2">
      <c r="P664" s="139"/>
    </row>
    <row r="665" spans="16:16" x14ac:dyDescent="0.2">
      <c r="P665" s="139"/>
    </row>
    <row r="666" spans="16:16" x14ac:dyDescent="0.2">
      <c r="P666" s="139"/>
    </row>
    <row r="667" spans="16:16" x14ac:dyDescent="0.2">
      <c r="P667" s="139"/>
    </row>
    <row r="668" spans="16:16" x14ac:dyDescent="0.2">
      <c r="P668" s="139"/>
    </row>
    <row r="669" spans="16:16" x14ac:dyDescent="0.2">
      <c r="P669" s="139"/>
    </row>
    <row r="670" spans="16:16" x14ac:dyDescent="0.2">
      <c r="P670" s="139"/>
    </row>
    <row r="671" spans="16:16" x14ac:dyDescent="0.2">
      <c r="P671" s="139"/>
    </row>
    <row r="672" spans="16:16" x14ac:dyDescent="0.2">
      <c r="P672" s="139"/>
    </row>
    <row r="673" spans="16:16" x14ac:dyDescent="0.2">
      <c r="P673" s="139"/>
    </row>
    <row r="674" spans="16:16" x14ac:dyDescent="0.2">
      <c r="P674" s="139"/>
    </row>
    <row r="675" spans="16:16" x14ac:dyDescent="0.2">
      <c r="P675" s="139"/>
    </row>
    <row r="676" spans="16:16" x14ac:dyDescent="0.2">
      <c r="P676" s="139"/>
    </row>
    <row r="677" spans="16:16" x14ac:dyDescent="0.2">
      <c r="P677" s="139"/>
    </row>
    <row r="678" spans="16:16" x14ac:dyDescent="0.2">
      <c r="P678" s="139"/>
    </row>
    <row r="679" spans="16:16" x14ac:dyDescent="0.2">
      <c r="P679" s="139"/>
    </row>
    <row r="680" spans="16:16" x14ac:dyDescent="0.2">
      <c r="P680" s="139"/>
    </row>
    <row r="681" spans="16:16" x14ac:dyDescent="0.2">
      <c r="P681" s="139"/>
    </row>
    <row r="682" spans="16:16" x14ac:dyDescent="0.2">
      <c r="P682" s="139"/>
    </row>
    <row r="683" spans="16:16" x14ac:dyDescent="0.2">
      <c r="P683" s="139"/>
    </row>
    <row r="684" spans="16:16" x14ac:dyDescent="0.2">
      <c r="P684" s="139"/>
    </row>
    <row r="685" spans="16:16" x14ac:dyDescent="0.2">
      <c r="P685" s="139"/>
    </row>
    <row r="686" spans="16:16" x14ac:dyDescent="0.2">
      <c r="P686" s="139"/>
    </row>
    <row r="687" spans="16:16" x14ac:dyDescent="0.2">
      <c r="P687" s="139"/>
    </row>
    <row r="688" spans="16:16" x14ac:dyDescent="0.2">
      <c r="P688" s="139"/>
    </row>
    <row r="689" spans="16:16" x14ac:dyDescent="0.2">
      <c r="P689" s="139"/>
    </row>
    <row r="690" spans="16:16" x14ac:dyDescent="0.2">
      <c r="P690" s="139"/>
    </row>
    <row r="691" spans="16:16" x14ac:dyDescent="0.2">
      <c r="P691" s="139"/>
    </row>
    <row r="692" spans="16:16" x14ac:dyDescent="0.2">
      <c r="P692" s="139"/>
    </row>
    <row r="693" spans="16:16" x14ac:dyDescent="0.2">
      <c r="P693" s="139"/>
    </row>
    <row r="694" spans="16:16" x14ac:dyDescent="0.2">
      <c r="P694" s="139"/>
    </row>
    <row r="695" spans="16:16" x14ac:dyDescent="0.2">
      <c r="P695" s="139"/>
    </row>
    <row r="696" spans="16:16" x14ac:dyDescent="0.2">
      <c r="P696" s="139"/>
    </row>
    <row r="697" spans="16:16" x14ac:dyDescent="0.2">
      <c r="P697" s="139"/>
    </row>
    <row r="698" spans="16:16" x14ac:dyDescent="0.2">
      <c r="P698" s="139"/>
    </row>
    <row r="699" spans="16:16" x14ac:dyDescent="0.2">
      <c r="P699" s="139"/>
    </row>
    <row r="700" spans="16:16" x14ac:dyDescent="0.2">
      <c r="P700" s="139"/>
    </row>
    <row r="701" spans="16:16" x14ac:dyDescent="0.2">
      <c r="P701" s="139"/>
    </row>
    <row r="702" spans="16:16" x14ac:dyDescent="0.2">
      <c r="P702" s="139"/>
    </row>
    <row r="703" spans="16:16" x14ac:dyDescent="0.2">
      <c r="P703" s="139"/>
    </row>
    <row r="704" spans="16:16" x14ac:dyDescent="0.2">
      <c r="P704" s="139"/>
    </row>
    <row r="705" spans="16:16" x14ac:dyDescent="0.2">
      <c r="P705" s="139"/>
    </row>
    <row r="706" spans="16:16" x14ac:dyDescent="0.2">
      <c r="P706" s="139"/>
    </row>
    <row r="707" spans="16:16" x14ac:dyDescent="0.2">
      <c r="P707" s="139"/>
    </row>
    <row r="708" spans="16:16" x14ac:dyDescent="0.2">
      <c r="P708" s="139"/>
    </row>
    <row r="709" spans="16:16" x14ac:dyDescent="0.2">
      <c r="P709" s="139"/>
    </row>
    <row r="710" spans="16:16" x14ac:dyDescent="0.2">
      <c r="P710" s="139"/>
    </row>
    <row r="711" spans="16:16" x14ac:dyDescent="0.2">
      <c r="P711" s="139"/>
    </row>
    <row r="712" spans="16:16" x14ac:dyDescent="0.2">
      <c r="P712" s="139"/>
    </row>
    <row r="713" spans="16:16" x14ac:dyDescent="0.2">
      <c r="P713" s="139"/>
    </row>
    <row r="714" spans="16:16" x14ac:dyDescent="0.2">
      <c r="P714" s="139"/>
    </row>
    <row r="715" spans="16:16" x14ac:dyDescent="0.2">
      <c r="P715" s="139"/>
    </row>
    <row r="716" spans="16:16" x14ac:dyDescent="0.2">
      <c r="P716" s="139"/>
    </row>
    <row r="717" spans="16:16" x14ac:dyDescent="0.2">
      <c r="P717" s="139"/>
    </row>
    <row r="718" spans="16:16" x14ac:dyDescent="0.2">
      <c r="P718" s="139"/>
    </row>
    <row r="719" spans="16:16" x14ac:dyDescent="0.2">
      <c r="P719" s="139"/>
    </row>
    <row r="720" spans="16:16" x14ac:dyDescent="0.2">
      <c r="P720" s="139"/>
    </row>
    <row r="721" spans="16:16" x14ac:dyDescent="0.2">
      <c r="P721" s="139"/>
    </row>
    <row r="722" spans="16:16" x14ac:dyDescent="0.2">
      <c r="P722" s="139"/>
    </row>
    <row r="723" spans="16:16" x14ac:dyDescent="0.2">
      <c r="P723" s="139"/>
    </row>
    <row r="724" spans="16:16" x14ac:dyDescent="0.2">
      <c r="P724" s="139"/>
    </row>
    <row r="725" spans="16:16" x14ac:dyDescent="0.2">
      <c r="P725" s="139"/>
    </row>
    <row r="726" spans="16:16" x14ac:dyDescent="0.2">
      <c r="P726" s="139"/>
    </row>
    <row r="727" spans="16:16" x14ac:dyDescent="0.2">
      <c r="P727" s="139"/>
    </row>
    <row r="728" spans="16:16" x14ac:dyDescent="0.2">
      <c r="P728" s="139"/>
    </row>
    <row r="729" spans="16:16" x14ac:dyDescent="0.2">
      <c r="P729" s="139"/>
    </row>
    <row r="730" spans="16:16" x14ac:dyDescent="0.2">
      <c r="P730" s="139"/>
    </row>
    <row r="731" spans="16:16" x14ac:dyDescent="0.2">
      <c r="P731" s="139"/>
    </row>
    <row r="732" spans="16:16" x14ac:dyDescent="0.2">
      <c r="P732" s="139"/>
    </row>
    <row r="733" spans="16:16" x14ac:dyDescent="0.2">
      <c r="P733" s="139"/>
    </row>
    <row r="734" spans="16:16" x14ac:dyDescent="0.2">
      <c r="P734" s="139"/>
    </row>
    <row r="735" spans="16:16" x14ac:dyDescent="0.2">
      <c r="P735" s="139"/>
    </row>
    <row r="736" spans="16:16" x14ac:dyDescent="0.2">
      <c r="P736" s="139"/>
    </row>
    <row r="737" spans="16:16" x14ac:dyDescent="0.2">
      <c r="P737" s="139"/>
    </row>
    <row r="738" spans="16:16" x14ac:dyDescent="0.2">
      <c r="P738" s="139"/>
    </row>
    <row r="739" spans="16:16" x14ac:dyDescent="0.2">
      <c r="P739" s="139"/>
    </row>
    <row r="740" spans="16:16" x14ac:dyDescent="0.2">
      <c r="P740" s="139"/>
    </row>
    <row r="741" spans="16:16" x14ac:dyDescent="0.2">
      <c r="P741" s="139"/>
    </row>
    <row r="742" spans="16:16" x14ac:dyDescent="0.2">
      <c r="P742" s="139"/>
    </row>
    <row r="743" spans="16:16" x14ac:dyDescent="0.2">
      <c r="P743" s="139"/>
    </row>
    <row r="744" spans="16:16" x14ac:dyDescent="0.2">
      <c r="P744" s="139"/>
    </row>
    <row r="745" spans="16:16" x14ac:dyDescent="0.2">
      <c r="P745" s="139"/>
    </row>
    <row r="746" spans="16:16" x14ac:dyDescent="0.2">
      <c r="P746" s="139"/>
    </row>
    <row r="747" spans="16:16" x14ac:dyDescent="0.2">
      <c r="P747" s="139"/>
    </row>
    <row r="748" spans="16:16" x14ac:dyDescent="0.2">
      <c r="P748" s="139"/>
    </row>
    <row r="749" spans="16:16" x14ac:dyDescent="0.2">
      <c r="P749" s="139"/>
    </row>
    <row r="750" spans="16:16" x14ac:dyDescent="0.2">
      <c r="P750" s="139"/>
    </row>
    <row r="751" spans="16:16" x14ac:dyDescent="0.2">
      <c r="P751" s="139"/>
    </row>
    <row r="752" spans="16:16" x14ac:dyDescent="0.2">
      <c r="P752" s="139"/>
    </row>
    <row r="753" spans="16:16" x14ac:dyDescent="0.2">
      <c r="P753" s="139"/>
    </row>
    <row r="754" spans="16:16" x14ac:dyDescent="0.2">
      <c r="P754" s="139"/>
    </row>
    <row r="755" spans="16:16" x14ac:dyDescent="0.2">
      <c r="P755" s="139"/>
    </row>
    <row r="756" spans="16:16" x14ac:dyDescent="0.2">
      <c r="P756" s="139"/>
    </row>
    <row r="757" spans="16:16" x14ac:dyDescent="0.2">
      <c r="P757" s="139"/>
    </row>
    <row r="758" spans="16:16" x14ac:dyDescent="0.2">
      <c r="P758" s="139"/>
    </row>
    <row r="759" spans="16:16" x14ac:dyDescent="0.2">
      <c r="P759" s="139"/>
    </row>
    <row r="760" spans="16:16" x14ac:dyDescent="0.2">
      <c r="P760" s="139"/>
    </row>
    <row r="761" spans="16:16" x14ac:dyDescent="0.2">
      <c r="P761" s="139"/>
    </row>
    <row r="762" spans="16:16" x14ac:dyDescent="0.2">
      <c r="P762" s="139"/>
    </row>
    <row r="763" spans="16:16" x14ac:dyDescent="0.2">
      <c r="P763" s="139"/>
    </row>
    <row r="764" spans="16:16" x14ac:dyDescent="0.2">
      <c r="P764" s="139"/>
    </row>
    <row r="765" spans="16:16" x14ac:dyDescent="0.2">
      <c r="P765" s="139"/>
    </row>
    <row r="766" spans="16:16" x14ac:dyDescent="0.2">
      <c r="P766" s="139"/>
    </row>
    <row r="767" spans="16:16" x14ac:dyDescent="0.2">
      <c r="P767" s="139"/>
    </row>
    <row r="768" spans="16:16" x14ac:dyDescent="0.2">
      <c r="P768" s="139"/>
    </row>
    <row r="769" spans="16:16" x14ac:dyDescent="0.2">
      <c r="P769" s="139"/>
    </row>
    <row r="770" spans="16:16" x14ac:dyDescent="0.2">
      <c r="P770" s="139"/>
    </row>
    <row r="771" spans="16:16" x14ac:dyDescent="0.2">
      <c r="P771" s="139"/>
    </row>
    <row r="772" spans="16:16" x14ac:dyDescent="0.2">
      <c r="P772" s="139"/>
    </row>
    <row r="773" spans="16:16" x14ac:dyDescent="0.2">
      <c r="P773" s="139"/>
    </row>
    <row r="774" spans="16:16" x14ac:dyDescent="0.2">
      <c r="P774" s="139"/>
    </row>
    <row r="775" spans="16:16" x14ac:dyDescent="0.2">
      <c r="P775" s="139"/>
    </row>
    <row r="776" spans="16:16" x14ac:dyDescent="0.2">
      <c r="P776" s="139"/>
    </row>
    <row r="777" spans="16:16" x14ac:dyDescent="0.2">
      <c r="P777" s="139"/>
    </row>
    <row r="778" spans="16:16" x14ac:dyDescent="0.2">
      <c r="P778" s="139"/>
    </row>
    <row r="779" spans="16:16" x14ac:dyDescent="0.2">
      <c r="P779" s="139"/>
    </row>
    <row r="780" spans="16:16" x14ac:dyDescent="0.2">
      <c r="P780" s="139"/>
    </row>
    <row r="781" spans="16:16" x14ac:dyDescent="0.2">
      <c r="P781" s="139"/>
    </row>
    <row r="782" spans="16:16" x14ac:dyDescent="0.2">
      <c r="P782" s="139"/>
    </row>
    <row r="783" spans="16:16" x14ac:dyDescent="0.2">
      <c r="P783" s="139"/>
    </row>
    <row r="784" spans="16:16" x14ac:dyDescent="0.2">
      <c r="P784" s="139"/>
    </row>
    <row r="785" spans="16:16" x14ac:dyDescent="0.2">
      <c r="P785" s="139"/>
    </row>
    <row r="786" spans="16:16" x14ac:dyDescent="0.2">
      <c r="P786" s="139"/>
    </row>
    <row r="787" spans="16:16" x14ac:dyDescent="0.2">
      <c r="P787" s="139"/>
    </row>
    <row r="788" spans="16:16" x14ac:dyDescent="0.2">
      <c r="P788" s="139"/>
    </row>
    <row r="789" spans="16:16" x14ac:dyDescent="0.2">
      <c r="P789" s="139"/>
    </row>
    <row r="790" spans="16:16" x14ac:dyDescent="0.2">
      <c r="P790" s="139"/>
    </row>
    <row r="791" spans="16:16" x14ac:dyDescent="0.2">
      <c r="P791" s="139"/>
    </row>
    <row r="792" spans="16:16" x14ac:dyDescent="0.2">
      <c r="P792" s="139"/>
    </row>
    <row r="793" spans="16:16" x14ac:dyDescent="0.2">
      <c r="P793" s="139"/>
    </row>
    <row r="794" spans="16:16" x14ac:dyDescent="0.2">
      <c r="P794" s="139"/>
    </row>
    <row r="795" spans="16:16" x14ac:dyDescent="0.2">
      <c r="P795" s="139"/>
    </row>
    <row r="796" spans="16:16" x14ac:dyDescent="0.2">
      <c r="P796" s="139"/>
    </row>
    <row r="797" spans="16:16" x14ac:dyDescent="0.2">
      <c r="P797" s="139"/>
    </row>
    <row r="798" spans="16:16" x14ac:dyDescent="0.2">
      <c r="P798" s="139"/>
    </row>
    <row r="799" spans="16:16" x14ac:dyDescent="0.2">
      <c r="P799" s="139"/>
    </row>
    <row r="800" spans="16:16" x14ac:dyDescent="0.2">
      <c r="P800" s="139"/>
    </row>
    <row r="801" spans="16:16" x14ac:dyDescent="0.2">
      <c r="P801" s="139"/>
    </row>
    <row r="802" spans="16:16" x14ac:dyDescent="0.2">
      <c r="P802" s="139"/>
    </row>
    <row r="803" spans="16:16" x14ac:dyDescent="0.2">
      <c r="P803" s="139"/>
    </row>
    <row r="804" spans="16:16" x14ac:dyDescent="0.2">
      <c r="P804" s="139"/>
    </row>
    <row r="805" spans="16:16" x14ac:dyDescent="0.2">
      <c r="P805" s="139"/>
    </row>
    <row r="806" spans="16:16" x14ac:dyDescent="0.2">
      <c r="P806" s="139"/>
    </row>
    <row r="807" spans="16:16" x14ac:dyDescent="0.2">
      <c r="P807" s="139"/>
    </row>
    <row r="808" spans="16:16" x14ac:dyDescent="0.2">
      <c r="P808" s="139"/>
    </row>
    <row r="809" spans="16:16" x14ac:dyDescent="0.2">
      <c r="P809" s="139"/>
    </row>
    <row r="810" spans="16:16" x14ac:dyDescent="0.2">
      <c r="P810" s="139"/>
    </row>
    <row r="811" spans="16:16" x14ac:dyDescent="0.2">
      <c r="P811" s="139"/>
    </row>
    <row r="812" spans="16:16" x14ac:dyDescent="0.2">
      <c r="P812" s="139"/>
    </row>
    <row r="813" spans="16:16" x14ac:dyDescent="0.2">
      <c r="P813" s="139"/>
    </row>
    <row r="814" spans="16:16" x14ac:dyDescent="0.2">
      <c r="P814" s="139"/>
    </row>
    <row r="815" spans="16:16" x14ac:dyDescent="0.2">
      <c r="P815" s="139"/>
    </row>
    <row r="816" spans="16:16" x14ac:dyDescent="0.2">
      <c r="P816" s="139"/>
    </row>
    <row r="817" spans="16:16" x14ac:dyDescent="0.2">
      <c r="P817" s="139"/>
    </row>
    <row r="818" spans="16:16" x14ac:dyDescent="0.2">
      <c r="P818" s="139"/>
    </row>
    <row r="819" spans="16:16" x14ac:dyDescent="0.2">
      <c r="P819" s="139"/>
    </row>
    <row r="820" spans="16:16" x14ac:dyDescent="0.2">
      <c r="P820" s="139"/>
    </row>
    <row r="821" spans="16:16" x14ac:dyDescent="0.2">
      <c r="P821" s="139"/>
    </row>
    <row r="822" spans="16:16" x14ac:dyDescent="0.2">
      <c r="P822" s="139"/>
    </row>
    <row r="823" spans="16:16" x14ac:dyDescent="0.2">
      <c r="P823" s="139"/>
    </row>
    <row r="824" spans="16:16" x14ac:dyDescent="0.2">
      <c r="P824" s="139"/>
    </row>
    <row r="825" spans="16:16" x14ac:dyDescent="0.2">
      <c r="P825" s="139"/>
    </row>
    <row r="826" spans="16:16" x14ac:dyDescent="0.2">
      <c r="P826" s="139"/>
    </row>
    <row r="827" spans="16:16" x14ac:dyDescent="0.2">
      <c r="P827" s="139"/>
    </row>
    <row r="828" spans="16:16" x14ac:dyDescent="0.2">
      <c r="P828" s="139"/>
    </row>
    <row r="829" spans="16:16" x14ac:dyDescent="0.2">
      <c r="P829" s="139"/>
    </row>
    <row r="830" spans="16:16" x14ac:dyDescent="0.2">
      <c r="P830" s="139"/>
    </row>
    <row r="831" spans="16:16" x14ac:dyDescent="0.2">
      <c r="P831" s="139"/>
    </row>
    <row r="832" spans="16:16" x14ac:dyDescent="0.2">
      <c r="P832" s="139"/>
    </row>
    <row r="833" spans="16:16" x14ac:dyDescent="0.2">
      <c r="P833" s="139"/>
    </row>
    <row r="834" spans="16:16" x14ac:dyDescent="0.2">
      <c r="P834" s="139"/>
    </row>
    <row r="835" spans="16:16" x14ac:dyDescent="0.2">
      <c r="P835" s="139"/>
    </row>
    <row r="836" spans="16:16" x14ac:dyDescent="0.2">
      <c r="P836" s="139"/>
    </row>
    <row r="837" spans="16:16" x14ac:dyDescent="0.2">
      <c r="P837" s="139"/>
    </row>
    <row r="838" spans="16:16" x14ac:dyDescent="0.2">
      <c r="P838" s="139"/>
    </row>
    <row r="839" spans="16:16" x14ac:dyDescent="0.2">
      <c r="P839" s="139"/>
    </row>
    <row r="840" spans="16:16" x14ac:dyDescent="0.2">
      <c r="P840" s="139"/>
    </row>
    <row r="841" spans="16:16" x14ac:dyDescent="0.2">
      <c r="P841" s="139"/>
    </row>
    <row r="842" spans="16:16" x14ac:dyDescent="0.2">
      <c r="P842" s="139"/>
    </row>
    <row r="843" spans="16:16" x14ac:dyDescent="0.2">
      <c r="P843" s="139"/>
    </row>
    <row r="844" spans="16:16" x14ac:dyDescent="0.2">
      <c r="P844" s="139"/>
    </row>
    <row r="845" spans="16:16" x14ac:dyDescent="0.2">
      <c r="P845" s="139"/>
    </row>
    <row r="846" spans="16:16" x14ac:dyDescent="0.2">
      <c r="P846" s="139"/>
    </row>
    <row r="847" spans="16:16" x14ac:dyDescent="0.2">
      <c r="P847" s="139"/>
    </row>
    <row r="848" spans="16:16" x14ac:dyDescent="0.2">
      <c r="P848" s="139"/>
    </row>
    <row r="849" spans="16:16" x14ac:dyDescent="0.2">
      <c r="P849" s="139"/>
    </row>
    <row r="850" spans="16:16" x14ac:dyDescent="0.2">
      <c r="P850" s="139"/>
    </row>
    <row r="851" spans="16:16" x14ac:dyDescent="0.2">
      <c r="P851" s="139"/>
    </row>
    <row r="852" spans="16:16" x14ac:dyDescent="0.2">
      <c r="P852" s="139"/>
    </row>
    <row r="853" spans="16:16" x14ac:dyDescent="0.2">
      <c r="P853" s="139"/>
    </row>
    <row r="854" spans="16:16" x14ac:dyDescent="0.2">
      <c r="P854" s="139"/>
    </row>
    <row r="855" spans="16:16" x14ac:dyDescent="0.2">
      <c r="P855" s="139"/>
    </row>
    <row r="856" spans="16:16" x14ac:dyDescent="0.2">
      <c r="P856" s="139"/>
    </row>
    <row r="857" spans="16:16" x14ac:dyDescent="0.2">
      <c r="P857" s="139"/>
    </row>
    <row r="858" spans="16:16" x14ac:dyDescent="0.2">
      <c r="P858" s="139"/>
    </row>
    <row r="859" spans="16:16" x14ac:dyDescent="0.2">
      <c r="P859" s="139"/>
    </row>
    <row r="860" spans="16:16" x14ac:dyDescent="0.2">
      <c r="P860" s="139"/>
    </row>
    <row r="861" spans="16:16" x14ac:dyDescent="0.2">
      <c r="P861" s="139"/>
    </row>
    <row r="862" spans="16:16" x14ac:dyDescent="0.2">
      <c r="P862" s="139"/>
    </row>
    <row r="863" spans="16:16" x14ac:dyDescent="0.2">
      <c r="P863" s="139"/>
    </row>
    <row r="864" spans="16:16" x14ac:dyDescent="0.2">
      <c r="P864" s="139"/>
    </row>
    <row r="865" spans="16:16" x14ac:dyDescent="0.2">
      <c r="P865" s="139"/>
    </row>
    <row r="866" spans="16:16" x14ac:dyDescent="0.2">
      <c r="P866" s="139"/>
    </row>
    <row r="867" spans="16:16" x14ac:dyDescent="0.2">
      <c r="P867" s="139"/>
    </row>
    <row r="868" spans="16:16" x14ac:dyDescent="0.2">
      <c r="P868" s="139"/>
    </row>
    <row r="869" spans="16:16" x14ac:dyDescent="0.2">
      <c r="P869" s="139"/>
    </row>
    <row r="870" spans="16:16" x14ac:dyDescent="0.2">
      <c r="P870" s="139"/>
    </row>
    <row r="871" spans="16:16" x14ac:dyDescent="0.2">
      <c r="P871" s="139"/>
    </row>
    <row r="872" spans="16:16" x14ac:dyDescent="0.2">
      <c r="P872" s="139"/>
    </row>
    <row r="873" spans="16:16" x14ac:dyDescent="0.2">
      <c r="P873" s="139"/>
    </row>
    <row r="874" spans="16:16" x14ac:dyDescent="0.2">
      <c r="P874" s="139"/>
    </row>
    <row r="875" spans="16:16" x14ac:dyDescent="0.2">
      <c r="P875" s="139"/>
    </row>
    <row r="876" spans="16:16" x14ac:dyDescent="0.2">
      <c r="P876" s="139"/>
    </row>
    <row r="877" spans="16:16" x14ac:dyDescent="0.2">
      <c r="P877" s="139"/>
    </row>
    <row r="878" spans="16:16" x14ac:dyDescent="0.2">
      <c r="P878" s="139"/>
    </row>
    <row r="879" spans="16:16" x14ac:dyDescent="0.2">
      <c r="P879" s="139"/>
    </row>
    <row r="880" spans="16:16" x14ac:dyDescent="0.2">
      <c r="P880" s="139"/>
    </row>
    <row r="881" spans="16:16" x14ac:dyDescent="0.2">
      <c r="P881" s="139"/>
    </row>
    <row r="882" spans="16:16" x14ac:dyDescent="0.2">
      <c r="P882" s="139"/>
    </row>
    <row r="883" spans="16:16" x14ac:dyDescent="0.2">
      <c r="P883" s="139"/>
    </row>
    <row r="884" spans="16:16" x14ac:dyDescent="0.2">
      <c r="P884" s="139"/>
    </row>
    <row r="885" spans="16:16" x14ac:dyDescent="0.2">
      <c r="P885" s="139"/>
    </row>
    <row r="886" spans="16:16" x14ac:dyDescent="0.2">
      <c r="P886" s="139"/>
    </row>
    <row r="887" spans="16:16" x14ac:dyDescent="0.2">
      <c r="P887" s="139"/>
    </row>
    <row r="888" spans="16:16" x14ac:dyDescent="0.2">
      <c r="P888" s="139"/>
    </row>
    <row r="889" spans="16:16" x14ac:dyDescent="0.2">
      <c r="P889" s="139"/>
    </row>
    <row r="890" spans="16:16" x14ac:dyDescent="0.2">
      <c r="P890" s="139"/>
    </row>
    <row r="891" spans="16:16" x14ac:dyDescent="0.2">
      <c r="P891" s="139"/>
    </row>
    <row r="892" spans="16:16" x14ac:dyDescent="0.2">
      <c r="P892" s="139"/>
    </row>
    <row r="893" spans="16:16" x14ac:dyDescent="0.2">
      <c r="P893" s="139"/>
    </row>
    <row r="894" spans="16:16" x14ac:dyDescent="0.2">
      <c r="P894" s="139"/>
    </row>
    <row r="895" spans="16:16" x14ac:dyDescent="0.2">
      <c r="P895" s="139"/>
    </row>
    <row r="896" spans="16:16" x14ac:dyDescent="0.2">
      <c r="P896" s="139"/>
    </row>
    <row r="897" spans="16:16" x14ac:dyDescent="0.2">
      <c r="P897" s="139"/>
    </row>
    <row r="898" spans="16:16" x14ac:dyDescent="0.2">
      <c r="P898" s="139"/>
    </row>
    <row r="899" spans="16:16" x14ac:dyDescent="0.2">
      <c r="P899" s="139"/>
    </row>
    <row r="900" spans="16:16" x14ac:dyDescent="0.2">
      <c r="P900" s="139"/>
    </row>
    <row r="901" spans="16:16" x14ac:dyDescent="0.2">
      <c r="P901" s="139"/>
    </row>
    <row r="902" spans="16:16" x14ac:dyDescent="0.2">
      <c r="P902" s="139"/>
    </row>
    <row r="903" spans="16:16" x14ac:dyDescent="0.2">
      <c r="P903" s="139"/>
    </row>
    <row r="904" spans="16:16" x14ac:dyDescent="0.2">
      <c r="P904" s="139"/>
    </row>
    <row r="905" spans="16:16" x14ac:dyDescent="0.2">
      <c r="P905" s="139"/>
    </row>
    <row r="906" spans="16:16" x14ac:dyDescent="0.2">
      <c r="P906" s="139"/>
    </row>
    <row r="907" spans="16:16" x14ac:dyDescent="0.2">
      <c r="P907" s="139"/>
    </row>
    <row r="908" spans="16:16" x14ac:dyDescent="0.2">
      <c r="P908" s="139"/>
    </row>
    <row r="909" spans="16:16" x14ac:dyDescent="0.2">
      <c r="P909" s="139"/>
    </row>
    <row r="910" spans="16:16" x14ac:dyDescent="0.2">
      <c r="P910" s="139"/>
    </row>
    <row r="911" spans="16:16" x14ac:dyDescent="0.2">
      <c r="P911" s="139"/>
    </row>
    <row r="912" spans="16:16" x14ac:dyDescent="0.2">
      <c r="P912" s="139"/>
    </row>
    <row r="913" spans="16:16" x14ac:dyDescent="0.2">
      <c r="P913" s="139"/>
    </row>
    <row r="914" spans="16:16" x14ac:dyDescent="0.2">
      <c r="P914" s="139"/>
    </row>
    <row r="915" spans="16:16" x14ac:dyDescent="0.2">
      <c r="P915" s="139"/>
    </row>
    <row r="916" spans="16:16" x14ac:dyDescent="0.2">
      <c r="P916" s="139"/>
    </row>
    <row r="917" spans="16:16" x14ac:dyDescent="0.2">
      <c r="P917" s="139"/>
    </row>
    <row r="918" spans="16:16" x14ac:dyDescent="0.2">
      <c r="P918" s="139"/>
    </row>
    <row r="919" spans="16:16" x14ac:dyDescent="0.2">
      <c r="P919" s="139"/>
    </row>
    <row r="920" spans="16:16" x14ac:dyDescent="0.2">
      <c r="P920" s="139"/>
    </row>
    <row r="921" spans="16:16" x14ac:dyDescent="0.2">
      <c r="P921" s="139"/>
    </row>
    <row r="922" spans="16:16" x14ac:dyDescent="0.2">
      <c r="P922" s="139"/>
    </row>
    <row r="923" spans="16:16" x14ac:dyDescent="0.2">
      <c r="P923" s="139"/>
    </row>
    <row r="924" spans="16:16" x14ac:dyDescent="0.2">
      <c r="P924" s="139"/>
    </row>
    <row r="925" spans="16:16" x14ac:dyDescent="0.2">
      <c r="P925" s="139"/>
    </row>
    <row r="926" spans="16:16" x14ac:dyDescent="0.2">
      <c r="P926" s="139"/>
    </row>
    <row r="927" spans="16:16" x14ac:dyDescent="0.2">
      <c r="P927" s="139"/>
    </row>
    <row r="928" spans="16:16" x14ac:dyDescent="0.2">
      <c r="P928" s="139"/>
    </row>
    <row r="929" spans="16:16" x14ac:dyDescent="0.2">
      <c r="P929" s="139"/>
    </row>
    <row r="930" spans="16:16" x14ac:dyDescent="0.2">
      <c r="P930" s="139"/>
    </row>
    <row r="931" spans="16:16" x14ac:dyDescent="0.2">
      <c r="P931" s="139"/>
    </row>
    <row r="932" spans="16:16" x14ac:dyDescent="0.2">
      <c r="P932" s="139"/>
    </row>
    <row r="933" spans="16:16" x14ac:dyDescent="0.2">
      <c r="P933" s="139"/>
    </row>
    <row r="934" spans="16:16" x14ac:dyDescent="0.2">
      <c r="P934" s="139"/>
    </row>
    <row r="935" spans="16:16" x14ac:dyDescent="0.2">
      <c r="P935" s="139"/>
    </row>
    <row r="936" spans="16:16" x14ac:dyDescent="0.2">
      <c r="P936" s="139"/>
    </row>
    <row r="937" spans="16:16" x14ac:dyDescent="0.2">
      <c r="P937" s="139"/>
    </row>
    <row r="938" spans="16:16" x14ac:dyDescent="0.2">
      <c r="P938" s="139"/>
    </row>
    <row r="939" spans="16:16" x14ac:dyDescent="0.2">
      <c r="P939" s="139"/>
    </row>
    <row r="940" spans="16:16" x14ac:dyDescent="0.2">
      <c r="P940" s="139"/>
    </row>
    <row r="941" spans="16:16" x14ac:dyDescent="0.2">
      <c r="P941" s="139"/>
    </row>
    <row r="942" spans="16:16" x14ac:dyDescent="0.2">
      <c r="P942" s="139"/>
    </row>
    <row r="943" spans="16:16" x14ac:dyDescent="0.2">
      <c r="P943" s="139"/>
    </row>
    <row r="944" spans="16:16" x14ac:dyDescent="0.2">
      <c r="P944" s="139"/>
    </row>
    <row r="945" spans="16:16" x14ac:dyDescent="0.2">
      <c r="P945" s="139"/>
    </row>
    <row r="946" spans="16:16" x14ac:dyDescent="0.2">
      <c r="P946" s="139"/>
    </row>
    <row r="947" spans="16:16" x14ac:dyDescent="0.2">
      <c r="P947" s="139"/>
    </row>
    <row r="948" spans="16:16" x14ac:dyDescent="0.2">
      <c r="P948" s="139"/>
    </row>
    <row r="949" spans="16:16" x14ac:dyDescent="0.2">
      <c r="P949" s="139"/>
    </row>
    <row r="950" spans="16:16" x14ac:dyDescent="0.2">
      <c r="P950" s="139"/>
    </row>
    <row r="951" spans="16:16" x14ac:dyDescent="0.2">
      <c r="P951" s="139"/>
    </row>
    <row r="952" spans="16:16" x14ac:dyDescent="0.2">
      <c r="P952" s="139"/>
    </row>
    <row r="953" spans="16:16" x14ac:dyDescent="0.2">
      <c r="P953" s="139"/>
    </row>
    <row r="954" spans="16:16" x14ac:dyDescent="0.2">
      <c r="P954" s="139"/>
    </row>
    <row r="955" spans="16:16" x14ac:dyDescent="0.2">
      <c r="P955" s="139"/>
    </row>
    <row r="956" spans="16:16" x14ac:dyDescent="0.2">
      <c r="P956" s="139"/>
    </row>
    <row r="957" spans="16:16" x14ac:dyDescent="0.2">
      <c r="P957" s="139"/>
    </row>
    <row r="958" spans="16:16" x14ac:dyDescent="0.2">
      <c r="P958" s="139"/>
    </row>
    <row r="959" spans="16:16" x14ac:dyDescent="0.2">
      <c r="P959" s="139"/>
    </row>
    <row r="960" spans="16:16" x14ac:dyDescent="0.2">
      <c r="P960" s="139"/>
    </row>
    <row r="961" spans="16:16" x14ac:dyDescent="0.2">
      <c r="P961" s="139"/>
    </row>
    <row r="962" spans="16:16" x14ac:dyDescent="0.2">
      <c r="P962" s="139"/>
    </row>
    <row r="963" spans="16:16" x14ac:dyDescent="0.2">
      <c r="P963" s="139"/>
    </row>
    <row r="964" spans="16:16" x14ac:dyDescent="0.2">
      <c r="P964" s="139"/>
    </row>
    <row r="965" spans="16:16" x14ac:dyDescent="0.2">
      <c r="P965" s="139"/>
    </row>
    <row r="966" spans="16:16" x14ac:dyDescent="0.2">
      <c r="P966" s="139"/>
    </row>
    <row r="967" spans="16:16" x14ac:dyDescent="0.2">
      <c r="P967" s="139"/>
    </row>
    <row r="968" spans="16:16" x14ac:dyDescent="0.2">
      <c r="P968" s="139"/>
    </row>
    <row r="969" spans="16:16" x14ac:dyDescent="0.2">
      <c r="P969" s="139"/>
    </row>
    <row r="970" spans="16:16" x14ac:dyDescent="0.2">
      <c r="P970" s="139"/>
    </row>
    <row r="971" spans="16:16" x14ac:dyDescent="0.2">
      <c r="P971" s="139"/>
    </row>
    <row r="972" spans="16:16" x14ac:dyDescent="0.2">
      <c r="P972" s="139"/>
    </row>
    <row r="973" spans="16:16" x14ac:dyDescent="0.2">
      <c r="P973" s="139"/>
    </row>
    <row r="974" spans="16:16" x14ac:dyDescent="0.2">
      <c r="P974" s="139"/>
    </row>
    <row r="975" spans="16:16" x14ac:dyDescent="0.2">
      <c r="P975" s="139"/>
    </row>
    <row r="976" spans="16:16" x14ac:dyDescent="0.2">
      <c r="P976" s="139"/>
    </row>
    <row r="977" spans="16:16" x14ac:dyDescent="0.2">
      <c r="P977" s="139"/>
    </row>
    <row r="978" spans="16:16" x14ac:dyDescent="0.2">
      <c r="P978" s="139"/>
    </row>
    <row r="979" spans="16:16" x14ac:dyDescent="0.2">
      <c r="P979" s="139"/>
    </row>
    <row r="980" spans="16:16" x14ac:dyDescent="0.2">
      <c r="P980" s="139"/>
    </row>
    <row r="981" spans="16:16" x14ac:dyDescent="0.2">
      <c r="P981" s="139"/>
    </row>
    <row r="982" spans="16:16" x14ac:dyDescent="0.2">
      <c r="P982" s="139"/>
    </row>
    <row r="983" spans="16:16" x14ac:dyDescent="0.2">
      <c r="P983" s="139"/>
    </row>
    <row r="984" spans="16:16" x14ac:dyDescent="0.2">
      <c r="P984" s="139"/>
    </row>
    <row r="985" spans="16:16" x14ac:dyDescent="0.2">
      <c r="P985" s="139"/>
    </row>
    <row r="986" spans="16:16" x14ac:dyDescent="0.2">
      <c r="P986" s="139"/>
    </row>
    <row r="987" spans="16:16" x14ac:dyDescent="0.2">
      <c r="P987" s="139"/>
    </row>
    <row r="988" spans="16:16" x14ac:dyDescent="0.2">
      <c r="P988" s="139"/>
    </row>
    <row r="989" spans="16:16" x14ac:dyDescent="0.2">
      <c r="P989" s="139"/>
    </row>
    <row r="990" spans="16:16" x14ac:dyDescent="0.2">
      <c r="P990" s="139"/>
    </row>
    <row r="991" spans="16:16" x14ac:dyDescent="0.2">
      <c r="P991" s="139"/>
    </row>
    <row r="992" spans="16:16" x14ac:dyDescent="0.2">
      <c r="P992" s="139"/>
    </row>
    <row r="993" spans="16:16" x14ac:dyDescent="0.2">
      <c r="P993" s="139"/>
    </row>
    <row r="994" spans="16:16" x14ac:dyDescent="0.2">
      <c r="P994" s="139"/>
    </row>
    <row r="995" spans="16:16" x14ac:dyDescent="0.2">
      <c r="P995" s="139"/>
    </row>
    <row r="996" spans="16:16" x14ac:dyDescent="0.2">
      <c r="P996" s="139"/>
    </row>
    <row r="997" spans="16:16" x14ac:dyDescent="0.2">
      <c r="P997" s="139"/>
    </row>
    <row r="998" spans="16:16" x14ac:dyDescent="0.2">
      <c r="P998" s="139"/>
    </row>
    <row r="999" spans="16:16" x14ac:dyDescent="0.2">
      <c r="P999" s="139"/>
    </row>
    <row r="1000" spans="16:16" x14ac:dyDescent="0.2">
      <c r="P1000" s="139"/>
    </row>
    <row r="1001" spans="16:16" x14ac:dyDescent="0.2">
      <c r="P1001" s="139"/>
    </row>
    <row r="1002" spans="16:16" x14ac:dyDescent="0.2">
      <c r="P1002" s="139"/>
    </row>
    <row r="1003" spans="16:16" x14ac:dyDescent="0.2">
      <c r="P1003" s="139"/>
    </row>
    <row r="1004" spans="16:16" x14ac:dyDescent="0.2">
      <c r="P1004" s="139"/>
    </row>
    <row r="1005" spans="16:16" x14ac:dyDescent="0.2">
      <c r="P1005" s="139"/>
    </row>
    <row r="1006" spans="16:16" x14ac:dyDescent="0.2">
      <c r="P1006" s="139"/>
    </row>
    <row r="1007" spans="16:16" x14ac:dyDescent="0.2">
      <c r="P1007" s="139"/>
    </row>
    <row r="1008" spans="16:16" x14ac:dyDescent="0.2">
      <c r="P1008" s="139"/>
    </row>
    <row r="1009" spans="16:16" x14ac:dyDescent="0.2">
      <c r="P1009" s="139"/>
    </row>
    <row r="1010" spans="16:16" x14ac:dyDescent="0.2">
      <c r="P1010" s="139"/>
    </row>
    <row r="1011" spans="16:16" x14ac:dyDescent="0.2">
      <c r="P1011" s="139"/>
    </row>
    <row r="1012" spans="16:16" x14ac:dyDescent="0.2">
      <c r="P1012" s="139"/>
    </row>
    <row r="1013" spans="16:16" x14ac:dyDescent="0.2">
      <c r="P1013" s="139"/>
    </row>
    <row r="1014" spans="16:16" x14ac:dyDescent="0.2">
      <c r="P1014" s="139"/>
    </row>
    <row r="1015" spans="16:16" x14ac:dyDescent="0.2">
      <c r="P1015" s="139"/>
    </row>
    <row r="1016" spans="16:16" x14ac:dyDescent="0.2">
      <c r="P1016" s="139"/>
    </row>
    <row r="1017" spans="16:16" x14ac:dyDescent="0.2">
      <c r="P1017" s="139"/>
    </row>
    <row r="1018" spans="16:16" x14ac:dyDescent="0.2">
      <c r="P1018" s="139"/>
    </row>
    <row r="1019" spans="16:16" x14ac:dyDescent="0.2">
      <c r="P1019" s="139"/>
    </row>
    <row r="1020" spans="16:16" x14ac:dyDescent="0.2">
      <c r="P1020" s="139"/>
    </row>
    <row r="1021" spans="16:16" x14ac:dyDescent="0.2">
      <c r="P1021" s="139"/>
    </row>
    <row r="1022" spans="16:16" x14ac:dyDescent="0.2">
      <c r="P1022" s="139"/>
    </row>
    <row r="1023" spans="16:16" x14ac:dyDescent="0.2">
      <c r="P1023" s="139"/>
    </row>
    <row r="1024" spans="16:16" x14ac:dyDescent="0.2">
      <c r="P1024" s="139"/>
    </row>
    <row r="1025" spans="16:16" x14ac:dyDescent="0.2">
      <c r="P1025" s="139"/>
    </row>
    <row r="1026" spans="16:16" x14ac:dyDescent="0.2">
      <c r="P1026" s="139"/>
    </row>
    <row r="1027" spans="16:16" x14ac:dyDescent="0.2">
      <c r="P1027" s="139"/>
    </row>
    <row r="1028" spans="16:16" x14ac:dyDescent="0.2">
      <c r="P1028" s="139"/>
    </row>
    <row r="1029" spans="16:16" x14ac:dyDescent="0.2">
      <c r="P1029" s="139"/>
    </row>
    <row r="1030" spans="16:16" x14ac:dyDescent="0.2">
      <c r="P1030" s="139"/>
    </row>
    <row r="1031" spans="16:16" x14ac:dyDescent="0.2">
      <c r="P1031" s="139"/>
    </row>
    <row r="1032" spans="16:16" x14ac:dyDescent="0.2">
      <c r="P1032" s="139"/>
    </row>
    <row r="1033" spans="16:16" x14ac:dyDescent="0.2">
      <c r="P1033" s="139"/>
    </row>
    <row r="1034" spans="16:16" x14ac:dyDescent="0.2">
      <c r="P1034" s="139"/>
    </row>
    <row r="1035" spans="16:16" x14ac:dyDescent="0.2">
      <c r="P1035" s="139"/>
    </row>
    <row r="1036" spans="16:16" x14ac:dyDescent="0.2">
      <c r="P1036" s="139"/>
    </row>
    <row r="1037" spans="16:16" x14ac:dyDescent="0.2">
      <c r="P1037" s="139"/>
    </row>
    <row r="1038" spans="16:16" x14ac:dyDescent="0.2">
      <c r="P1038" s="139"/>
    </row>
    <row r="1039" spans="16:16" x14ac:dyDescent="0.2">
      <c r="P1039" s="139"/>
    </row>
    <row r="1040" spans="16:16" x14ac:dyDescent="0.2">
      <c r="P1040" s="139"/>
    </row>
    <row r="1041" spans="16:16" x14ac:dyDescent="0.2">
      <c r="P1041" s="139"/>
    </row>
    <row r="1042" spans="16:16" x14ac:dyDescent="0.2">
      <c r="P1042" s="139"/>
    </row>
    <row r="1043" spans="16:16" x14ac:dyDescent="0.2">
      <c r="P1043" s="139"/>
    </row>
    <row r="1044" spans="16:16" x14ac:dyDescent="0.2">
      <c r="P1044" s="139"/>
    </row>
    <row r="1045" spans="16:16" x14ac:dyDescent="0.2">
      <c r="P1045" s="139"/>
    </row>
    <row r="1046" spans="16:16" x14ac:dyDescent="0.2">
      <c r="P1046" s="139"/>
    </row>
    <row r="1047" spans="16:16" x14ac:dyDescent="0.2">
      <c r="P1047" s="139"/>
    </row>
    <row r="1048" spans="16:16" x14ac:dyDescent="0.2">
      <c r="P1048" s="139"/>
    </row>
    <row r="1049" spans="16:16" x14ac:dyDescent="0.2">
      <c r="P1049" s="139"/>
    </row>
    <row r="1050" spans="16:16" x14ac:dyDescent="0.2">
      <c r="P1050" s="139"/>
    </row>
    <row r="1051" spans="16:16" x14ac:dyDescent="0.2">
      <c r="P1051" s="139"/>
    </row>
    <row r="1052" spans="16:16" x14ac:dyDescent="0.2">
      <c r="P1052" s="139"/>
    </row>
    <row r="1053" spans="16:16" x14ac:dyDescent="0.2">
      <c r="P1053" s="139"/>
    </row>
    <row r="1054" spans="16:16" x14ac:dyDescent="0.2">
      <c r="P1054" s="139"/>
    </row>
    <row r="1055" spans="16:16" x14ac:dyDescent="0.2">
      <c r="P1055" s="139"/>
    </row>
    <row r="1056" spans="16:16" x14ac:dyDescent="0.2">
      <c r="P1056" s="139"/>
    </row>
    <row r="1057" spans="16:16" x14ac:dyDescent="0.2">
      <c r="P1057" s="139"/>
    </row>
    <row r="1058" spans="16:16" x14ac:dyDescent="0.2">
      <c r="P1058" s="139"/>
    </row>
    <row r="1059" spans="16:16" x14ac:dyDescent="0.2">
      <c r="P1059" s="139"/>
    </row>
    <row r="1060" spans="16:16" x14ac:dyDescent="0.2">
      <c r="P1060" s="139"/>
    </row>
    <row r="1061" spans="16:16" x14ac:dyDescent="0.2">
      <c r="P1061" s="139"/>
    </row>
    <row r="1062" spans="16:16" x14ac:dyDescent="0.2">
      <c r="P1062" s="139"/>
    </row>
    <row r="1063" spans="16:16" x14ac:dyDescent="0.2">
      <c r="P1063" s="139"/>
    </row>
    <row r="1064" spans="16:16" x14ac:dyDescent="0.2">
      <c r="P1064" s="139"/>
    </row>
    <row r="1065" spans="16:16" x14ac:dyDescent="0.2">
      <c r="P1065" s="139"/>
    </row>
    <row r="1066" spans="16:16" x14ac:dyDescent="0.2">
      <c r="P1066" s="139"/>
    </row>
    <row r="1067" spans="16:16" x14ac:dyDescent="0.2">
      <c r="P1067" s="139"/>
    </row>
    <row r="1068" spans="16:16" x14ac:dyDescent="0.2">
      <c r="P1068" s="139"/>
    </row>
    <row r="1069" spans="16:16" x14ac:dyDescent="0.2">
      <c r="P1069" s="139"/>
    </row>
    <row r="1070" spans="16:16" x14ac:dyDescent="0.2">
      <c r="P1070" s="139"/>
    </row>
    <row r="1071" spans="16:16" x14ac:dyDescent="0.2">
      <c r="P1071" s="139"/>
    </row>
    <row r="1072" spans="16:16" x14ac:dyDescent="0.2">
      <c r="P1072" s="139"/>
    </row>
    <row r="1073" spans="16:16" x14ac:dyDescent="0.2">
      <c r="P1073" s="139"/>
    </row>
    <row r="1074" spans="16:16" x14ac:dyDescent="0.2">
      <c r="P1074" s="139"/>
    </row>
    <row r="1075" spans="16:16" x14ac:dyDescent="0.2">
      <c r="P1075" s="139"/>
    </row>
    <row r="1076" spans="16:16" x14ac:dyDescent="0.2">
      <c r="P1076" s="139"/>
    </row>
    <row r="1077" spans="16:16" x14ac:dyDescent="0.2">
      <c r="P1077" s="139"/>
    </row>
    <row r="1078" spans="16:16" x14ac:dyDescent="0.2">
      <c r="P1078" s="139"/>
    </row>
    <row r="1079" spans="16:16" x14ac:dyDescent="0.2">
      <c r="P1079" s="139"/>
    </row>
    <row r="1080" spans="16:16" x14ac:dyDescent="0.2">
      <c r="P1080" s="139"/>
    </row>
    <row r="1081" spans="16:16" x14ac:dyDescent="0.2">
      <c r="P1081" s="139"/>
    </row>
    <row r="1082" spans="16:16" x14ac:dyDescent="0.2">
      <c r="P1082" s="139"/>
    </row>
    <row r="1083" spans="16:16" x14ac:dyDescent="0.2">
      <c r="P1083" s="139"/>
    </row>
    <row r="1084" spans="16:16" x14ac:dyDescent="0.2">
      <c r="P1084" s="139"/>
    </row>
    <row r="1085" spans="16:16" x14ac:dyDescent="0.2">
      <c r="P1085" s="139"/>
    </row>
    <row r="1086" spans="16:16" x14ac:dyDescent="0.2">
      <c r="P1086" s="139"/>
    </row>
    <row r="1087" spans="16:16" x14ac:dyDescent="0.2">
      <c r="P1087" s="139"/>
    </row>
    <row r="1088" spans="16:16" x14ac:dyDescent="0.2">
      <c r="P1088" s="139"/>
    </row>
    <row r="1089" spans="16:16" x14ac:dyDescent="0.2">
      <c r="P1089" s="139"/>
    </row>
    <row r="1090" spans="16:16" x14ac:dyDescent="0.2">
      <c r="P1090" s="139"/>
    </row>
    <row r="1091" spans="16:16" x14ac:dyDescent="0.2">
      <c r="P1091" s="139"/>
    </row>
    <row r="1092" spans="16:16" x14ac:dyDescent="0.2">
      <c r="P1092" s="139"/>
    </row>
    <row r="1093" spans="16:16" x14ac:dyDescent="0.2">
      <c r="P1093" s="139"/>
    </row>
    <row r="1094" spans="16:16" x14ac:dyDescent="0.2">
      <c r="P1094" s="139"/>
    </row>
    <row r="1095" spans="16:16" x14ac:dyDescent="0.2">
      <c r="P1095" s="139"/>
    </row>
    <row r="1096" spans="16:16" x14ac:dyDescent="0.2">
      <c r="P1096" s="139"/>
    </row>
    <row r="1097" spans="16:16" x14ac:dyDescent="0.2">
      <c r="P1097" s="139"/>
    </row>
    <row r="1098" spans="16:16" x14ac:dyDescent="0.2">
      <c r="P1098" s="139"/>
    </row>
    <row r="1099" spans="16:16" x14ac:dyDescent="0.2">
      <c r="P1099" s="139"/>
    </row>
    <row r="1100" spans="16:16" x14ac:dyDescent="0.2">
      <c r="P1100" s="139"/>
    </row>
    <row r="1101" spans="16:16" x14ac:dyDescent="0.2">
      <c r="P1101" s="139"/>
    </row>
    <row r="1102" spans="16:16" x14ac:dyDescent="0.2">
      <c r="P1102" s="139"/>
    </row>
    <row r="1103" spans="16:16" x14ac:dyDescent="0.2">
      <c r="P1103" s="139"/>
    </row>
    <row r="1104" spans="16:16" x14ac:dyDescent="0.2">
      <c r="P1104" s="139"/>
    </row>
    <row r="1105" spans="16:16" x14ac:dyDescent="0.2">
      <c r="P1105" s="139"/>
    </row>
    <row r="1106" spans="16:16" x14ac:dyDescent="0.2">
      <c r="P1106" s="139"/>
    </row>
    <row r="1107" spans="16:16" x14ac:dyDescent="0.2">
      <c r="P1107" s="139"/>
    </row>
    <row r="1108" spans="16:16" x14ac:dyDescent="0.2">
      <c r="P1108" s="139"/>
    </row>
    <row r="1109" spans="16:16" x14ac:dyDescent="0.2">
      <c r="P1109" s="139"/>
    </row>
    <row r="1110" spans="16:16" x14ac:dyDescent="0.2">
      <c r="P1110" s="139"/>
    </row>
    <row r="1111" spans="16:16" x14ac:dyDescent="0.2">
      <c r="P1111" s="139"/>
    </row>
    <row r="1112" spans="16:16" x14ac:dyDescent="0.2">
      <c r="P1112" s="139"/>
    </row>
    <row r="1113" spans="16:16" x14ac:dyDescent="0.2">
      <c r="P1113" s="139"/>
    </row>
    <row r="1114" spans="16:16" x14ac:dyDescent="0.2">
      <c r="P1114" s="139"/>
    </row>
    <row r="1115" spans="16:16" x14ac:dyDescent="0.2">
      <c r="P1115" s="139"/>
    </row>
    <row r="1116" spans="16:16" x14ac:dyDescent="0.2">
      <c r="P1116" s="139"/>
    </row>
    <row r="1117" spans="16:16" x14ac:dyDescent="0.2">
      <c r="P1117" s="139"/>
    </row>
    <row r="1118" spans="16:16" x14ac:dyDescent="0.2">
      <c r="P1118" s="139"/>
    </row>
    <row r="1119" spans="16:16" x14ac:dyDescent="0.2">
      <c r="P1119" s="139"/>
    </row>
    <row r="1120" spans="16:16" x14ac:dyDescent="0.2">
      <c r="P1120" s="139"/>
    </row>
    <row r="1121" spans="16:16" x14ac:dyDescent="0.2">
      <c r="P1121" s="139"/>
    </row>
    <row r="1122" spans="16:16" x14ac:dyDescent="0.2">
      <c r="P1122" s="139"/>
    </row>
    <row r="1123" spans="16:16" x14ac:dyDescent="0.2">
      <c r="P1123" s="139"/>
    </row>
    <row r="1124" spans="16:16" x14ac:dyDescent="0.2">
      <c r="P1124" s="139"/>
    </row>
    <row r="1125" spans="16:16" x14ac:dyDescent="0.2">
      <c r="P1125" s="139"/>
    </row>
    <row r="1126" spans="16:16" x14ac:dyDescent="0.2">
      <c r="P1126" s="139"/>
    </row>
    <row r="1127" spans="16:16" x14ac:dyDescent="0.2">
      <c r="P1127" s="139"/>
    </row>
    <row r="1128" spans="16:16" x14ac:dyDescent="0.2">
      <c r="P1128" s="139"/>
    </row>
    <row r="1129" spans="16:16" x14ac:dyDescent="0.2">
      <c r="P1129" s="139"/>
    </row>
    <row r="1130" spans="16:16" x14ac:dyDescent="0.2">
      <c r="P1130" s="139"/>
    </row>
    <row r="1131" spans="16:16" x14ac:dyDescent="0.2">
      <c r="P1131" s="139"/>
    </row>
    <row r="1132" spans="16:16" x14ac:dyDescent="0.2">
      <c r="P1132" s="139"/>
    </row>
    <row r="1133" spans="16:16" x14ac:dyDescent="0.2">
      <c r="P1133" s="139"/>
    </row>
    <row r="1134" spans="16:16" x14ac:dyDescent="0.2">
      <c r="P1134" s="139"/>
    </row>
    <row r="1135" spans="16:16" x14ac:dyDescent="0.2">
      <c r="P1135" s="139"/>
    </row>
    <row r="1136" spans="16:16" x14ac:dyDescent="0.2">
      <c r="P1136" s="139"/>
    </row>
    <row r="1137" spans="16:16" x14ac:dyDescent="0.2">
      <c r="P1137" s="139"/>
    </row>
    <row r="1138" spans="16:16" x14ac:dyDescent="0.2">
      <c r="P1138" s="139"/>
    </row>
    <row r="1139" spans="16:16" x14ac:dyDescent="0.2">
      <c r="P1139" s="139"/>
    </row>
    <row r="1140" spans="16:16" x14ac:dyDescent="0.2">
      <c r="P1140" s="139"/>
    </row>
    <row r="1141" spans="16:16" x14ac:dyDescent="0.2">
      <c r="P1141" s="139"/>
    </row>
    <row r="1142" spans="16:16" x14ac:dyDescent="0.2">
      <c r="P1142" s="139"/>
    </row>
    <row r="1143" spans="16:16" x14ac:dyDescent="0.2">
      <c r="P1143" s="139"/>
    </row>
    <row r="1144" spans="16:16" x14ac:dyDescent="0.2">
      <c r="P1144" s="139"/>
    </row>
    <row r="1145" spans="16:16" x14ac:dyDescent="0.2">
      <c r="P1145" s="139"/>
    </row>
    <row r="1146" spans="16:16" x14ac:dyDescent="0.2">
      <c r="P1146" s="139"/>
    </row>
    <row r="1147" spans="16:16" x14ac:dyDescent="0.2">
      <c r="P1147" s="139"/>
    </row>
    <row r="1148" spans="16:16" x14ac:dyDescent="0.2">
      <c r="P1148" s="139"/>
    </row>
    <row r="1149" spans="16:16" x14ac:dyDescent="0.2">
      <c r="P1149" s="139"/>
    </row>
    <row r="1150" spans="16:16" x14ac:dyDescent="0.2">
      <c r="P1150" s="139"/>
    </row>
    <row r="1151" spans="16:16" x14ac:dyDescent="0.2">
      <c r="P1151" s="139"/>
    </row>
    <row r="1152" spans="16:16" x14ac:dyDescent="0.2">
      <c r="P1152" s="139"/>
    </row>
    <row r="1153" spans="16:16" x14ac:dyDescent="0.2">
      <c r="P1153" s="139"/>
    </row>
    <row r="1154" spans="16:16" x14ac:dyDescent="0.2">
      <c r="P1154" s="139"/>
    </row>
    <row r="1155" spans="16:16" x14ac:dyDescent="0.2">
      <c r="P1155" s="139"/>
    </row>
    <row r="1156" spans="16:16" x14ac:dyDescent="0.2">
      <c r="P1156" s="139"/>
    </row>
    <row r="1157" spans="16:16" x14ac:dyDescent="0.2">
      <c r="P1157" s="139"/>
    </row>
    <row r="1158" spans="16:16" x14ac:dyDescent="0.2">
      <c r="P1158" s="139"/>
    </row>
    <row r="1159" spans="16:16" x14ac:dyDescent="0.2">
      <c r="P1159" s="139"/>
    </row>
    <row r="1160" spans="16:16" x14ac:dyDescent="0.2">
      <c r="P1160" s="139"/>
    </row>
    <row r="1161" spans="16:16" x14ac:dyDescent="0.2">
      <c r="P1161" s="139"/>
    </row>
    <row r="1162" spans="16:16" x14ac:dyDescent="0.2">
      <c r="P1162" s="139"/>
    </row>
    <row r="1163" spans="16:16" x14ac:dyDescent="0.2">
      <c r="P1163" s="139"/>
    </row>
    <row r="1164" spans="16:16" x14ac:dyDescent="0.2">
      <c r="P1164" s="139"/>
    </row>
    <row r="1165" spans="16:16" x14ac:dyDescent="0.2">
      <c r="P1165" s="139"/>
    </row>
    <row r="1166" spans="16:16" x14ac:dyDescent="0.2">
      <c r="P1166" s="139"/>
    </row>
    <row r="1167" spans="16:16" x14ac:dyDescent="0.2">
      <c r="P1167" s="139"/>
    </row>
    <row r="1168" spans="16:16" x14ac:dyDescent="0.2">
      <c r="P1168" s="139"/>
    </row>
    <row r="1169" spans="16:16" x14ac:dyDescent="0.2">
      <c r="P1169" s="139"/>
    </row>
    <row r="1170" spans="16:16" x14ac:dyDescent="0.2">
      <c r="P1170" s="139"/>
    </row>
    <row r="1171" spans="16:16" x14ac:dyDescent="0.2">
      <c r="P1171" s="139"/>
    </row>
    <row r="1172" spans="16:16" x14ac:dyDescent="0.2">
      <c r="P1172" s="139"/>
    </row>
    <row r="1173" spans="16:16" x14ac:dyDescent="0.2">
      <c r="P1173" s="139"/>
    </row>
    <row r="1174" spans="16:16" x14ac:dyDescent="0.2">
      <c r="P1174" s="139"/>
    </row>
    <row r="1175" spans="16:16" x14ac:dyDescent="0.2">
      <c r="P1175" s="139"/>
    </row>
    <row r="1176" spans="16:16" x14ac:dyDescent="0.2">
      <c r="P1176" s="139"/>
    </row>
    <row r="1177" spans="16:16" x14ac:dyDescent="0.2">
      <c r="P1177" s="139"/>
    </row>
    <row r="1178" spans="16:16" x14ac:dyDescent="0.2">
      <c r="P1178" s="139"/>
    </row>
    <row r="1179" spans="16:16" x14ac:dyDescent="0.2">
      <c r="P1179" s="139"/>
    </row>
    <row r="1180" spans="16:16" x14ac:dyDescent="0.2">
      <c r="P1180" s="139"/>
    </row>
    <row r="1181" spans="16:16" x14ac:dyDescent="0.2">
      <c r="P1181" s="139"/>
    </row>
    <row r="1182" spans="16:16" x14ac:dyDescent="0.2">
      <c r="P1182" s="139"/>
    </row>
    <row r="1183" spans="16:16" x14ac:dyDescent="0.2">
      <c r="P1183" s="139"/>
    </row>
    <row r="1184" spans="16:16" x14ac:dyDescent="0.2">
      <c r="P1184" s="139"/>
    </row>
    <row r="1185" spans="16:16" x14ac:dyDescent="0.2">
      <c r="P1185" s="139"/>
    </row>
    <row r="1186" spans="16:16" x14ac:dyDescent="0.2">
      <c r="P1186" s="139"/>
    </row>
    <row r="1187" spans="16:16" x14ac:dyDescent="0.2">
      <c r="P1187" s="139"/>
    </row>
    <row r="1188" spans="16:16" x14ac:dyDescent="0.2">
      <c r="P1188" s="139"/>
    </row>
    <row r="1189" spans="16:16" x14ac:dyDescent="0.2">
      <c r="P1189" s="139"/>
    </row>
    <row r="1190" spans="16:16" x14ac:dyDescent="0.2">
      <c r="P1190" s="139"/>
    </row>
    <row r="1191" spans="16:16" x14ac:dyDescent="0.2">
      <c r="P1191" s="139"/>
    </row>
    <row r="1192" spans="16:16" x14ac:dyDescent="0.2">
      <c r="P1192" s="139"/>
    </row>
    <row r="1193" spans="16:16" x14ac:dyDescent="0.2">
      <c r="P1193" s="139"/>
    </row>
    <row r="1194" spans="16:16" x14ac:dyDescent="0.2">
      <c r="P1194" s="139"/>
    </row>
    <row r="1195" spans="16:16" x14ac:dyDescent="0.2">
      <c r="P1195" s="139"/>
    </row>
    <row r="1196" spans="16:16" x14ac:dyDescent="0.2">
      <c r="P1196" s="139"/>
    </row>
    <row r="1197" spans="16:16" x14ac:dyDescent="0.2">
      <c r="P1197" s="139"/>
    </row>
    <row r="1198" spans="16:16" x14ac:dyDescent="0.2">
      <c r="P1198" s="139"/>
    </row>
    <row r="1199" spans="16:16" x14ac:dyDescent="0.2">
      <c r="P1199" s="139"/>
    </row>
    <row r="1200" spans="16:16" x14ac:dyDescent="0.2">
      <c r="P1200" s="139"/>
    </row>
    <row r="1201" spans="16:16" x14ac:dyDescent="0.2">
      <c r="P1201" s="139"/>
    </row>
    <row r="1202" spans="16:16" x14ac:dyDescent="0.2">
      <c r="P1202" s="139"/>
    </row>
    <row r="1203" spans="16:16" x14ac:dyDescent="0.2">
      <c r="P1203" s="139"/>
    </row>
    <row r="1204" spans="16:16" x14ac:dyDescent="0.2">
      <c r="P1204" s="139"/>
    </row>
    <row r="1205" spans="16:16" x14ac:dyDescent="0.2">
      <c r="P1205" s="139"/>
    </row>
    <row r="1206" spans="16:16" x14ac:dyDescent="0.2">
      <c r="P1206" s="139"/>
    </row>
    <row r="1207" spans="16:16" x14ac:dyDescent="0.2">
      <c r="P1207" s="139"/>
    </row>
    <row r="1208" spans="16:16" x14ac:dyDescent="0.2">
      <c r="P1208" s="139"/>
    </row>
    <row r="1209" spans="16:16" x14ac:dyDescent="0.2">
      <c r="P1209" s="139"/>
    </row>
    <row r="1210" spans="16:16" x14ac:dyDescent="0.2">
      <c r="P1210" s="139"/>
    </row>
    <row r="1211" spans="16:16" x14ac:dyDescent="0.2">
      <c r="P1211" s="139"/>
    </row>
    <row r="1212" spans="16:16" x14ac:dyDescent="0.2">
      <c r="P1212" s="139"/>
    </row>
    <row r="1213" spans="16:16" x14ac:dyDescent="0.2">
      <c r="P1213" s="139"/>
    </row>
    <row r="1214" spans="16:16" x14ac:dyDescent="0.2">
      <c r="P1214" s="139"/>
    </row>
    <row r="1215" spans="16:16" x14ac:dyDescent="0.2">
      <c r="P1215" s="139"/>
    </row>
    <row r="1216" spans="16:16" x14ac:dyDescent="0.2">
      <c r="P1216" s="139"/>
    </row>
    <row r="1217" spans="16:16" x14ac:dyDescent="0.2">
      <c r="P1217" s="139"/>
    </row>
    <row r="1218" spans="16:16" x14ac:dyDescent="0.2">
      <c r="P1218" s="139"/>
    </row>
    <row r="1219" spans="16:16" x14ac:dyDescent="0.2">
      <c r="P1219" s="139"/>
    </row>
    <row r="1220" spans="16:16" x14ac:dyDescent="0.2">
      <c r="P1220" s="139"/>
    </row>
    <row r="1221" spans="16:16" x14ac:dyDescent="0.2">
      <c r="P1221" s="139"/>
    </row>
    <row r="1222" spans="16:16" x14ac:dyDescent="0.2">
      <c r="P1222" s="139"/>
    </row>
    <row r="1223" spans="16:16" x14ac:dyDescent="0.2">
      <c r="P1223" s="139"/>
    </row>
    <row r="1224" spans="16:16" x14ac:dyDescent="0.2">
      <c r="P1224" s="139"/>
    </row>
    <row r="1225" spans="16:16" x14ac:dyDescent="0.2">
      <c r="P1225" s="139"/>
    </row>
    <row r="1226" spans="16:16" x14ac:dyDescent="0.2">
      <c r="P1226" s="139"/>
    </row>
    <row r="1227" spans="16:16" x14ac:dyDescent="0.2">
      <c r="P1227" s="139"/>
    </row>
    <row r="1228" spans="16:16" x14ac:dyDescent="0.2">
      <c r="P1228" s="139"/>
    </row>
    <row r="1229" spans="16:16" x14ac:dyDescent="0.2">
      <c r="P1229" s="139"/>
    </row>
    <row r="1230" spans="16:16" x14ac:dyDescent="0.2">
      <c r="P1230" s="139"/>
    </row>
    <row r="1231" spans="16:16" x14ac:dyDescent="0.2">
      <c r="P1231" s="139"/>
    </row>
    <row r="1232" spans="16:16" x14ac:dyDescent="0.2">
      <c r="P1232" s="139"/>
    </row>
    <row r="1233" spans="16:16" x14ac:dyDescent="0.2">
      <c r="P1233" s="139"/>
    </row>
    <row r="1234" spans="16:16" x14ac:dyDescent="0.2">
      <c r="P1234" s="139"/>
    </row>
    <row r="1235" spans="16:16" x14ac:dyDescent="0.2">
      <c r="P1235" s="139"/>
    </row>
    <row r="1236" spans="16:16" x14ac:dyDescent="0.2">
      <c r="P1236" s="139"/>
    </row>
    <row r="1237" spans="16:16" x14ac:dyDescent="0.2">
      <c r="P1237" s="139"/>
    </row>
    <row r="1238" spans="16:16" x14ac:dyDescent="0.2">
      <c r="P1238" s="139"/>
    </row>
    <row r="1239" spans="16:16" x14ac:dyDescent="0.2">
      <c r="P1239" s="139"/>
    </row>
    <row r="1240" spans="16:16" x14ac:dyDescent="0.2">
      <c r="P1240" s="139"/>
    </row>
    <row r="1241" spans="16:16" x14ac:dyDescent="0.2">
      <c r="P1241" s="139"/>
    </row>
    <row r="1242" spans="16:16" x14ac:dyDescent="0.2">
      <c r="P1242" s="139"/>
    </row>
    <row r="1243" spans="16:16" x14ac:dyDescent="0.2">
      <c r="P1243" s="139"/>
    </row>
    <row r="1244" spans="16:16" x14ac:dyDescent="0.2">
      <c r="P1244" s="139"/>
    </row>
    <row r="1245" spans="16:16" x14ac:dyDescent="0.2">
      <c r="P1245" s="139"/>
    </row>
    <row r="1246" spans="16:16" x14ac:dyDescent="0.2">
      <c r="P1246" s="139"/>
    </row>
    <row r="1247" spans="16:16" x14ac:dyDescent="0.2">
      <c r="P1247" s="139"/>
    </row>
    <row r="1248" spans="16:16" x14ac:dyDescent="0.2">
      <c r="P1248" s="139"/>
    </row>
    <row r="1249" spans="16:16" x14ac:dyDescent="0.2">
      <c r="P1249" s="139"/>
    </row>
    <row r="1250" spans="16:16" x14ac:dyDescent="0.2">
      <c r="P1250" s="139"/>
    </row>
    <row r="1251" spans="16:16" x14ac:dyDescent="0.2">
      <c r="P1251" s="139"/>
    </row>
    <row r="1252" spans="16:16" x14ac:dyDescent="0.2">
      <c r="P1252" s="139"/>
    </row>
    <row r="1253" spans="16:16" x14ac:dyDescent="0.2">
      <c r="P1253" s="139"/>
    </row>
    <row r="1254" spans="16:16" x14ac:dyDescent="0.2">
      <c r="P1254" s="139"/>
    </row>
    <row r="1255" spans="16:16" x14ac:dyDescent="0.2">
      <c r="P1255" s="139"/>
    </row>
    <row r="1256" spans="16:16" x14ac:dyDescent="0.2">
      <c r="P1256" s="139"/>
    </row>
    <row r="1257" spans="16:16" x14ac:dyDescent="0.2">
      <c r="P1257" s="139"/>
    </row>
    <row r="1258" spans="16:16" x14ac:dyDescent="0.2">
      <c r="P1258" s="139"/>
    </row>
    <row r="1259" spans="16:16" x14ac:dyDescent="0.2">
      <c r="P1259" s="139"/>
    </row>
    <row r="1260" spans="16:16" x14ac:dyDescent="0.2">
      <c r="P1260" s="139"/>
    </row>
    <row r="1261" spans="16:16" x14ac:dyDescent="0.2">
      <c r="P1261" s="139"/>
    </row>
    <row r="1262" spans="16:16" x14ac:dyDescent="0.2">
      <c r="P1262" s="139"/>
    </row>
    <row r="1263" spans="16:16" x14ac:dyDescent="0.2">
      <c r="P1263" s="139"/>
    </row>
    <row r="1264" spans="16:16" x14ac:dyDescent="0.2">
      <c r="P1264" s="139"/>
    </row>
    <row r="1265" spans="16:16" x14ac:dyDescent="0.2">
      <c r="P1265" s="139"/>
    </row>
    <row r="1266" spans="16:16" x14ac:dyDescent="0.2">
      <c r="P1266" s="139"/>
    </row>
    <row r="1267" spans="16:16" x14ac:dyDescent="0.2">
      <c r="P1267" s="139"/>
    </row>
    <row r="1268" spans="16:16" x14ac:dyDescent="0.2">
      <c r="P1268" s="139"/>
    </row>
    <row r="1269" spans="16:16" x14ac:dyDescent="0.2">
      <c r="P1269" s="139"/>
    </row>
    <row r="1270" spans="16:16" x14ac:dyDescent="0.2">
      <c r="P1270" s="139"/>
    </row>
    <row r="1271" spans="16:16" x14ac:dyDescent="0.2">
      <c r="P1271" s="139"/>
    </row>
    <row r="1272" spans="16:16" x14ac:dyDescent="0.2">
      <c r="P1272" s="139"/>
    </row>
    <row r="1273" spans="16:16" x14ac:dyDescent="0.2">
      <c r="P1273" s="139"/>
    </row>
    <row r="1274" spans="16:16" x14ac:dyDescent="0.2">
      <c r="P1274" s="139"/>
    </row>
    <row r="1275" spans="16:16" x14ac:dyDescent="0.2">
      <c r="P1275" s="139"/>
    </row>
    <row r="1276" spans="16:16" x14ac:dyDescent="0.2">
      <c r="P1276" s="139"/>
    </row>
    <row r="1277" spans="16:16" x14ac:dyDescent="0.2">
      <c r="P1277" s="139"/>
    </row>
    <row r="1278" spans="16:16" x14ac:dyDescent="0.2">
      <c r="P1278" s="139"/>
    </row>
    <row r="1279" spans="16:16" x14ac:dyDescent="0.2">
      <c r="P1279" s="139"/>
    </row>
    <row r="1280" spans="16:16" x14ac:dyDescent="0.2">
      <c r="P1280" s="139"/>
    </row>
    <row r="1281" spans="16:16" x14ac:dyDescent="0.2">
      <c r="P1281" s="139"/>
    </row>
    <row r="1282" spans="16:16" x14ac:dyDescent="0.2">
      <c r="P1282" s="139"/>
    </row>
    <row r="1283" spans="16:16" x14ac:dyDescent="0.2">
      <c r="P1283" s="139"/>
    </row>
    <row r="1284" spans="16:16" x14ac:dyDescent="0.2">
      <c r="P1284" s="139"/>
    </row>
    <row r="1285" spans="16:16" x14ac:dyDescent="0.2">
      <c r="P1285" s="139"/>
    </row>
    <row r="1286" spans="16:16" x14ac:dyDescent="0.2">
      <c r="P1286" s="139"/>
    </row>
    <row r="1287" spans="16:16" x14ac:dyDescent="0.2">
      <c r="P1287" s="139"/>
    </row>
    <row r="1288" spans="16:16" x14ac:dyDescent="0.2">
      <c r="P1288" s="139"/>
    </row>
    <row r="1289" spans="16:16" x14ac:dyDescent="0.2">
      <c r="P1289" s="139"/>
    </row>
    <row r="1290" spans="16:16" x14ac:dyDescent="0.2">
      <c r="P1290" s="139"/>
    </row>
    <row r="1291" spans="16:16" x14ac:dyDescent="0.2">
      <c r="P1291" s="139"/>
    </row>
    <row r="1292" spans="16:16" x14ac:dyDescent="0.2">
      <c r="P1292" s="139"/>
    </row>
    <row r="1293" spans="16:16" x14ac:dyDescent="0.2">
      <c r="P1293" s="139"/>
    </row>
    <row r="1294" spans="16:16" x14ac:dyDescent="0.2">
      <c r="P1294" s="139"/>
    </row>
    <row r="1295" spans="16:16" x14ac:dyDescent="0.2">
      <c r="P1295" s="139"/>
    </row>
    <row r="1296" spans="16:16" x14ac:dyDescent="0.2">
      <c r="P1296" s="139"/>
    </row>
    <row r="1297" spans="16:16" x14ac:dyDescent="0.2">
      <c r="P1297" s="139"/>
    </row>
    <row r="1298" spans="16:16" x14ac:dyDescent="0.2">
      <c r="P1298" s="139"/>
    </row>
    <row r="1299" spans="16:16" x14ac:dyDescent="0.2">
      <c r="P1299" s="139"/>
    </row>
    <row r="1300" spans="16:16" x14ac:dyDescent="0.2">
      <c r="P1300" s="139"/>
    </row>
    <row r="1301" spans="16:16" x14ac:dyDescent="0.2">
      <c r="P1301" s="139"/>
    </row>
    <row r="1302" spans="16:16" x14ac:dyDescent="0.2">
      <c r="P1302" s="139"/>
    </row>
    <row r="1303" spans="16:16" x14ac:dyDescent="0.2">
      <c r="P1303" s="139"/>
    </row>
    <row r="1304" spans="16:16" x14ac:dyDescent="0.2">
      <c r="P1304" s="139"/>
    </row>
    <row r="1305" spans="16:16" x14ac:dyDescent="0.2">
      <c r="P1305" s="139"/>
    </row>
    <row r="1306" spans="16:16" x14ac:dyDescent="0.2">
      <c r="P1306" s="139"/>
    </row>
    <row r="1307" spans="16:16" x14ac:dyDescent="0.2">
      <c r="P1307" s="139"/>
    </row>
    <row r="1308" spans="16:16" x14ac:dyDescent="0.2">
      <c r="P1308" s="139"/>
    </row>
    <row r="1309" spans="16:16" x14ac:dyDescent="0.2">
      <c r="P1309" s="139"/>
    </row>
    <row r="1310" spans="16:16" x14ac:dyDescent="0.2">
      <c r="P1310" s="139"/>
    </row>
    <row r="1311" spans="16:16" x14ac:dyDescent="0.2">
      <c r="P1311" s="139"/>
    </row>
    <row r="1312" spans="16:16" x14ac:dyDescent="0.2">
      <c r="P1312" s="139"/>
    </row>
    <row r="1313" spans="16:16" x14ac:dyDescent="0.2">
      <c r="P1313" s="139"/>
    </row>
    <row r="1314" spans="16:16" x14ac:dyDescent="0.2">
      <c r="P1314" s="139"/>
    </row>
    <row r="1315" spans="16:16" x14ac:dyDescent="0.2">
      <c r="P1315" s="139"/>
    </row>
    <row r="1316" spans="16:16" x14ac:dyDescent="0.2">
      <c r="P1316" s="139"/>
    </row>
    <row r="1317" spans="16:16" x14ac:dyDescent="0.2">
      <c r="P1317" s="139"/>
    </row>
    <row r="1318" spans="16:16" x14ac:dyDescent="0.2">
      <c r="P1318" s="139"/>
    </row>
    <row r="1319" spans="16:16" x14ac:dyDescent="0.2">
      <c r="P1319" s="139"/>
    </row>
    <row r="1320" spans="16:16" x14ac:dyDescent="0.2">
      <c r="P1320" s="139"/>
    </row>
    <row r="1321" spans="16:16" x14ac:dyDescent="0.2">
      <c r="P1321" s="139"/>
    </row>
    <row r="1322" spans="16:16" x14ac:dyDescent="0.2">
      <c r="P1322" s="139"/>
    </row>
    <row r="1323" spans="16:16" x14ac:dyDescent="0.2">
      <c r="P1323" s="139"/>
    </row>
    <row r="1324" spans="16:16" x14ac:dyDescent="0.2">
      <c r="P1324" s="139"/>
    </row>
    <row r="1325" spans="16:16" x14ac:dyDescent="0.2">
      <c r="P1325" s="139"/>
    </row>
    <row r="1326" spans="16:16" x14ac:dyDescent="0.2">
      <c r="P1326" s="139"/>
    </row>
    <row r="1327" spans="16:16" x14ac:dyDescent="0.2">
      <c r="P1327" s="139"/>
    </row>
    <row r="1328" spans="16:16" x14ac:dyDescent="0.2">
      <c r="P1328" s="139"/>
    </row>
    <row r="1329" spans="16:16" x14ac:dyDescent="0.2">
      <c r="P1329" s="139"/>
    </row>
    <row r="1330" spans="16:16" x14ac:dyDescent="0.2">
      <c r="P1330" s="139"/>
    </row>
    <row r="1331" spans="16:16" x14ac:dyDescent="0.2">
      <c r="P1331" s="139"/>
    </row>
    <row r="1332" spans="16:16" x14ac:dyDescent="0.2">
      <c r="P1332" s="139"/>
    </row>
    <row r="1333" spans="16:16" x14ac:dyDescent="0.2">
      <c r="P1333" s="139"/>
    </row>
    <row r="1334" spans="16:16" x14ac:dyDescent="0.2">
      <c r="P1334" s="139"/>
    </row>
    <row r="1335" spans="16:16" x14ac:dyDescent="0.2">
      <c r="P1335" s="139"/>
    </row>
    <row r="1336" spans="16:16" x14ac:dyDescent="0.2">
      <c r="P1336" s="139"/>
    </row>
    <row r="1337" spans="16:16" x14ac:dyDescent="0.2">
      <c r="P1337" s="139"/>
    </row>
    <row r="1338" spans="16:16" x14ac:dyDescent="0.2">
      <c r="P1338" s="139"/>
    </row>
    <row r="1339" spans="16:16" x14ac:dyDescent="0.2">
      <c r="P1339" s="139"/>
    </row>
    <row r="1340" spans="16:16" x14ac:dyDescent="0.2">
      <c r="P1340" s="139"/>
    </row>
    <row r="1341" spans="16:16" x14ac:dyDescent="0.2">
      <c r="P1341" s="139"/>
    </row>
    <row r="1342" spans="16:16" x14ac:dyDescent="0.2">
      <c r="P1342" s="139"/>
    </row>
    <row r="1343" spans="16:16" x14ac:dyDescent="0.2">
      <c r="P1343" s="139"/>
    </row>
    <row r="1344" spans="16:16" x14ac:dyDescent="0.2">
      <c r="P1344" s="139"/>
    </row>
    <row r="1345" spans="16:16" x14ac:dyDescent="0.2">
      <c r="P1345" s="139"/>
    </row>
    <row r="1346" spans="16:16" x14ac:dyDescent="0.2">
      <c r="P1346" s="139"/>
    </row>
    <row r="1347" spans="16:16" x14ac:dyDescent="0.2">
      <c r="P1347" s="139"/>
    </row>
    <row r="1348" spans="16:16" x14ac:dyDescent="0.2">
      <c r="P1348" s="139"/>
    </row>
    <row r="1349" spans="16:16" x14ac:dyDescent="0.2">
      <c r="P1349" s="139"/>
    </row>
    <row r="1350" spans="16:16" x14ac:dyDescent="0.2">
      <c r="P1350" s="139"/>
    </row>
    <row r="1351" spans="16:16" x14ac:dyDescent="0.2">
      <c r="P1351" s="139"/>
    </row>
    <row r="1352" spans="16:16" x14ac:dyDescent="0.2">
      <c r="P1352" s="139"/>
    </row>
    <row r="1353" spans="16:16" x14ac:dyDescent="0.2">
      <c r="P1353" s="139"/>
    </row>
    <row r="1354" spans="16:16" x14ac:dyDescent="0.2">
      <c r="P1354" s="139"/>
    </row>
    <row r="1355" spans="16:16" x14ac:dyDescent="0.2">
      <c r="P1355" s="139"/>
    </row>
    <row r="1356" spans="16:16" x14ac:dyDescent="0.2">
      <c r="P1356" s="139"/>
    </row>
    <row r="1357" spans="16:16" x14ac:dyDescent="0.2">
      <c r="P1357" s="139"/>
    </row>
    <row r="1358" spans="16:16" x14ac:dyDescent="0.2">
      <c r="P1358" s="139"/>
    </row>
    <row r="1359" spans="16:16" x14ac:dyDescent="0.2">
      <c r="P1359" s="139"/>
    </row>
    <row r="1360" spans="16:16" x14ac:dyDescent="0.2">
      <c r="P1360" s="139"/>
    </row>
    <row r="1361" spans="16:16" x14ac:dyDescent="0.2">
      <c r="P1361" s="139"/>
    </row>
    <row r="1362" spans="16:16" x14ac:dyDescent="0.2">
      <c r="P1362" s="139"/>
    </row>
    <row r="1363" spans="16:16" x14ac:dyDescent="0.2">
      <c r="P1363" s="139"/>
    </row>
    <row r="1364" spans="16:16" x14ac:dyDescent="0.2">
      <c r="P1364" s="139"/>
    </row>
    <row r="1365" spans="16:16" x14ac:dyDescent="0.2">
      <c r="P1365" s="139"/>
    </row>
    <row r="1366" spans="16:16" x14ac:dyDescent="0.2">
      <c r="P1366" s="139"/>
    </row>
    <row r="1367" spans="16:16" x14ac:dyDescent="0.2">
      <c r="P1367" s="139"/>
    </row>
    <row r="1368" spans="16:16" x14ac:dyDescent="0.2">
      <c r="P1368" s="139"/>
    </row>
    <row r="1369" spans="16:16" x14ac:dyDescent="0.2">
      <c r="P1369" s="139"/>
    </row>
    <row r="1370" spans="16:16" x14ac:dyDescent="0.2">
      <c r="P1370" s="139"/>
    </row>
    <row r="1371" spans="16:16" x14ac:dyDescent="0.2">
      <c r="P1371" s="139"/>
    </row>
    <row r="1372" spans="16:16" x14ac:dyDescent="0.2">
      <c r="P1372" s="139"/>
    </row>
    <row r="1373" spans="16:16" x14ac:dyDescent="0.2">
      <c r="P1373" s="139"/>
    </row>
    <row r="1374" spans="16:16" x14ac:dyDescent="0.2">
      <c r="P1374" s="139"/>
    </row>
    <row r="1375" spans="16:16" x14ac:dyDescent="0.2">
      <c r="P1375" s="139"/>
    </row>
    <row r="1376" spans="16:16" x14ac:dyDescent="0.2">
      <c r="P1376" s="139"/>
    </row>
    <row r="1377" spans="16:16" x14ac:dyDescent="0.2">
      <c r="P1377" s="139"/>
    </row>
    <row r="1378" spans="16:16" x14ac:dyDescent="0.2">
      <c r="P1378" s="139"/>
    </row>
    <row r="1379" spans="16:16" x14ac:dyDescent="0.2">
      <c r="P1379" s="139"/>
    </row>
    <row r="1380" spans="16:16" x14ac:dyDescent="0.2">
      <c r="P1380" s="139"/>
    </row>
    <row r="1381" spans="16:16" x14ac:dyDescent="0.2">
      <c r="P1381" s="139"/>
    </row>
    <row r="1382" spans="16:16" x14ac:dyDescent="0.2">
      <c r="P1382" s="139"/>
    </row>
    <row r="1383" spans="16:16" x14ac:dyDescent="0.2">
      <c r="P1383" s="139"/>
    </row>
    <row r="1384" spans="16:16" x14ac:dyDescent="0.2">
      <c r="P1384" s="139"/>
    </row>
    <row r="1385" spans="16:16" x14ac:dyDescent="0.2">
      <c r="P1385" s="139"/>
    </row>
    <row r="1386" spans="16:16" x14ac:dyDescent="0.2">
      <c r="P1386" s="139"/>
    </row>
    <row r="1387" spans="16:16" x14ac:dyDescent="0.2">
      <c r="P1387" s="139"/>
    </row>
    <row r="1388" spans="16:16" x14ac:dyDescent="0.2">
      <c r="P1388" s="139"/>
    </row>
    <row r="1389" spans="16:16" x14ac:dyDescent="0.2">
      <c r="P1389" s="139"/>
    </row>
    <row r="1390" spans="16:16" x14ac:dyDescent="0.2">
      <c r="P1390" s="139"/>
    </row>
    <row r="1391" spans="16:16" x14ac:dyDescent="0.2">
      <c r="P1391" s="139"/>
    </row>
    <row r="1392" spans="16:16" x14ac:dyDescent="0.2">
      <c r="P1392" s="139"/>
    </row>
    <row r="1393" spans="16:16" x14ac:dyDescent="0.2">
      <c r="P1393" s="139"/>
    </row>
    <row r="1394" spans="16:16" x14ac:dyDescent="0.2">
      <c r="P1394" s="139"/>
    </row>
    <row r="1395" spans="16:16" x14ac:dyDescent="0.2">
      <c r="P1395" s="139"/>
    </row>
    <row r="1396" spans="16:16" x14ac:dyDescent="0.2">
      <c r="P1396" s="139"/>
    </row>
    <row r="1397" spans="16:16" x14ac:dyDescent="0.2">
      <c r="P1397" s="139"/>
    </row>
    <row r="1398" spans="16:16" x14ac:dyDescent="0.2">
      <c r="P1398" s="139"/>
    </row>
    <row r="1399" spans="16:16" x14ac:dyDescent="0.2">
      <c r="P1399" s="139"/>
    </row>
    <row r="1400" spans="16:16" x14ac:dyDescent="0.2">
      <c r="P1400" s="139"/>
    </row>
    <row r="1401" spans="16:16" x14ac:dyDescent="0.2">
      <c r="P1401" s="139"/>
    </row>
    <row r="1402" spans="16:16" x14ac:dyDescent="0.2">
      <c r="P1402" s="139"/>
    </row>
    <row r="1403" spans="16:16" x14ac:dyDescent="0.2">
      <c r="P1403" s="139"/>
    </row>
    <row r="1404" spans="16:16" x14ac:dyDescent="0.2">
      <c r="P1404" s="139"/>
    </row>
    <row r="1405" spans="16:16" x14ac:dyDescent="0.2">
      <c r="P1405" s="139"/>
    </row>
    <row r="1406" spans="16:16" x14ac:dyDescent="0.2">
      <c r="P1406" s="139"/>
    </row>
    <row r="1407" spans="16:16" x14ac:dyDescent="0.2">
      <c r="P1407" s="139"/>
    </row>
    <row r="1408" spans="16:16" x14ac:dyDescent="0.2">
      <c r="P1408" s="139"/>
    </row>
    <row r="1409" spans="16:16" x14ac:dyDescent="0.2">
      <c r="P1409" s="139"/>
    </row>
    <row r="1410" spans="16:16" x14ac:dyDescent="0.2">
      <c r="P1410" s="139"/>
    </row>
    <row r="1411" spans="16:16" x14ac:dyDescent="0.2">
      <c r="P1411" s="139"/>
    </row>
    <row r="1412" spans="16:16" x14ac:dyDescent="0.2">
      <c r="P1412" s="139"/>
    </row>
    <row r="1413" spans="16:16" x14ac:dyDescent="0.2">
      <c r="P1413" s="139"/>
    </row>
    <row r="1414" spans="16:16" x14ac:dyDescent="0.2">
      <c r="P1414" s="139"/>
    </row>
    <row r="1415" spans="16:16" x14ac:dyDescent="0.2">
      <c r="P1415" s="139"/>
    </row>
    <row r="1416" spans="16:16" x14ac:dyDescent="0.2">
      <c r="P1416" s="139"/>
    </row>
    <row r="1417" spans="16:16" x14ac:dyDescent="0.2">
      <c r="P1417" s="139"/>
    </row>
    <row r="1418" spans="16:16" x14ac:dyDescent="0.2">
      <c r="P1418" s="139"/>
    </row>
    <row r="1419" spans="16:16" x14ac:dyDescent="0.2">
      <c r="P1419" s="139"/>
    </row>
    <row r="1420" spans="16:16" x14ac:dyDescent="0.2">
      <c r="P1420" s="139"/>
    </row>
    <row r="1421" spans="16:16" x14ac:dyDescent="0.2">
      <c r="P1421" s="139"/>
    </row>
    <row r="1422" spans="16:16" x14ac:dyDescent="0.2">
      <c r="P1422" s="139"/>
    </row>
    <row r="1423" spans="16:16" x14ac:dyDescent="0.2">
      <c r="P1423" s="139"/>
    </row>
    <row r="1424" spans="16:16" x14ac:dyDescent="0.2">
      <c r="P1424" s="139"/>
    </row>
    <row r="1425" spans="16:16" x14ac:dyDescent="0.2">
      <c r="P1425" s="139"/>
    </row>
    <row r="1426" spans="16:16" x14ac:dyDescent="0.2">
      <c r="P1426" s="139"/>
    </row>
    <row r="1427" spans="16:16" x14ac:dyDescent="0.2">
      <c r="P1427" s="139"/>
    </row>
    <row r="1428" spans="16:16" x14ac:dyDescent="0.2">
      <c r="P1428" s="139"/>
    </row>
    <row r="1429" spans="16:16" x14ac:dyDescent="0.2">
      <c r="P1429" s="139"/>
    </row>
    <row r="1430" spans="16:16" x14ac:dyDescent="0.2">
      <c r="P1430" s="139"/>
    </row>
    <row r="1431" spans="16:16" x14ac:dyDescent="0.2">
      <c r="P1431" s="139"/>
    </row>
    <row r="1432" spans="16:16" x14ac:dyDescent="0.2">
      <c r="P1432" s="139"/>
    </row>
    <row r="1433" spans="16:16" x14ac:dyDescent="0.2">
      <c r="P1433" s="139"/>
    </row>
    <row r="1434" spans="16:16" x14ac:dyDescent="0.2">
      <c r="P1434" s="139"/>
    </row>
    <row r="1435" spans="16:16" x14ac:dyDescent="0.2">
      <c r="P1435" s="139"/>
    </row>
    <row r="1436" spans="16:16" x14ac:dyDescent="0.2">
      <c r="P1436" s="139"/>
    </row>
    <row r="1437" spans="16:16" x14ac:dyDescent="0.2">
      <c r="P1437" s="139"/>
    </row>
    <row r="1438" spans="16:16" x14ac:dyDescent="0.2">
      <c r="P1438" s="139"/>
    </row>
    <row r="1439" spans="16:16" x14ac:dyDescent="0.2">
      <c r="P1439" s="139"/>
    </row>
    <row r="1440" spans="16:16" x14ac:dyDescent="0.2">
      <c r="P1440" s="139"/>
    </row>
    <row r="1441" spans="16:16" x14ac:dyDescent="0.2">
      <c r="P1441" s="139"/>
    </row>
    <row r="1442" spans="16:16" x14ac:dyDescent="0.2">
      <c r="P1442" s="139"/>
    </row>
    <row r="1443" spans="16:16" x14ac:dyDescent="0.2">
      <c r="P1443" s="139"/>
    </row>
    <row r="1444" spans="16:16" x14ac:dyDescent="0.2">
      <c r="P1444" s="139"/>
    </row>
    <row r="1445" spans="16:16" x14ac:dyDescent="0.2">
      <c r="P1445" s="139"/>
    </row>
    <row r="1446" spans="16:16" x14ac:dyDescent="0.2">
      <c r="P1446" s="139"/>
    </row>
    <row r="1447" spans="16:16" x14ac:dyDescent="0.2">
      <c r="P1447" s="139"/>
    </row>
    <row r="1448" spans="16:16" x14ac:dyDescent="0.2">
      <c r="P1448" s="139"/>
    </row>
    <row r="1449" spans="16:16" x14ac:dyDescent="0.2">
      <c r="P1449" s="139"/>
    </row>
    <row r="1450" spans="16:16" x14ac:dyDescent="0.2">
      <c r="P1450" s="139"/>
    </row>
    <row r="1451" spans="16:16" x14ac:dyDescent="0.2">
      <c r="P1451" s="139"/>
    </row>
    <row r="1452" spans="16:16" x14ac:dyDescent="0.2">
      <c r="P1452" s="139"/>
    </row>
    <row r="1453" spans="16:16" x14ac:dyDescent="0.2">
      <c r="P1453" s="139"/>
    </row>
    <row r="1454" spans="16:16" x14ac:dyDescent="0.2">
      <c r="P1454" s="139"/>
    </row>
    <row r="1455" spans="16:16" x14ac:dyDescent="0.2">
      <c r="P1455" s="139"/>
    </row>
    <row r="1456" spans="16:16" x14ac:dyDescent="0.2">
      <c r="P1456" s="139"/>
    </row>
    <row r="1457" spans="16:16" x14ac:dyDescent="0.2">
      <c r="P1457" s="139"/>
    </row>
    <row r="1458" spans="16:16" x14ac:dyDescent="0.2">
      <c r="P1458" s="139"/>
    </row>
    <row r="1459" spans="16:16" x14ac:dyDescent="0.2">
      <c r="P1459" s="139"/>
    </row>
    <row r="1460" spans="16:16" x14ac:dyDescent="0.2">
      <c r="P1460" s="139"/>
    </row>
    <row r="1461" spans="16:16" x14ac:dyDescent="0.2">
      <c r="P1461" s="139"/>
    </row>
    <row r="1462" spans="16:16" x14ac:dyDescent="0.2">
      <c r="P1462" s="139"/>
    </row>
    <row r="1463" spans="16:16" x14ac:dyDescent="0.2">
      <c r="P1463" s="139"/>
    </row>
    <row r="1464" spans="16:16" x14ac:dyDescent="0.2">
      <c r="P1464" s="139"/>
    </row>
    <row r="1465" spans="16:16" x14ac:dyDescent="0.2">
      <c r="P1465" s="139"/>
    </row>
    <row r="1466" spans="16:16" x14ac:dyDescent="0.2">
      <c r="P1466" s="139"/>
    </row>
    <row r="1467" spans="16:16" x14ac:dyDescent="0.2">
      <c r="P1467" s="139"/>
    </row>
    <row r="1468" spans="16:16" x14ac:dyDescent="0.2">
      <c r="P1468" s="139"/>
    </row>
    <row r="1469" spans="16:16" x14ac:dyDescent="0.2">
      <c r="P1469" s="139"/>
    </row>
    <row r="1470" spans="16:16" x14ac:dyDescent="0.2">
      <c r="P1470" s="139"/>
    </row>
    <row r="1471" spans="16:16" x14ac:dyDescent="0.2">
      <c r="P1471" s="139"/>
    </row>
    <row r="1472" spans="16:16" x14ac:dyDescent="0.2">
      <c r="P1472" s="139"/>
    </row>
    <row r="1473" spans="16:16" x14ac:dyDescent="0.2">
      <c r="P1473" s="139"/>
    </row>
    <row r="1474" spans="16:16" x14ac:dyDescent="0.2">
      <c r="P1474" s="139"/>
    </row>
    <row r="1475" spans="16:16" x14ac:dyDescent="0.2">
      <c r="P1475" s="139"/>
    </row>
    <row r="1476" spans="16:16" x14ac:dyDescent="0.2">
      <c r="P1476" s="139"/>
    </row>
    <row r="1477" spans="16:16" x14ac:dyDescent="0.2">
      <c r="P1477" s="139"/>
    </row>
    <row r="1478" spans="16:16" x14ac:dyDescent="0.2">
      <c r="P1478" s="139"/>
    </row>
    <row r="1479" spans="16:16" x14ac:dyDescent="0.2">
      <c r="P1479" s="139"/>
    </row>
    <row r="1480" spans="16:16" x14ac:dyDescent="0.2">
      <c r="P1480" s="139"/>
    </row>
    <row r="1481" spans="16:16" x14ac:dyDescent="0.2">
      <c r="P1481" s="139"/>
    </row>
    <row r="1482" spans="16:16" x14ac:dyDescent="0.2">
      <c r="P1482" s="139"/>
    </row>
    <row r="1483" spans="16:16" x14ac:dyDescent="0.2">
      <c r="P1483" s="139"/>
    </row>
    <row r="1484" spans="16:16" x14ac:dyDescent="0.2">
      <c r="P1484" s="139"/>
    </row>
    <row r="1485" spans="16:16" x14ac:dyDescent="0.2">
      <c r="P1485" s="139"/>
    </row>
    <row r="1486" spans="16:16" x14ac:dyDescent="0.2">
      <c r="P1486" s="139"/>
    </row>
    <row r="1487" spans="16:16" x14ac:dyDescent="0.2">
      <c r="P1487" s="139"/>
    </row>
    <row r="1488" spans="16:16" x14ac:dyDescent="0.2">
      <c r="P1488" s="139"/>
    </row>
    <row r="1489" spans="16:16" x14ac:dyDescent="0.2">
      <c r="P1489" s="139"/>
    </row>
    <row r="1490" spans="16:16" x14ac:dyDescent="0.2">
      <c r="P1490" s="139"/>
    </row>
    <row r="1491" spans="16:16" x14ac:dyDescent="0.2">
      <c r="P1491" s="139"/>
    </row>
    <row r="1492" spans="16:16" x14ac:dyDescent="0.2">
      <c r="P1492" s="139"/>
    </row>
    <row r="1493" spans="16:16" x14ac:dyDescent="0.2">
      <c r="P1493" s="139"/>
    </row>
    <row r="1494" spans="16:16" x14ac:dyDescent="0.2">
      <c r="P1494" s="139"/>
    </row>
    <row r="1495" spans="16:16" x14ac:dyDescent="0.2">
      <c r="P1495" s="139"/>
    </row>
    <row r="1496" spans="16:16" x14ac:dyDescent="0.2">
      <c r="P1496" s="139"/>
    </row>
    <row r="1497" spans="16:16" x14ac:dyDescent="0.2">
      <c r="P1497" s="139"/>
    </row>
    <row r="1498" spans="16:16" x14ac:dyDescent="0.2">
      <c r="P1498" s="139"/>
    </row>
    <row r="1499" spans="16:16" x14ac:dyDescent="0.2">
      <c r="P1499" s="139"/>
    </row>
    <row r="1500" spans="16:16" x14ac:dyDescent="0.2">
      <c r="P1500" s="139"/>
    </row>
    <row r="1501" spans="16:16" x14ac:dyDescent="0.2">
      <c r="P1501" s="139"/>
    </row>
    <row r="1502" spans="16:16" x14ac:dyDescent="0.2">
      <c r="P1502" s="139"/>
    </row>
    <row r="1503" spans="16:16" x14ac:dyDescent="0.2">
      <c r="P1503" s="139"/>
    </row>
    <row r="1504" spans="16:16" x14ac:dyDescent="0.2">
      <c r="P1504" s="139"/>
    </row>
    <row r="1505" spans="16:16" x14ac:dyDescent="0.2">
      <c r="P1505" s="139"/>
    </row>
    <row r="1506" spans="16:16" x14ac:dyDescent="0.2">
      <c r="P1506" s="139"/>
    </row>
    <row r="1507" spans="16:16" x14ac:dyDescent="0.2">
      <c r="P1507" s="139"/>
    </row>
    <row r="1508" spans="16:16" x14ac:dyDescent="0.2">
      <c r="P1508" s="139"/>
    </row>
    <row r="1509" spans="16:16" x14ac:dyDescent="0.2">
      <c r="P1509" s="139"/>
    </row>
    <row r="1510" spans="16:16" x14ac:dyDescent="0.2">
      <c r="P1510" s="139"/>
    </row>
    <row r="1511" spans="16:16" x14ac:dyDescent="0.2">
      <c r="P1511" s="139"/>
    </row>
    <row r="1512" spans="16:16" x14ac:dyDescent="0.2">
      <c r="P1512" s="139"/>
    </row>
    <row r="1513" spans="16:16" x14ac:dyDescent="0.2">
      <c r="P1513" s="139"/>
    </row>
    <row r="1514" spans="16:16" x14ac:dyDescent="0.2">
      <c r="P1514" s="139"/>
    </row>
    <row r="1515" spans="16:16" x14ac:dyDescent="0.2">
      <c r="P1515" s="139"/>
    </row>
    <row r="1516" spans="16:16" x14ac:dyDescent="0.2">
      <c r="P1516" s="139"/>
    </row>
    <row r="1517" spans="16:16" x14ac:dyDescent="0.2">
      <c r="P1517" s="139"/>
    </row>
    <row r="1518" spans="16:16" x14ac:dyDescent="0.2">
      <c r="P1518" s="139"/>
    </row>
    <row r="1519" spans="16:16" x14ac:dyDescent="0.2">
      <c r="P1519" s="139"/>
    </row>
    <row r="1520" spans="16:16" x14ac:dyDescent="0.2">
      <c r="P1520" s="139"/>
    </row>
    <row r="1521" spans="16:16" x14ac:dyDescent="0.2">
      <c r="P1521" s="139"/>
    </row>
    <row r="1522" spans="16:16" x14ac:dyDescent="0.2">
      <c r="P1522" s="139"/>
    </row>
    <row r="1523" spans="16:16" x14ac:dyDescent="0.2">
      <c r="P1523" s="139"/>
    </row>
    <row r="1524" spans="16:16" x14ac:dyDescent="0.2">
      <c r="P1524" s="139"/>
    </row>
    <row r="1525" spans="16:16" x14ac:dyDescent="0.2">
      <c r="P1525" s="139"/>
    </row>
    <row r="1526" spans="16:16" x14ac:dyDescent="0.2">
      <c r="P1526" s="139"/>
    </row>
    <row r="1527" spans="16:16" x14ac:dyDescent="0.2">
      <c r="P1527" s="139"/>
    </row>
    <row r="1528" spans="16:16" x14ac:dyDescent="0.2">
      <c r="P1528" s="139"/>
    </row>
    <row r="1529" spans="16:16" x14ac:dyDescent="0.2">
      <c r="P1529" s="139"/>
    </row>
    <row r="1530" spans="16:16" x14ac:dyDescent="0.2">
      <c r="P1530" s="139"/>
    </row>
    <row r="1531" spans="16:16" x14ac:dyDescent="0.2">
      <c r="P1531" s="139"/>
    </row>
    <row r="1532" spans="16:16" x14ac:dyDescent="0.2">
      <c r="P1532" s="139"/>
    </row>
    <row r="1533" spans="16:16" x14ac:dyDescent="0.2">
      <c r="P1533" s="139"/>
    </row>
    <row r="1534" spans="16:16" x14ac:dyDescent="0.2">
      <c r="P1534" s="139"/>
    </row>
    <row r="1535" spans="16:16" x14ac:dyDescent="0.2">
      <c r="P1535" s="139"/>
    </row>
    <row r="1536" spans="16:16" x14ac:dyDescent="0.2">
      <c r="P1536" s="139"/>
    </row>
    <row r="1537" spans="16:16" x14ac:dyDescent="0.2">
      <c r="P1537" s="139"/>
    </row>
    <row r="1538" spans="16:16" x14ac:dyDescent="0.2">
      <c r="P1538" s="139"/>
    </row>
    <row r="1539" spans="16:16" x14ac:dyDescent="0.2">
      <c r="P1539" s="139"/>
    </row>
    <row r="1540" spans="16:16" x14ac:dyDescent="0.2">
      <c r="P1540" s="139"/>
    </row>
    <row r="1541" spans="16:16" x14ac:dyDescent="0.2">
      <c r="P1541" s="139"/>
    </row>
    <row r="1542" spans="16:16" x14ac:dyDescent="0.2">
      <c r="P1542" s="139"/>
    </row>
    <row r="1543" spans="16:16" x14ac:dyDescent="0.2">
      <c r="P1543" s="139"/>
    </row>
    <row r="1544" spans="16:16" x14ac:dyDescent="0.2">
      <c r="P1544" s="139"/>
    </row>
    <row r="1545" spans="16:16" x14ac:dyDescent="0.2">
      <c r="P1545" s="139"/>
    </row>
    <row r="1546" spans="16:16" x14ac:dyDescent="0.2">
      <c r="P1546" s="139"/>
    </row>
    <row r="1547" spans="16:16" x14ac:dyDescent="0.2">
      <c r="P1547" s="139"/>
    </row>
    <row r="1548" spans="16:16" x14ac:dyDescent="0.2">
      <c r="P1548" s="139"/>
    </row>
    <row r="1549" spans="16:16" x14ac:dyDescent="0.2">
      <c r="P1549" s="139"/>
    </row>
    <row r="1550" spans="16:16" x14ac:dyDescent="0.2">
      <c r="P1550" s="139"/>
    </row>
    <row r="1551" spans="16:16" x14ac:dyDescent="0.2">
      <c r="P1551" s="139"/>
    </row>
    <row r="1552" spans="16:16" x14ac:dyDescent="0.2">
      <c r="P1552" s="139"/>
    </row>
    <row r="1553" spans="16:16" x14ac:dyDescent="0.2">
      <c r="P1553" s="139"/>
    </row>
    <row r="1554" spans="16:16" x14ac:dyDescent="0.2">
      <c r="P1554" s="139"/>
    </row>
    <row r="1555" spans="16:16" x14ac:dyDescent="0.2">
      <c r="P1555" s="139"/>
    </row>
    <row r="1556" spans="16:16" x14ac:dyDescent="0.2">
      <c r="P1556" s="139"/>
    </row>
    <row r="1557" spans="16:16" x14ac:dyDescent="0.2">
      <c r="P1557" s="139"/>
    </row>
    <row r="1558" spans="16:16" x14ac:dyDescent="0.2">
      <c r="P1558" s="139"/>
    </row>
    <row r="1559" spans="16:16" x14ac:dyDescent="0.2">
      <c r="P1559" s="139"/>
    </row>
    <row r="1560" spans="16:16" x14ac:dyDescent="0.2">
      <c r="P1560" s="139"/>
    </row>
    <row r="1561" spans="16:16" x14ac:dyDescent="0.2">
      <c r="P1561" s="139"/>
    </row>
    <row r="1562" spans="16:16" x14ac:dyDescent="0.2">
      <c r="P1562" s="139"/>
    </row>
    <row r="1563" spans="16:16" x14ac:dyDescent="0.2">
      <c r="P1563" s="139"/>
    </row>
    <row r="1564" spans="16:16" x14ac:dyDescent="0.2">
      <c r="P1564" s="139"/>
    </row>
    <row r="1565" spans="16:16" x14ac:dyDescent="0.2">
      <c r="P1565" s="139"/>
    </row>
    <row r="1566" spans="16:16" x14ac:dyDescent="0.2">
      <c r="P1566" s="139"/>
    </row>
    <row r="1567" spans="16:16" x14ac:dyDescent="0.2">
      <c r="P1567" s="139"/>
    </row>
    <row r="1568" spans="16:16" x14ac:dyDescent="0.2">
      <c r="P1568" s="139"/>
    </row>
    <row r="1569" spans="16:16" x14ac:dyDescent="0.2">
      <c r="P1569" s="139"/>
    </row>
    <row r="1570" spans="16:16" x14ac:dyDescent="0.2">
      <c r="P1570" s="139"/>
    </row>
    <row r="1571" spans="16:16" x14ac:dyDescent="0.2">
      <c r="P1571" s="139"/>
    </row>
    <row r="1572" spans="16:16" x14ac:dyDescent="0.2">
      <c r="P1572" s="139"/>
    </row>
    <row r="1573" spans="16:16" x14ac:dyDescent="0.2">
      <c r="P1573" s="139"/>
    </row>
    <row r="1574" spans="16:16" x14ac:dyDescent="0.2">
      <c r="P1574" s="139"/>
    </row>
    <row r="1575" spans="16:16" x14ac:dyDescent="0.2">
      <c r="P1575" s="139"/>
    </row>
    <row r="1576" spans="16:16" x14ac:dyDescent="0.2">
      <c r="P1576" s="139"/>
    </row>
    <row r="1577" spans="16:16" x14ac:dyDescent="0.2">
      <c r="P1577" s="139"/>
    </row>
    <row r="1578" spans="16:16" x14ac:dyDescent="0.2">
      <c r="P1578" s="139"/>
    </row>
    <row r="1579" spans="16:16" x14ac:dyDescent="0.2">
      <c r="P1579" s="139"/>
    </row>
    <row r="1580" spans="16:16" x14ac:dyDescent="0.2">
      <c r="P1580" s="139"/>
    </row>
    <row r="1581" spans="16:16" x14ac:dyDescent="0.2">
      <c r="P1581" s="139"/>
    </row>
    <row r="1582" spans="16:16" x14ac:dyDescent="0.2">
      <c r="P1582" s="139"/>
    </row>
    <row r="1583" spans="16:16" x14ac:dyDescent="0.2">
      <c r="P1583" s="139"/>
    </row>
    <row r="1584" spans="16:16" x14ac:dyDescent="0.2">
      <c r="P1584" s="139"/>
    </row>
    <row r="1585" spans="16:16" x14ac:dyDescent="0.2">
      <c r="P1585" s="139"/>
    </row>
    <row r="1586" spans="16:16" x14ac:dyDescent="0.2">
      <c r="P1586" s="139"/>
    </row>
    <row r="1587" spans="16:16" x14ac:dyDescent="0.2">
      <c r="P1587" s="139"/>
    </row>
    <row r="1588" spans="16:16" x14ac:dyDescent="0.2">
      <c r="P1588" s="139"/>
    </row>
    <row r="1589" spans="16:16" x14ac:dyDescent="0.2">
      <c r="P1589" s="139"/>
    </row>
    <row r="1590" spans="16:16" x14ac:dyDescent="0.2">
      <c r="P1590" s="139"/>
    </row>
    <row r="1591" spans="16:16" x14ac:dyDescent="0.2">
      <c r="P1591" s="139"/>
    </row>
    <row r="1592" spans="16:16" x14ac:dyDescent="0.2">
      <c r="P1592" s="139"/>
    </row>
    <row r="1593" spans="16:16" x14ac:dyDescent="0.2">
      <c r="P1593" s="139"/>
    </row>
    <row r="1594" spans="16:16" x14ac:dyDescent="0.2">
      <c r="P1594" s="139"/>
    </row>
    <row r="1595" spans="16:16" x14ac:dyDescent="0.2">
      <c r="P1595" s="139"/>
    </row>
    <row r="1596" spans="16:16" x14ac:dyDescent="0.2">
      <c r="P1596" s="139"/>
    </row>
    <row r="1597" spans="16:16" x14ac:dyDescent="0.2">
      <c r="P1597" s="139"/>
    </row>
    <row r="1598" spans="16:16" x14ac:dyDescent="0.2">
      <c r="P1598" s="139"/>
    </row>
    <row r="1599" spans="16:16" x14ac:dyDescent="0.2">
      <c r="P1599" s="139"/>
    </row>
    <row r="1600" spans="16:16" x14ac:dyDescent="0.2">
      <c r="P1600" s="139"/>
    </row>
    <row r="1601" spans="16:16" x14ac:dyDescent="0.2">
      <c r="P1601" s="139"/>
    </row>
    <row r="1602" spans="16:16" x14ac:dyDescent="0.2">
      <c r="P1602" s="139"/>
    </row>
    <row r="1603" spans="16:16" x14ac:dyDescent="0.2">
      <c r="P1603" s="139"/>
    </row>
    <row r="1604" spans="16:16" x14ac:dyDescent="0.2">
      <c r="P1604" s="139"/>
    </row>
    <row r="1605" spans="16:16" x14ac:dyDescent="0.2">
      <c r="P1605" s="139"/>
    </row>
    <row r="1606" spans="16:16" x14ac:dyDescent="0.2">
      <c r="P1606" s="139"/>
    </row>
    <row r="1607" spans="16:16" x14ac:dyDescent="0.2">
      <c r="P1607" s="139"/>
    </row>
    <row r="1608" spans="16:16" x14ac:dyDescent="0.2">
      <c r="P1608" s="139"/>
    </row>
    <row r="1609" spans="16:16" x14ac:dyDescent="0.2">
      <c r="P1609" s="139"/>
    </row>
    <row r="1610" spans="16:16" x14ac:dyDescent="0.2">
      <c r="P1610" s="139"/>
    </row>
    <row r="1611" spans="16:16" x14ac:dyDescent="0.2">
      <c r="P1611" s="139"/>
    </row>
    <row r="1612" spans="16:16" x14ac:dyDescent="0.2">
      <c r="P1612" s="139"/>
    </row>
    <row r="1613" spans="16:16" x14ac:dyDescent="0.2">
      <c r="P1613" s="139"/>
    </row>
    <row r="1614" spans="16:16" x14ac:dyDescent="0.2">
      <c r="P1614" s="139"/>
    </row>
    <row r="1615" spans="16:16" x14ac:dyDescent="0.2">
      <c r="P1615" s="139"/>
    </row>
    <row r="1616" spans="16:16" x14ac:dyDescent="0.2">
      <c r="P1616" s="139"/>
    </row>
    <row r="1617" spans="16:16" x14ac:dyDescent="0.2">
      <c r="P1617" s="139"/>
    </row>
    <row r="1618" spans="16:16" x14ac:dyDescent="0.2">
      <c r="P1618" s="139"/>
    </row>
    <row r="1619" spans="16:16" x14ac:dyDescent="0.2">
      <c r="P1619" s="139"/>
    </row>
    <row r="1620" spans="16:16" x14ac:dyDescent="0.2">
      <c r="P1620" s="139"/>
    </row>
    <row r="1621" spans="16:16" x14ac:dyDescent="0.2">
      <c r="P1621" s="139"/>
    </row>
    <row r="1622" spans="16:16" x14ac:dyDescent="0.2">
      <c r="P1622" s="139"/>
    </row>
    <row r="1623" spans="16:16" x14ac:dyDescent="0.2">
      <c r="P1623" s="139"/>
    </row>
    <row r="1624" spans="16:16" x14ac:dyDescent="0.2">
      <c r="P1624" s="139"/>
    </row>
    <row r="1625" spans="16:16" x14ac:dyDescent="0.2">
      <c r="P1625" s="139"/>
    </row>
    <row r="1626" spans="16:16" x14ac:dyDescent="0.2">
      <c r="P1626" s="139"/>
    </row>
    <row r="1627" spans="16:16" x14ac:dyDescent="0.2">
      <c r="P1627" s="139"/>
    </row>
    <row r="1628" spans="16:16" x14ac:dyDescent="0.2">
      <c r="P1628" s="139"/>
    </row>
    <row r="1629" spans="16:16" x14ac:dyDescent="0.2">
      <c r="P1629" s="139"/>
    </row>
    <row r="1630" spans="16:16" x14ac:dyDescent="0.2">
      <c r="P1630" s="139"/>
    </row>
    <row r="1631" spans="16:16" x14ac:dyDescent="0.2">
      <c r="P1631" s="139"/>
    </row>
    <row r="1632" spans="16:16" x14ac:dyDescent="0.2">
      <c r="P1632" s="139"/>
    </row>
    <row r="1633" spans="16:16" x14ac:dyDescent="0.2">
      <c r="P1633" s="139"/>
    </row>
    <row r="1634" spans="16:16" x14ac:dyDescent="0.2">
      <c r="P1634" s="139"/>
    </row>
    <row r="1635" spans="16:16" x14ac:dyDescent="0.2">
      <c r="P1635" s="139"/>
    </row>
    <row r="1636" spans="16:16" x14ac:dyDescent="0.2">
      <c r="P1636" s="139"/>
    </row>
    <row r="1637" spans="16:16" x14ac:dyDescent="0.2">
      <c r="P1637" s="139"/>
    </row>
    <row r="1638" spans="16:16" x14ac:dyDescent="0.2">
      <c r="P1638" s="139"/>
    </row>
    <row r="1639" spans="16:16" x14ac:dyDescent="0.2">
      <c r="P1639" s="139"/>
    </row>
    <row r="1640" spans="16:16" x14ac:dyDescent="0.2">
      <c r="P1640" s="139"/>
    </row>
    <row r="1641" spans="16:16" x14ac:dyDescent="0.2">
      <c r="P1641" s="139"/>
    </row>
    <row r="1642" spans="16:16" x14ac:dyDescent="0.2">
      <c r="P1642" s="139"/>
    </row>
    <row r="1643" spans="16:16" x14ac:dyDescent="0.2">
      <c r="P1643" s="139"/>
    </row>
    <row r="1644" spans="16:16" x14ac:dyDescent="0.2">
      <c r="P1644" s="139"/>
    </row>
    <row r="1645" spans="16:16" x14ac:dyDescent="0.2">
      <c r="P1645" s="139"/>
    </row>
    <row r="1646" spans="16:16" x14ac:dyDescent="0.2">
      <c r="P1646" s="139"/>
    </row>
    <row r="1647" spans="16:16" x14ac:dyDescent="0.2">
      <c r="P1647" s="139"/>
    </row>
    <row r="1648" spans="16:16" x14ac:dyDescent="0.2">
      <c r="P1648" s="139"/>
    </row>
    <row r="1649" spans="16:16" x14ac:dyDescent="0.2">
      <c r="P1649" s="139"/>
    </row>
    <row r="1650" spans="16:16" x14ac:dyDescent="0.2">
      <c r="P1650" s="139"/>
    </row>
    <row r="1651" spans="16:16" x14ac:dyDescent="0.2">
      <c r="P1651" s="139"/>
    </row>
    <row r="1652" spans="16:16" x14ac:dyDescent="0.2">
      <c r="P1652" s="139"/>
    </row>
    <row r="1653" spans="16:16" x14ac:dyDescent="0.2">
      <c r="P1653" s="139"/>
    </row>
    <row r="1654" spans="16:16" x14ac:dyDescent="0.2">
      <c r="P1654" s="139"/>
    </row>
    <row r="1655" spans="16:16" x14ac:dyDescent="0.2">
      <c r="P1655" s="139"/>
    </row>
    <row r="1656" spans="16:16" x14ac:dyDescent="0.2">
      <c r="P1656" s="139"/>
    </row>
    <row r="1657" spans="16:16" x14ac:dyDescent="0.2">
      <c r="P1657" s="139"/>
    </row>
    <row r="1658" spans="16:16" x14ac:dyDescent="0.2">
      <c r="P1658" s="139"/>
    </row>
    <row r="1659" spans="16:16" x14ac:dyDescent="0.2">
      <c r="P1659" s="139"/>
    </row>
    <row r="1660" spans="16:16" x14ac:dyDescent="0.2">
      <c r="P1660" s="139"/>
    </row>
    <row r="1661" spans="16:16" x14ac:dyDescent="0.2">
      <c r="P1661" s="139"/>
    </row>
    <row r="1662" spans="16:16" x14ac:dyDescent="0.2">
      <c r="P1662" s="139"/>
    </row>
    <row r="1663" spans="16:16" x14ac:dyDescent="0.2">
      <c r="P1663" s="139"/>
    </row>
    <row r="1664" spans="16:16" x14ac:dyDescent="0.2">
      <c r="P1664" s="139"/>
    </row>
    <row r="1665" spans="16:16" x14ac:dyDescent="0.2">
      <c r="P1665" s="139"/>
    </row>
    <row r="1666" spans="16:16" x14ac:dyDescent="0.2">
      <c r="P1666" s="139"/>
    </row>
    <row r="1667" spans="16:16" x14ac:dyDescent="0.2">
      <c r="P1667" s="139"/>
    </row>
    <row r="1668" spans="16:16" x14ac:dyDescent="0.2">
      <c r="P1668" s="139"/>
    </row>
    <row r="1669" spans="16:16" x14ac:dyDescent="0.2">
      <c r="P1669" s="139"/>
    </row>
    <row r="1670" spans="16:16" x14ac:dyDescent="0.2">
      <c r="P1670" s="139"/>
    </row>
    <row r="1671" spans="16:16" x14ac:dyDescent="0.2">
      <c r="P1671" s="139"/>
    </row>
    <row r="1672" spans="16:16" x14ac:dyDescent="0.2">
      <c r="P1672" s="139"/>
    </row>
    <row r="1673" spans="16:16" x14ac:dyDescent="0.2">
      <c r="P1673" s="139"/>
    </row>
    <row r="1674" spans="16:16" x14ac:dyDescent="0.2">
      <c r="P1674" s="139"/>
    </row>
    <row r="1675" spans="16:16" x14ac:dyDescent="0.2">
      <c r="P1675" s="139"/>
    </row>
    <row r="1676" spans="16:16" x14ac:dyDescent="0.2">
      <c r="P1676" s="139"/>
    </row>
    <row r="1677" spans="16:16" x14ac:dyDescent="0.2">
      <c r="P1677" s="139"/>
    </row>
    <row r="1678" spans="16:16" x14ac:dyDescent="0.2">
      <c r="P1678" s="139"/>
    </row>
    <row r="1679" spans="16:16" x14ac:dyDescent="0.2">
      <c r="P1679" s="139"/>
    </row>
    <row r="1680" spans="16:16" x14ac:dyDescent="0.2">
      <c r="P1680" s="139"/>
    </row>
    <row r="1681" spans="16:16" x14ac:dyDescent="0.2">
      <c r="P1681" s="139"/>
    </row>
    <row r="1682" spans="16:16" x14ac:dyDescent="0.2">
      <c r="P1682" s="139"/>
    </row>
    <row r="1683" spans="16:16" x14ac:dyDescent="0.2">
      <c r="P1683" s="139"/>
    </row>
    <row r="1684" spans="16:16" x14ac:dyDescent="0.2">
      <c r="P1684" s="139"/>
    </row>
    <row r="1685" spans="16:16" x14ac:dyDescent="0.2">
      <c r="P1685" s="139"/>
    </row>
    <row r="1686" spans="16:16" x14ac:dyDescent="0.2">
      <c r="P1686" s="139"/>
    </row>
    <row r="1687" spans="16:16" x14ac:dyDescent="0.2">
      <c r="P1687" s="139"/>
    </row>
    <row r="1688" spans="16:16" x14ac:dyDescent="0.2">
      <c r="P1688" s="139"/>
    </row>
    <row r="1689" spans="16:16" x14ac:dyDescent="0.2">
      <c r="P1689" s="139"/>
    </row>
    <row r="1690" spans="16:16" x14ac:dyDescent="0.2">
      <c r="P1690" s="139"/>
    </row>
    <row r="1691" spans="16:16" x14ac:dyDescent="0.2">
      <c r="P1691" s="139"/>
    </row>
    <row r="1692" spans="16:16" x14ac:dyDescent="0.2">
      <c r="P1692" s="139"/>
    </row>
    <row r="1693" spans="16:16" x14ac:dyDescent="0.2">
      <c r="P1693" s="139"/>
    </row>
    <row r="1694" spans="16:16" x14ac:dyDescent="0.2">
      <c r="P1694" s="139"/>
    </row>
    <row r="1695" spans="16:16" x14ac:dyDescent="0.2">
      <c r="P1695" s="139"/>
    </row>
    <row r="1696" spans="16:16" x14ac:dyDescent="0.2">
      <c r="P1696" s="139"/>
    </row>
    <row r="1697" spans="16:16" x14ac:dyDescent="0.2">
      <c r="P1697" s="139"/>
    </row>
    <row r="1698" spans="16:16" x14ac:dyDescent="0.2">
      <c r="P1698" s="139"/>
    </row>
    <row r="1699" spans="16:16" x14ac:dyDescent="0.2">
      <c r="P1699" s="139"/>
    </row>
    <row r="1700" spans="16:16" x14ac:dyDescent="0.2">
      <c r="P1700" s="139"/>
    </row>
    <row r="1701" spans="16:16" x14ac:dyDescent="0.2">
      <c r="P1701" s="139"/>
    </row>
    <row r="1702" spans="16:16" x14ac:dyDescent="0.2">
      <c r="P1702" s="139"/>
    </row>
    <row r="1703" spans="16:16" x14ac:dyDescent="0.2">
      <c r="P1703" s="139"/>
    </row>
    <row r="1704" spans="16:16" x14ac:dyDescent="0.2">
      <c r="P1704" s="139"/>
    </row>
    <row r="1705" spans="16:16" x14ac:dyDescent="0.2">
      <c r="P1705" s="139"/>
    </row>
    <row r="1706" spans="16:16" x14ac:dyDescent="0.2">
      <c r="P1706" s="139"/>
    </row>
    <row r="1707" spans="16:16" x14ac:dyDescent="0.2">
      <c r="P1707" s="139"/>
    </row>
    <row r="1708" spans="16:16" x14ac:dyDescent="0.2">
      <c r="P1708" s="139"/>
    </row>
    <row r="1709" spans="16:16" x14ac:dyDescent="0.2">
      <c r="P1709" s="139"/>
    </row>
    <row r="1710" spans="16:16" x14ac:dyDescent="0.2">
      <c r="P1710" s="139"/>
    </row>
    <row r="1711" spans="16:16" x14ac:dyDescent="0.2">
      <c r="P1711" s="139"/>
    </row>
    <row r="1712" spans="16:16" x14ac:dyDescent="0.2">
      <c r="P1712" s="139"/>
    </row>
    <row r="1713" spans="16:16" x14ac:dyDescent="0.2">
      <c r="P1713" s="139"/>
    </row>
    <row r="1714" spans="16:16" x14ac:dyDescent="0.2">
      <c r="P1714" s="139"/>
    </row>
    <row r="1715" spans="16:16" x14ac:dyDescent="0.2">
      <c r="P1715" s="139"/>
    </row>
    <row r="1716" spans="16:16" x14ac:dyDescent="0.2">
      <c r="P1716" s="139"/>
    </row>
    <row r="1717" spans="16:16" x14ac:dyDescent="0.2">
      <c r="P1717" s="139"/>
    </row>
    <row r="1718" spans="16:16" x14ac:dyDescent="0.2">
      <c r="P1718" s="139"/>
    </row>
    <row r="1719" spans="16:16" x14ac:dyDescent="0.2">
      <c r="P1719" s="139"/>
    </row>
    <row r="1720" spans="16:16" x14ac:dyDescent="0.2">
      <c r="P1720" s="139"/>
    </row>
    <row r="1721" spans="16:16" x14ac:dyDescent="0.2">
      <c r="P1721" s="139"/>
    </row>
    <row r="1722" spans="16:16" x14ac:dyDescent="0.2">
      <c r="P1722" s="139"/>
    </row>
    <row r="1723" spans="16:16" x14ac:dyDescent="0.2">
      <c r="P1723" s="139"/>
    </row>
    <row r="1724" spans="16:16" x14ac:dyDescent="0.2">
      <c r="P1724" s="139"/>
    </row>
    <row r="1725" spans="16:16" x14ac:dyDescent="0.2">
      <c r="P1725" s="139"/>
    </row>
    <row r="1726" spans="16:16" x14ac:dyDescent="0.2">
      <c r="P1726" s="139"/>
    </row>
    <row r="1727" spans="16:16" x14ac:dyDescent="0.2">
      <c r="P1727" s="139"/>
    </row>
    <row r="1728" spans="16:16" x14ac:dyDescent="0.2">
      <c r="P1728" s="139"/>
    </row>
    <row r="1729" spans="16:16" x14ac:dyDescent="0.2">
      <c r="P1729" s="139"/>
    </row>
    <row r="1730" spans="16:16" x14ac:dyDescent="0.2">
      <c r="P1730" s="139"/>
    </row>
    <row r="1731" spans="16:16" x14ac:dyDescent="0.2">
      <c r="P1731" s="139"/>
    </row>
    <row r="1732" spans="16:16" x14ac:dyDescent="0.2">
      <c r="P1732" s="139"/>
    </row>
    <row r="1733" spans="16:16" x14ac:dyDescent="0.2">
      <c r="P1733" s="139"/>
    </row>
    <row r="1734" spans="16:16" x14ac:dyDescent="0.2">
      <c r="P1734" s="139"/>
    </row>
    <row r="1735" spans="16:16" x14ac:dyDescent="0.2">
      <c r="P1735" s="139"/>
    </row>
    <row r="1736" spans="16:16" x14ac:dyDescent="0.2">
      <c r="P1736" s="139"/>
    </row>
    <row r="1737" spans="16:16" x14ac:dyDescent="0.2">
      <c r="P1737" s="139"/>
    </row>
    <row r="1738" spans="16:16" x14ac:dyDescent="0.2">
      <c r="P1738" s="139"/>
    </row>
    <row r="1739" spans="16:16" x14ac:dyDescent="0.2">
      <c r="P1739" s="139"/>
    </row>
    <row r="1740" spans="16:16" x14ac:dyDescent="0.2">
      <c r="P1740" s="139"/>
    </row>
    <row r="1741" spans="16:16" x14ac:dyDescent="0.2">
      <c r="P1741" s="139"/>
    </row>
    <row r="1742" spans="16:16" x14ac:dyDescent="0.2">
      <c r="P1742" s="139"/>
    </row>
    <row r="1743" spans="16:16" x14ac:dyDescent="0.2">
      <c r="P1743" s="139"/>
    </row>
    <row r="1744" spans="16:16" x14ac:dyDescent="0.2">
      <c r="P1744" s="139"/>
    </row>
    <row r="1745" spans="16:16" x14ac:dyDescent="0.2">
      <c r="P1745" s="139"/>
    </row>
    <row r="1746" spans="16:16" x14ac:dyDescent="0.2">
      <c r="P1746" s="139"/>
    </row>
    <row r="1747" spans="16:16" x14ac:dyDescent="0.2">
      <c r="P1747" s="139"/>
    </row>
    <row r="1748" spans="16:16" x14ac:dyDescent="0.2">
      <c r="P1748" s="139"/>
    </row>
    <row r="1749" spans="16:16" x14ac:dyDescent="0.2">
      <c r="P1749" s="139"/>
    </row>
    <row r="1750" spans="16:16" x14ac:dyDescent="0.2">
      <c r="P1750" s="139"/>
    </row>
    <row r="1751" spans="16:16" x14ac:dyDescent="0.2">
      <c r="P1751" s="139"/>
    </row>
    <row r="1752" spans="16:16" x14ac:dyDescent="0.2">
      <c r="P1752" s="139"/>
    </row>
    <row r="1753" spans="16:16" x14ac:dyDescent="0.2">
      <c r="P1753" s="139"/>
    </row>
    <row r="1754" spans="16:16" x14ac:dyDescent="0.2">
      <c r="P1754" s="139"/>
    </row>
    <row r="1755" spans="16:16" x14ac:dyDescent="0.2">
      <c r="P1755" s="139"/>
    </row>
    <row r="1756" spans="16:16" x14ac:dyDescent="0.2">
      <c r="P1756" s="139"/>
    </row>
    <row r="1757" spans="16:16" x14ac:dyDescent="0.2">
      <c r="P1757" s="139"/>
    </row>
    <row r="1758" spans="16:16" x14ac:dyDescent="0.2">
      <c r="P1758" s="139"/>
    </row>
    <row r="1759" spans="16:16" x14ac:dyDescent="0.2">
      <c r="P1759" s="139"/>
    </row>
    <row r="1760" spans="16:16" x14ac:dyDescent="0.2">
      <c r="P1760" s="139"/>
    </row>
    <row r="1761" spans="16:16" x14ac:dyDescent="0.2">
      <c r="P1761" s="139"/>
    </row>
    <row r="1762" spans="16:16" x14ac:dyDescent="0.2">
      <c r="P1762" s="139"/>
    </row>
    <row r="1763" spans="16:16" x14ac:dyDescent="0.2">
      <c r="P1763" s="139"/>
    </row>
    <row r="1764" spans="16:16" x14ac:dyDescent="0.2">
      <c r="P1764" s="139"/>
    </row>
    <row r="1765" spans="16:16" x14ac:dyDescent="0.2">
      <c r="P1765" s="139"/>
    </row>
    <row r="1766" spans="16:16" x14ac:dyDescent="0.2">
      <c r="P1766" s="139"/>
    </row>
    <row r="1767" spans="16:16" x14ac:dyDescent="0.2">
      <c r="P1767" s="139"/>
    </row>
    <row r="1768" spans="16:16" x14ac:dyDescent="0.2">
      <c r="P1768" s="139"/>
    </row>
    <row r="1769" spans="16:16" x14ac:dyDescent="0.2">
      <c r="P1769" s="139"/>
    </row>
    <row r="1770" spans="16:16" x14ac:dyDescent="0.2">
      <c r="P1770" s="139"/>
    </row>
    <row r="1771" spans="16:16" x14ac:dyDescent="0.2">
      <c r="P1771" s="139"/>
    </row>
    <row r="1772" spans="16:16" x14ac:dyDescent="0.2">
      <c r="P1772" s="139"/>
    </row>
    <row r="1773" spans="16:16" x14ac:dyDescent="0.2">
      <c r="P1773" s="139"/>
    </row>
    <row r="1774" spans="16:16" x14ac:dyDescent="0.2">
      <c r="P1774" s="139"/>
    </row>
    <row r="1775" spans="16:16" x14ac:dyDescent="0.2">
      <c r="P1775" s="139"/>
    </row>
    <row r="1776" spans="16:16" x14ac:dyDescent="0.2">
      <c r="P1776" s="139"/>
    </row>
    <row r="1777" spans="16:16" x14ac:dyDescent="0.2">
      <c r="P1777" s="139"/>
    </row>
    <row r="1778" spans="16:16" x14ac:dyDescent="0.2">
      <c r="P1778" s="139"/>
    </row>
    <row r="1779" spans="16:16" x14ac:dyDescent="0.2">
      <c r="P1779" s="139"/>
    </row>
    <row r="1780" spans="16:16" x14ac:dyDescent="0.2">
      <c r="P1780" s="139"/>
    </row>
    <row r="1781" spans="16:16" x14ac:dyDescent="0.2">
      <c r="P1781" s="139"/>
    </row>
    <row r="1782" spans="16:16" x14ac:dyDescent="0.2">
      <c r="P1782" s="139"/>
    </row>
    <row r="1783" spans="16:16" x14ac:dyDescent="0.2">
      <c r="P1783" s="139"/>
    </row>
    <row r="1784" spans="16:16" x14ac:dyDescent="0.2">
      <c r="P1784" s="139"/>
    </row>
    <row r="1785" spans="16:16" x14ac:dyDescent="0.2">
      <c r="P1785" s="139"/>
    </row>
    <row r="1786" spans="16:16" x14ac:dyDescent="0.2">
      <c r="P1786" s="139"/>
    </row>
    <row r="1787" spans="16:16" x14ac:dyDescent="0.2">
      <c r="P1787" s="139"/>
    </row>
    <row r="1788" spans="16:16" x14ac:dyDescent="0.2">
      <c r="P1788" s="139"/>
    </row>
    <row r="1789" spans="16:16" x14ac:dyDescent="0.2">
      <c r="P1789" s="139"/>
    </row>
    <row r="1790" spans="16:16" x14ac:dyDescent="0.2">
      <c r="P1790" s="139"/>
    </row>
    <row r="1791" spans="16:16" x14ac:dyDescent="0.2">
      <c r="P1791" s="139"/>
    </row>
    <row r="1792" spans="16:16" x14ac:dyDescent="0.2">
      <c r="P1792" s="139"/>
    </row>
    <row r="1793" spans="16:16" x14ac:dyDescent="0.2">
      <c r="P1793" s="139"/>
    </row>
    <row r="1794" spans="16:16" x14ac:dyDescent="0.2">
      <c r="P1794" s="139"/>
    </row>
    <row r="1795" spans="16:16" x14ac:dyDescent="0.2">
      <c r="P1795" s="139"/>
    </row>
    <row r="1796" spans="16:16" x14ac:dyDescent="0.2">
      <c r="P1796" s="139"/>
    </row>
    <row r="1797" spans="16:16" x14ac:dyDescent="0.2">
      <c r="P1797" s="139"/>
    </row>
    <row r="1798" spans="16:16" x14ac:dyDescent="0.2">
      <c r="P1798" s="139"/>
    </row>
    <row r="1799" spans="16:16" x14ac:dyDescent="0.2">
      <c r="P1799" s="139"/>
    </row>
    <row r="1800" spans="16:16" x14ac:dyDescent="0.2">
      <c r="P1800" s="139"/>
    </row>
    <row r="1801" spans="16:16" x14ac:dyDescent="0.2">
      <c r="P1801" s="139"/>
    </row>
    <row r="1802" spans="16:16" x14ac:dyDescent="0.2">
      <c r="P1802" s="139"/>
    </row>
    <row r="1803" spans="16:16" x14ac:dyDescent="0.2">
      <c r="P1803" s="139"/>
    </row>
    <row r="1804" spans="16:16" x14ac:dyDescent="0.2">
      <c r="P1804" s="139"/>
    </row>
    <row r="1805" spans="16:16" x14ac:dyDescent="0.2">
      <c r="P1805" s="139"/>
    </row>
    <row r="1806" spans="16:16" x14ac:dyDescent="0.2">
      <c r="P1806" s="139"/>
    </row>
    <row r="1807" spans="16:16" x14ac:dyDescent="0.2">
      <c r="P1807" s="139"/>
    </row>
    <row r="1808" spans="16:16" x14ac:dyDescent="0.2">
      <c r="P1808" s="139"/>
    </row>
    <row r="1809" spans="16:16" x14ac:dyDescent="0.2">
      <c r="P1809" s="139"/>
    </row>
    <row r="1810" spans="16:16" x14ac:dyDescent="0.2">
      <c r="P1810" s="139"/>
    </row>
    <row r="1811" spans="16:16" x14ac:dyDescent="0.2">
      <c r="P1811" s="139"/>
    </row>
    <row r="1812" spans="16:16" x14ac:dyDescent="0.2">
      <c r="P1812" s="139"/>
    </row>
    <row r="1813" spans="16:16" x14ac:dyDescent="0.2">
      <c r="P1813" s="139"/>
    </row>
    <row r="1814" spans="16:16" x14ac:dyDescent="0.2">
      <c r="P1814" s="139"/>
    </row>
    <row r="1815" spans="16:16" x14ac:dyDescent="0.2">
      <c r="P1815" s="139"/>
    </row>
    <row r="1816" spans="16:16" x14ac:dyDescent="0.2">
      <c r="P1816" s="139"/>
    </row>
    <row r="1817" spans="16:16" x14ac:dyDescent="0.2">
      <c r="P1817" s="139"/>
    </row>
    <row r="1818" spans="16:16" x14ac:dyDescent="0.2">
      <c r="P1818" s="139"/>
    </row>
    <row r="1819" spans="16:16" x14ac:dyDescent="0.2">
      <c r="P1819" s="139"/>
    </row>
    <row r="1820" spans="16:16" x14ac:dyDescent="0.2">
      <c r="P1820" s="139"/>
    </row>
    <row r="1821" spans="16:16" x14ac:dyDescent="0.2">
      <c r="P1821" s="139"/>
    </row>
    <row r="1822" spans="16:16" x14ac:dyDescent="0.2">
      <c r="P1822" s="139"/>
    </row>
    <row r="1823" spans="16:16" x14ac:dyDescent="0.2">
      <c r="P1823" s="139"/>
    </row>
    <row r="1824" spans="16:16" x14ac:dyDescent="0.2">
      <c r="P1824" s="139"/>
    </row>
    <row r="1825" spans="16:16" x14ac:dyDescent="0.2">
      <c r="P1825" s="139"/>
    </row>
    <row r="1826" spans="16:16" x14ac:dyDescent="0.2">
      <c r="P1826" s="139"/>
    </row>
    <row r="1827" spans="16:16" x14ac:dyDescent="0.2">
      <c r="P1827" s="139"/>
    </row>
    <row r="1828" spans="16:16" x14ac:dyDescent="0.2">
      <c r="P1828" s="139"/>
    </row>
    <row r="1829" spans="16:16" x14ac:dyDescent="0.2">
      <c r="P1829" s="139"/>
    </row>
    <row r="1830" spans="16:16" x14ac:dyDescent="0.2">
      <c r="P1830" s="139"/>
    </row>
    <row r="1831" spans="16:16" x14ac:dyDescent="0.2">
      <c r="P1831" s="139"/>
    </row>
    <row r="1832" spans="16:16" x14ac:dyDescent="0.2">
      <c r="P1832" s="139"/>
    </row>
    <row r="1833" spans="16:16" x14ac:dyDescent="0.2">
      <c r="P1833" s="139"/>
    </row>
    <row r="1834" spans="16:16" x14ac:dyDescent="0.2">
      <c r="P1834" s="139"/>
    </row>
    <row r="1835" spans="16:16" x14ac:dyDescent="0.2">
      <c r="P1835" s="139"/>
    </row>
    <row r="1836" spans="16:16" x14ac:dyDescent="0.2">
      <c r="P1836" s="139"/>
    </row>
    <row r="1837" spans="16:16" x14ac:dyDescent="0.2">
      <c r="P1837" s="139"/>
    </row>
    <row r="1838" spans="16:16" x14ac:dyDescent="0.2">
      <c r="P1838" s="139"/>
    </row>
    <row r="1839" spans="16:16" x14ac:dyDescent="0.2">
      <c r="P1839" s="139"/>
    </row>
    <row r="1840" spans="16:16" x14ac:dyDescent="0.2">
      <c r="P1840" s="139"/>
    </row>
    <row r="1841" spans="16:16" x14ac:dyDescent="0.2">
      <c r="P1841" s="139"/>
    </row>
    <row r="1842" spans="16:16" x14ac:dyDescent="0.2">
      <c r="P1842" s="139"/>
    </row>
    <row r="1843" spans="16:16" x14ac:dyDescent="0.2">
      <c r="P1843" s="139"/>
    </row>
    <row r="1844" spans="16:16" x14ac:dyDescent="0.2">
      <c r="P1844" s="139"/>
    </row>
    <row r="1845" spans="16:16" x14ac:dyDescent="0.2">
      <c r="P1845" s="139"/>
    </row>
    <row r="1846" spans="16:16" x14ac:dyDescent="0.2">
      <c r="P1846" s="139"/>
    </row>
    <row r="1847" spans="16:16" x14ac:dyDescent="0.2">
      <c r="P1847" s="139"/>
    </row>
    <row r="1848" spans="16:16" x14ac:dyDescent="0.2">
      <c r="P1848" s="139"/>
    </row>
    <row r="1849" spans="16:16" x14ac:dyDescent="0.2">
      <c r="P1849" s="139"/>
    </row>
    <row r="1850" spans="16:16" x14ac:dyDescent="0.2">
      <c r="P1850" s="139"/>
    </row>
    <row r="1851" spans="16:16" x14ac:dyDescent="0.2">
      <c r="P1851" s="139"/>
    </row>
    <row r="1852" spans="16:16" x14ac:dyDescent="0.2">
      <c r="P1852" s="139"/>
    </row>
    <row r="1853" spans="16:16" x14ac:dyDescent="0.2">
      <c r="P1853" s="139"/>
    </row>
    <row r="1854" spans="16:16" x14ac:dyDescent="0.2">
      <c r="P1854" s="139"/>
    </row>
    <row r="1855" spans="16:16" x14ac:dyDescent="0.2">
      <c r="P1855" s="139"/>
    </row>
    <row r="1856" spans="16:16" x14ac:dyDescent="0.2">
      <c r="P1856" s="139"/>
    </row>
    <row r="1857" spans="16:16" x14ac:dyDescent="0.2">
      <c r="P1857" s="139"/>
    </row>
    <row r="1858" spans="16:16" x14ac:dyDescent="0.2">
      <c r="P1858" s="139"/>
    </row>
    <row r="1859" spans="16:16" x14ac:dyDescent="0.2">
      <c r="P1859" s="139"/>
    </row>
    <row r="1860" spans="16:16" x14ac:dyDescent="0.2">
      <c r="P1860" s="139"/>
    </row>
    <row r="1861" spans="16:16" x14ac:dyDescent="0.2">
      <c r="P1861" s="139"/>
    </row>
    <row r="1862" spans="16:16" x14ac:dyDescent="0.2">
      <c r="P1862" s="139"/>
    </row>
    <row r="1863" spans="16:16" x14ac:dyDescent="0.2">
      <c r="P1863" s="139"/>
    </row>
    <row r="1864" spans="16:16" x14ac:dyDescent="0.2">
      <c r="P1864" s="139"/>
    </row>
    <row r="1865" spans="16:16" x14ac:dyDescent="0.2">
      <c r="P1865" s="139"/>
    </row>
    <row r="1866" spans="16:16" x14ac:dyDescent="0.2">
      <c r="P1866" s="139"/>
    </row>
    <row r="1867" spans="16:16" x14ac:dyDescent="0.2">
      <c r="P1867" s="139"/>
    </row>
    <row r="1868" spans="16:16" x14ac:dyDescent="0.2">
      <c r="P1868" s="139"/>
    </row>
    <row r="1869" spans="16:16" x14ac:dyDescent="0.2">
      <c r="P1869" s="139"/>
    </row>
    <row r="1870" spans="16:16" x14ac:dyDescent="0.2">
      <c r="P1870" s="139"/>
    </row>
    <row r="1871" spans="16:16" x14ac:dyDescent="0.2">
      <c r="P1871" s="139"/>
    </row>
    <row r="1872" spans="16:16" x14ac:dyDescent="0.2">
      <c r="P1872" s="139"/>
    </row>
    <row r="1873" spans="16:16" x14ac:dyDescent="0.2">
      <c r="P1873" s="139"/>
    </row>
    <row r="1874" spans="16:16" x14ac:dyDescent="0.2">
      <c r="P1874" s="139"/>
    </row>
    <row r="1875" spans="16:16" x14ac:dyDescent="0.2">
      <c r="P1875" s="139"/>
    </row>
    <row r="1876" spans="16:16" x14ac:dyDescent="0.2">
      <c r="P1876" s="139"/>
    </row>
    <row r="1877" spans="16:16" x14ac:dyDescent="0.2">
      <c r="P1877" s="139"/>
    </row>
    <row r="1878" spans="16:16" x14ac:dyDescent="0.2">
      <c r="P1878" s="139"/>
    </row>
    <row r="1879" spans="16:16" x14ac:dyDescent="0.2">
      <c r="P1879" s="139"/>
    </row>
    <row r="1880" spans="16:16" x14ac:dyDescent="0.2">
      <c r="P1880" s="139"/>
    </row>
    <row r="1881" spans="16:16" x14ac:dyDescent="0.2">
      <c r="P1881" s="139"/>
    </row>
    <row r="1882" spans="16:16" x14ac:dyDescent="0.2">
      <c r="P1882" s="139"/>
    </row>
    <row r="1883" spans="16:16" x14ac:dyDescent="0.2">
      <c r="P1883" s="139"/>
    </row>
    <row r="1884" spans="16:16" x14ac:dyDescent="0.2">
      <c r="P1884" s="139"/>
    </row>
    <row r="1885" spans="16:16" x14ac:dyDescent="0.2">
      <c r="P1885" s="139"/>
    </row>
    <row r="1886" spans="16:16" x14ac:dyDescent="0.2">
      <c r="P1886" s="139"/>
    </row>
    <row r="1887" spans="16:16" x14ac:dyDescent="0.2">
      <c r="P1887" s="139"/>
    </row>
    <row r="1888" spans="16:16" x14ac:dyDescent="0.2">
      <c r="P1888" s="139"/>
    </row>
    <row r="1889" spans="16:16" x14ac:dyDescent="0.2">
      <c r="P1889" s="139"/>
    </row>
    <row r="1890" spans="16:16" x14ac:dyDescent="0.2">
      <c r="P1890" s="139"/>
    </row>
    <row r="1891" spans="16:16" x14ac:dyDescent="0.2">
      <c r="P1891" s="139"/>
    </row>
    <row r="1892" spans="16:16" x14ac:dyDescent="0.2">
      <c r="P1892" s="139"/>
    </row>
    <row r="1893" spans="16:16" x14ac:dyDescent="0.2">
      <c r="P1893" s="139"/>
    </row>
    <row r="1894" spans="16:16" x14ac:dyDescent="0.2">
      <c r="P1894" s="139"/>
    </row>
    <row r="1895" spans="16:16" x14ac:dyDescent="0.2">
      <c r="P1895" s="139"/>
    </row>
    <row r="1896" spans="16:16" x14ac:dyDescent="0.2">
      <c r="P1896" s="139"/>
    </row>
    <row r="1897" spans="16:16" x14ac:dyDescent="0.2">
      <c r="P1897" s="139"/>
    </row>
    <row r="1898" spans="16:16" x14ac:dyDescent="0.2">
      <c r="P1898" s="139"/>
    </row>
    <row r="1899" spans="16:16" x14ac:dyDescent="0.2">
      <c r="P1899" s="139"/>
    </row>
    <row r="1900" spans="16:16" x14ac:dyDescent="0.2">
      <c r="P1900" s="139"/>
    </row>
    <row r="1901" spans="16:16" x14ac:dyDescent="0.2">
      <c r="P1901" s="139"/>
    </row>
    <row r="1902" spans="16:16" x14ac:dyDescent="0.2">
      <c r="P1902" s="139"/>
    </row>
    <row r="1903" spans="16:16" x14ac:dyDescent="0.2">
      <c r="P1903" s="139"/>
    </row>
    <row r="1904" spans="16:16" x14ac:dyDescent="0.2">
      <c r="P1904" s="139"/>
    </row>
    <row r="1905" spans="16:16" x14ac:dyDescent="0.2">
      <c r="P1905" s="139"/>
    </row>
    <row r="1906" spans="16:16" x14ac:dyDescent="0.2">
      <c r="P1906" s="139"/>
    </row>
    <row r="1907" spans="16:16" x14ac:dyDescent="0.2">
      <c r="P1907" s="139"/>
    </row>
    <row r="1908" spans="16:16" x14ac:dyDescent="0.2">
      <c r="P1908" s="139"/>
    </row>
    <row r="1909" spans="16:16" x14ac:dyDescent="0.2">
      <c r="P1909" s="139"/>
    </row>
    <row r="1910" spans="16:16" x14ac:dyDescent="0.2">
      <c r="P1910" s="139"/>
    </row>
    <row r="1911" spans="16:16" x14ac:dyDescent="0.2">
      <c r="P1911" s="139"/>
    </row>
    <row r="1912" spans="16:16" x14ac:dyDescent="0.2">
      <c r="P1912" s="139"/>
    </row>
    <row r="1913" spans="16:16" x14ac:dyDescent="0.2">
      <c r="P1913" s="139"/>
    </row>
    <row r="1914" spans="16:16" x14ac:dyDescent="0.2">
      <c r="P1914" s="139"/>
    </row>
    <row r="1915" spans="16:16" x14ac:dyDescent="0.2">
      <c r="P1915" s="139"/>
    </row>
    <row r="1916" spans="16:16" x14ac:dyDescent="0.2">
      <c r="P1916" s="139"/>
    </row>
    <row r="1917" spans="16:16" x14ac:dyDescent="0.2">
      <c r="P1917" s="139"/>
    </row>
    <row r="1918" spans="16:16" x14ac:dyDescent="0.2">
      <c r="P1918" s="139"/>
    </row>
    <row r="1919" spans="16:16" x14ac:dyDescent="0.2">
      <c r="P1919" s="139"/>
    </row>
    <row r="1920" spans="16:16" x14ac:dyDescent="0.2">
      <c r="P1920" s="139"/>
    </row>
    <row r="1921" spans="16:16" x14ac:dyDescent="0.2">
      <c r="P1921" s="139"/>
    </row>
    <row r="1922" spans="16:16" x14ac:dyDescent="0.2">
      <c r="P1922" s="139"/>
    </row>
    <row r="1923" spans="16:16" x14ac:dyDescent="0.2">
      <c r="P1923" s="139"/>
    </row>
    <row r="1924" spans="16:16" x14ac:dyDescent="0.2">
      <c r="P1924" s="139"/>
    </row>
    <row r="1925" spans="16:16" x14ac:dyDescent="0.2">
      <c r="P1925" s="139"/>
    </row>
    <row r="1926" spans="16:16" x14ac:dyDescent="0.2">
      <c r="P1926" s="139"/>
    </row>
    <row r="1927" spans="16:16" x14ac:dyDescent="0.2">
      <c r="P1927" s="139"/>
    </row>
    <row r="1928" spans="16:16" x14ac:dyDescent="0.2">
      <c r="P1928" s="139"/>
    </row>
    <row r="1929" spans="16:16" x14ac:dyDescent="0.2">
      <c r="P1929" s="139"/>
    </row>
    <row r="1930" spans="16:16" x14ac:dyDescent="0.2">
      <c r="P1930" s="139"/>
    </row>
    <row r="1931" spans="16:16" x14ac:dyDescent="0.2">
      <c r="P1931" s="139"/>
    </row>
    <row r="1932" spans="16:16" x14ac:dyDescent="0.2">
      <c r="P1932" s="139"/>
    </row>
    <row r="1933" spans="16:16" x14ac:dyDescent="0.2">
      <c r="P1933" s="139"/>
    </row>
    <row r="1934" spans="16:16" x14ac:dyDescent="0.2">
      <c r="P1934" s="139"/>
    </row>
    <row r="1935" spans="16:16" x14ac:dyDescent="0.2">
      <c r="P1935" s="139"/>
    </row>
    <row r="1936" spans="16:16" x14ac:dyDescent="0.2">
      <c r="P1936" s="139"/>
    </row>
    <row r="1937" spans="16:16" x14ac:dyDescent="0.2">
      <c r="P1937" s="139"/>
    </row>
    <row r="1938" spans="16:16" x14ac:dyDescent="0.2">
      <c r="P1938" s="139"/>
    </row>
    <row r="1939" spans="16:16" x14ac:dyDescent="0.2">
      <c r="P1939" s="139"/>
    </row>
    <row r="1940" spans="16:16" x14ac:dyDescent="0.2">
      <c r="P1940" s="139"/>
    </row>
    <row r="1941" spans="16:16" x14ac:dyDescent="0.2">
      <c r="P1941" s="139"/>
    </row>
    <row r="1942" spans="16:16" x14ac:dyDescent="0.2">
      <c r="P1942" s="139"/>
    </row>
    <row r="1943" spans="16:16" x14ac:dyDescent="0.2">
      <c r="P1943" s="139"/>
    </row>
    <row r="1944" spans="16:16" x14ac:dyDescent="0.2">
      <c r="P1944" s="139"/>
    </row>
    <row r="1945" spans="16:16" x14ac:dyDescent="0.2">
      <c r="P1945" s="139"/>
    </row>
    <row r="1946" spans="16:16" x14ac:dyDescent="0.2">
      <c r="P1946" s="139"/>
    </row>
    <row r="1947" spans="16:16" x14ac:dyDescent="0.2">
      <c r="P1947" s="139"/>
    </row>
    <row r="1948" spans="16:16" x14ac:dyDescent="0.2">
      <c r="P1948" s="139"/>
    </row>
    <row r="1949" spans="16:16" x14ac:dyDescent="0.2">
      <c r="P1949" s="139"/>
    </row>
    <row r="1950" spans="16:16" x14ac:dyDescent="0.2">
      <c r="P1950" s="139"/>
    </row>
    <row r="1951" spans="16:16" x14ac:dyDescent="0.2">
      <c r="P1951" s="139"/>
    </row>
    <row r="1952" spans="16:16" x14ac:dyDescent="0.2">
      <c r="P1952" s="139"/>
    </row>
    <row r="1953" spans="16:16" x14ac:dyDescent="0.2">
      <c r="P1953" s="139"/>
    </row>
    <row r="1954" spans="16:16" x14ac:dyDescent="0.2">
      <c r="P1954" s="139"/>
    </row>
    <row r="1955" spans="16:16" x14ac:dyDescent="0.2">
      <c r="P1955" s="139"/>
    </row>
    <row r="1956" spans="16:16" x14ac:dyDescent="0.2">
      <c r="P1956" s="139"/>
    </row>
    <row r="1957" spans="16:16" x14ac:dyDescent="0.2">
      <c r="P1957" s="139"/>
    </row>
    <row r="1958" spans="16:16" x14ac:dyDescent="0.2">
      <c r="P1958" s="139"/>
    </row>
    <row r="1959" spans="16:16" x14ac:dyDescent="0.2">
      <c r="P1959" s="139"/>
    </row>
    <row r="1960" spans="16:16" x14ac:dyDescent="0.2">
      <c r="P1960" s="139"/>
    </row>
    <row r="1961" spans="16:16" x14ac:dyDescent="0.2">
      <c r="P1961" s="139"/>
    </row>
    <row r="1962" spans="16:16" x14ac:dyDescent="0.2">
      <c r="P1962" s="139"/>
    </row>
    <row r="1963" spans="16:16" x14ac:dyDescent="0.2">
      <c r="P1963" s="139"/>
    </row>
    <row r="1964" spans="16:16" x14ac:dyDescent="0.2">
      <c r="P1964" s="139"/>
    </row>
    <row r="1965" spans="16:16" x14ac:dyDescent="0.2">
      <c r="P1965" s="139"/>
    </row>
    <row r="1966" spans="16:16" x14ac:dyDescent="0.2">
      <c r="P1966" s="139"/>
    </row>
    <row r="1967" spans="16:16" x14ac:dyDescent="0.2">
      <c r="P1967" s="139"/>
    </row>
    <row r="1968" spans="16:16" x14ac:dyDescent="0.2">
      <c r="P1968" s="139"/>
    </row>
    <row r="1969" spans="16:16" x14ac:dyDescent="0.2">
      <c r="P1969" s="139"/>
    </row>
    <row r="1970" spans="16:16" x14ac:dyDescent="0.2">
      <c r="P1970" s="139"/>
    </row>
    <row r="1971" spans="16:16" x14ac:dyDescent="0.2">
      <c r="P1971" s="139"/>
    </row>
    <row r="1972" spans="16:16" x14ac:dyDescent="0.2">
      <c r="P1972" s="139"/>
    </row>
    <row r="1973" spans="16:16" x14ac:dyDescent="0.2">
      <c r="P1973" s="139"/>
    </row>
    <row r="1974" spans="16:16" x14ac:dyDescent="0.2">
      <c r="P1974" s="139"/>
    </row>
    <row r="1975" spans="16:16" x14ac:dyDescent="0.2">
      <c r="P1975" s="139"/>
    </row>
    <row r="1976" spans="16:16" x14ac:dyDescent="0.2">
      <c r="P1976" s="139"/>
    </row>
    <row r="1977" spans="16:16" x14ac:dyDescent="0.2">
      <c r="P1977" s="139"/>
    </row>
    <row r="1978" spans="16:16" x14ac:dyDescent="0.2">
      <c r="P1978" s="139"/>
    </row>
    <row r="1979" spans="16:16" x14ac:dyDescent="0.2">
      <c r="P1979" s="139"/>
    </row>
    <row r="1980" spans="16:16" x14ac:dyDescent="0.2">
      <c r="P1980" s="139"/>
    </row>
    <row r="1981" spans="16:16" x14ac:dyDescent="0.2">
      <c r="P1981" s="139"/>
    </row>
    <row r="1982" spans="16:16" x14ac:dyDescent="0.2">
      <c r="P1982" s="139"/>
    </row>
    <row r="1983" spans="16:16" x14ac:dyDescent="0.2">
      <c r="P1983" s="139"/>
    </row>
    <row r="1984" spans="16:16" x14ac:dyDescent="0.2">
      <c r="P1984" s="139"/>
    </row>
    <row r="1985" spans="16:16" x14ac:dyDescent="0.2">
      <c r="P1985" s="139"/>
    </row>
    <row r="1986" spans="16:16" x14ac:dyDescent="0.2">
      <c r="P1986" s="139"/>
    </row>
    <row r="1987" spans="16:16" x14ac:dyDescent="0.2">
      <c r="P1987" s="139"/>
    </row>
    <row r="1988" spans="16:16" x14ac:dyDescent="0.2">
      <c r="P1988" s="139"/>
    </row>
    <row r="1989" spans="16:16" x14ac:dyDescent="0.2">
      <c r="P1989" s="139"/>
    </row>
    <row r="1990" spans="16:16" x14ac:dyDescent="0.2">
      <c r="P1990" s="139"/>
    </row>
    <row r="1991" spans="16:16" x14ac:dyDescent="0.2">
      <c r="P1991" s="139"/>
    </row>
    <row r="1992" spans="16:16" x14ac:dyDescent="0.2">
      <c r="P1992" s="139"/>
    </row>
    <row r="1993" spans="16:16" x14ac:dyDescent="0.2">
      <c r="P1993" s="139"/>
    </row>
    <row r="1994" spans="16:16" x14ac:dyDescent="0.2">
      <c r="P1994" s="139"/>
    </row>
    <row r="1995" spans="16:16" x14ac:dyDescent="0.2">
      <c r="P1995" s="139"/>
    </row>
    <row r="1996" spans="16:16" x14ac:dyDescent="0.2">
      <c r="P1996" s="139"/>
    </row>
    <row r="1997" spans="16:16" x14ac:dyDescent="0.2">
      <c r="P1997" s="139"/>
    </row>
    <row r="1998" spans="16:16" x14ac:dyDescent="0.2">
      <c r="P1998" s="139"/>
    </row>
    <row r="1999" spans="16:16" x14ac:dyDescent="0.2">
      <c r="P1999" s="139"/>
    </row>
    <row r="2000" spans="16:16" x14ac:dyDescent="0.2">
      <c r="P2000" s="139"/>
    </row>
    <row r="2001" spans="16:16" x14ac:dyDescent="0.2">
      <c r="P2001" s="139"/>
    </row>
    <row r="2002" spans="16:16" x14ac:dyDescent="0.2">
      <c r="P2002" s="139"/>
    </row>
    <row r="2003" spans="16:16" x14ac:dyDescent="0.2">
      <c r="P2003" s="139"/>
    </row>
    <row r="2004" spans="16:16" x14ac:dyDescent="0.2">
      <c r="P2004" s="139"/>
    </row>
    <row r="2005" spans="16:16" x14ac:dyDescent="0.2">
      <c r="P2005" s="139"/>
    </row>
    <row r="2006" spans="16:16" x14ac:dyDescent="0.2">
      <c r="P2006" s="139"/>
    </row>
    <row r="2007" spans="16:16" x14ac:dyDescent="0.2">
      <c r="P2007" s="139"/>
    </row>
    <row r="2008" spans="16:16" x14ac:dyDescent="0.2">
      <c r="P2008" s="139"/>
    </row>
    <row r="2009" spans="16:16" x14ac:dyDescent="0.2">
      <c r="P2009" s="139"/>
    </row>
    <row r="2010" spans="16:16" x14ac:dyDescent="0.2">
      <c r="P2010" s="139"/>
    </row>
    <row r="2011" spans="16:16" x14ac:dyDescent="0.2">
      <c r="P2011" s="139"/>
    </row>
    <row r="2012" spans="16:16" x14ac:dyDescent="0.2">
      <c r="P2012" s="139"/>
    </row>
    <row r="2013" spans="16:16" x14ac:dyDescent="0.2">
      <c r="P2013" s="139"/>
    </row>
    <row r="2014" spans="16:16" x14ac:dyDescent="0.2">
      <c r="P2014" s="139"/>
    </row>
    <row r="2015" spans="16:16" x14ac:dyDescent="0.2">
      <c r="P2015" s="139"/>
    </row>
    <row r="2016" spans="16:16" x14ac:dyDescent="0.2">
      <c r="P2016" s="139"/>
    </row>
    <row r="2017" spans="16:16" x14ac:dyDescent="0.2">
      <c r="P2017" s="139"/>
    </row>
    <row r="2018" spans="16:16" x14ac:dyDescent="0.2">
      <c r="P2018" s="139"/>
    </row>
    <row r="2019" spans="16:16" x14ac:dyDescent="0.2">
      <c r="P2019" s="139"/>
    </row>
    <row r="2020" spans="16:16" x14ac:dyDescent="0.2">
      <c r="P2020" s="139"/>
    </row>
    <row r="2021" spans="16:16" x14ac:dyDescent="0.2">
      <c r="P2021" s="139"/>
    </row>
    <row r="2022" spans="16:16" x14ac:dyDescent="0.2">
      <c r="P2022" s="139"/>
    </row>
    <row r="2023" spans="16:16" x14ac:dyDescent="0.2">
      <c r="P2023" s="139"/>
    </row>
    <row r="2024" spans="16:16" x14ac:dyDescent="0.2">
      <c r="P2024" s="139"/>
    </row>
    <row r="2025" spans="16:16" x14ac:dyDescent="0.2">
      <c r="P2025" s="139"/>
    </row>
    <row r="2026" spans="16:16" x14ac:dyDescent="0.2">
      <c r="P2026" s="139"/>
    </row>
    <row r="2027" spans="16:16" x14ac:dyDescent="0.2">
      <c r="P2027" s="139"/>
    </row>
    <row r="2028" spans="16:16" x14ac:dyDescent="0.2">
      <c r="P2028" s="139"/>
    </row>
    <row r="2029" spans="16:16" x14ac:dyDescent="0.2">
      <c r="P2029" s="139"/>
    </row>
    <row r="2030" spans="16:16" x14ac:dyDescent="0.2">
      <c r="P2030" s="139"/>
    </row>
    <row r="2031" spans="16:16" x14ac:dyDescent="0.2">
      <c r="P2031" s="139"/>
    </row>
    <row r="2032" spans="16:16" x14ac:dyDescent="0.2">
      <c r="P2032" s="139"/>
    </row>
    <row r="2033" spans="16:16" x14ac:dyDescent="0.2">
      <c r="P2033" s="139"/>
    </row>
    <row r="2034" spans="16:16" x14ac:dyDescent="0.2">
      <c r="P2034" s="139"/>
    </row>
    <row r="2035" spans="16:16" x14ac:dyDescent="0.2">
      <c r="P2035" s="139"/>
    </row>
    <row r="2036" spans="16:16" x14ac:dyDescent="0.2">
      <c r="P2036" s="139"/>
    </row>
    <row r="2037" spans="16:16" x14ac:dyDescent="0.2">
      <c r="P2037" s="139"/>
    </row>
    <row r="2038" spans="16:16" x14ac:dyDescent="0.2">
      <c r="P2038" s="139"/>
    </row>
    <row r="2039" spans="16:16" x14ac:dyDescent="0.2">
      <c r="P2039" s="139"/>
    </row>
    <row r="2040" spans="16:16" x14ac:dyDescent="0.2">
      <c r="P2040" s="139"/>
    </row>
    <row r="2041" spans="16:16" x14ac:dyDescent="0.2">
      <c r="P2041" s="139"/>
    </row>
    <row r="2042" spans="16:16" x14ac:dyDescent="0.2">
      <c r="P2042" s="139"/>
    </row>
    <row r="2043" spans="16:16" x14ac:dyDescent="0.2">
      <c r="P2043" s="139"/>
    </row>
    <row r="2044" spans="16:16" x14ac:dyDescent="0.2">
      <c r="P2044" s="139"/>
    </row>
    <row r="2045" spans="16:16" x14ac:dyDescent="0.2">
      <c r="P2045" s="139"/>
    </row>
    <row r="2046" spans="16:16" x14ac:dyDescent="0.2">
      <c r="P2046" s="139"/>
    </row>
    <row r="2047" spans="16:16" x14ac:dyDescent="0.2">
      <c r="P2047" s="139"/>
    </row>
    <row r="2048" spans="16:16" x14ac:dyDescent="0.2">
      <c r="P2048" s="139"/>
    </row>
    <row r="2049" spans="16:16" x14ac:dyDescent="0.2">
      <c r="P2049" s="139"/>
    </row>
    <row r="2050" spans="16:16" x14ac:dyDescent="0.2">
      <c r="P2050" s="139"/>
    </row>
    <row r="2051" spans="16:16" x14ac:dyDescent="0.2">
      <c r="P2051" s="139"/>
    </row>
    <row r="2052" spans="16:16" x14ac:dyDescent="0.2">
      <c r="P2052" s="139"/>
    </row>
    <row r="2053" spans="16:16" x14ac:dyDescent="0.2">
      <c r="P2053" s="139"/>
    </row>
    <row r="2054" spans="16:16" x14ac:dyDescent="0.2">
      <c r="P2054" s="139"/>
    </row>
    <row r="2055" spans="16:16" x14ac:dyDescent="0.2">
      <c r="P2055" s="139"/>
    </row>
    <row r="2056" spans="16:16" x14ac:dyDescent="0.2">
      <c r="P2056" s="139"/>
    </row>
    <row r="2057" spans="16:16" x14ac:dyDescent="0.2">
      <c r="P2057" s="139"/>
    </row>
    <row r="2058" spans="16:16" x14ac:dyDescent="0.2">
      <c r="P2058" s="139"/>
    </row>
    <row r="2059" spans="16:16" x14ac:dyDescent="0.2">
      <c r="P2059" s="139"/>
    </row>
    <row r="2060" spans="16:16" x14ac:dyDescent="0.2">
      <c r="P2060" s="139"/>
    </row>
    <row r="2061" spans="16:16" x14ac:dyDescent="0.2">
      <c r="P2061" s="139"/>
    </row>
    <row r="2062" spans="16:16" x14ac:dyDescent="0.2">
      <c r="P2062" s="139"/>
    </row>
    <row r="2063" spans="16:16" x14ac:dyDescent="0.2">
      <c r="P2063" s="139"/>
    </row>
    <row r="2064" spans="16:16" x14ac:dyDescent="0.2">
      <c r="P2064" s="139"/>
    </row>
    <row r="2065" spans="16:16" x14ac:dyDescent="0.2">
      <c r="P2065" s="139"/>
    </row>
    <row r="2066" spans="16:16" x14ac:dyDescent="0.2">
      <c r="P2066" s="139"/>
    </row>
    <row r="2067" spans="16:16" x14ac:dyDescent="0.2">
      <c r="P2067" s="139"/>
    </row>
    <row r="2068" spans="16:16" x14ac:dyDescent="0.2">
      <c r="P2068" s="139"/>
    </row>
    <row r="2069" spans="16:16" x14ac:dyDescent="0.2">
      <c r="P2069" s="139"/>
    </row>
    <row r="2070" spans="16:16" x14ac:dyDescent="0.2">
      <c r="P2070" s="139"/>
    </row>
    <row r="2071" spans="16:16" x14ac:dyDescent="0.2">
      <c r="P2071" s="139"/>
    </row>
    <row r="2072" spans="16:16" x14ac:dyDescent="0.2">
      <c r="P2072" s="139"/>
    </row>
    <row r="2073" spans="16:16" x14ac:dyDescent="0.2">
      <c r="P2073" s="139"/>
    </row>
    <row r="2074" spans="16:16" x14ac:dyDescent="0.2">
      <c r="P2074" s="139"/>
    </row>
    <row r="2075" spans="16:16" x14ac:dyDescent="0.2">
      <c r="P2075" s="139"/>
    </row>
    <row r="2076" spans="16:16" x14ac:dyDescent="0.2">
      <c r="P2076" s="139"/>
    </row>
    <row r="2077" spans="16:16" x14ac:dyDescent="0.2">
      <c r="P2077" s="139"/>
    </row>
    <row r="2078" spans="16:16" x14ac:dyDescent="0.2">
      <c r="P2078" s="139"/>
    </row>
    <row r="2079" spans="16:16" x14ac:dyDescent="0.2">
      <c r="P2079" s="139"/>
    </row>
    <row r="2080" spans="16:16" x14ac:dyDescent="0.2">
      <c r="P2080" s="139"/>
    </row>
    <row r="2081" spans="16:16" x14ac:dyDescent="0.2">
      <c r="P2081" s="139"/>
    </row>
    <row r="2082" spans="16:16" x14ac:dyDescent="0.2">
      <c r="P2082" s="139"/>
    </row>
    <row r="2083" spans="16:16" x14ac:dyDescent="0.2">
      <c r="P2083" s="139"/>
    </row>
    <row r="2084" spans="16:16" x14ac:dyDescent="0.2">
      <c r="P2084" s="139"/>
    </row>
    <row r="2085" spans="16:16" x14ac:dyDescent="0.2">
      <c r="P2085" s="139"/>
    </row>
    <row r="2086" spans="16:16" x14ac:dyDescent="0.2">
      <c r="P2086" s="139"/>
    </row>
    <row r="2087" spans="16:16" x14ac:dyDescent="0.2">
      <c r="P2087" s="139"/>
    </row>
    <row r="2088" spans="16:16" x14ac:dyDescent="0.2">
      <c r="P2088" s="139"/>
    </row>
    <row r="2089" spans="16:16" x14ac:dyDescent="0.2">
      <c r="P2089" s="139"/>
    </row>
    <row r="2090" spans="16:16" x14ac:dyDescent="0.2">
      <c r="P2090" s="139"/>
    </row>
    <row r="2091" spans="16:16" x14ac:dyDescent="0.2">
      <c r="P2091" s="139"/>
    </row>
    <row r="2092" spans="16:16" x14ac:dyDescent="0.2">
      <c r="P2092" s="139"/>
    </row>
    <row r="2093" spans="16:16" x14ac:dyDescent="0.2">
      <c r="P2093" s="139"/>
    </row>
    <row r="2094" spans="16:16" x14ac:dyDescent="0.2">
      <c r="P2094" s="139"/>
    </row>
    <row r="2095" spans="16:16" x14ac:dyDescent="0.2">
      <c r="P2095" s="139"/>
    </row>
    <row r="2096" spans="16:16" x14ac:dyDescent="0.2">
      <c r="P2096" s="139"/>
    </row>
    <row r="2097" spans="16:16" x14ac:dyDescent="0.2">
      <c r="P2097" s="139"/>
    </row>
    <row r="2098" spans="16:16" x14ac:dyDescent="0.2">
      <c r="P2098" s="139"/>
    </row>
    <row r="2099" spans="16:16" x14ac:dyDescent="0.2">
      <c r="P2099" s="139"/>
    </row>
    <row r="2100" spans="16:16" x14ac:dyDescent="0.2">
      <c r="P2100" s="139"/>
    </row>
    <row r="2101" spans="16:16" x14ac:dyDescent="0.2">
      <c r="P2101" s="139"/>
    </row>
    <row r="2102" spans="16:16" x14ac:dyDescent="0.2">
      <c r="P2102" s="139"/>
    </row>
    <row r="2103" spans="16:16" x14ac:dyDescent="0.2">
      <c r="P2103" s="139"/>
    </row>
    <row r="2104" spans="16:16" x14ac:dyDescent="0.2">
      <c r="P2104" s="139"/>
    </row>
    <row r="2105" spans="16:16" x14ac:dyDescent="0.2">
      <c r="P2105" s="139"/>
    </row>
    <row r="2106" spans="16:16" x14ac:dyDescent="0.2">
      <c r="P2106" s="139"/>
    </row>
    <row r="2107" spans="16:16" x14ac:dyDescent="0.2">
      <c r="P2107" s="139"/>
    </row>
    <row r="2108" spans="16:16" x14ac:dyDescent="0.2">
      <c r="P2108" s="139"/>
    </row>
    <row r="2109" spans="16:16" x14ac:dyDescent="0.2">
      <c r="P2109" s="139"/>
    </row>
    <row r="2110" spans="16:16" x14ac:dyDescent="0.2">
      <c r="P2110" s="139"/>
    </row>
    <row r="2111" spans="16:16" x14ac:dyDescent="0.2">
      <c r="P2111" s="139"/>
    </row>
    <row r="2112" spans="16:16" x14ac:dyDescent="0.2">
      <c r="P2112" s="139"/>
    </row>
    <row r="2113" spans="16:16" x14ac:dyDescent="0.2">
      <c r="P2113" s="139"/>
    </row>
    <row r="2114" spans="16:16" x14ac:dyDescent="0.2">
      <c r="P2114" s="139"/>
    </row>
    <row r="2115" spans="16:16" x14ac:dyDescent="0.2">
      <c r="P2115" s="139"/>
    </row>
    <row r="2116" spans="16:16" x14ac:dyDescent="0.2">
      <c r="P2116" s="139"/>
    </row>
    <row r="2117" spans="16:16" x14ac:dyDescent="0.2">
      <c r="P2117" s="139"/>
    </row>
    <row r="2118" spans="16:16" x14ac:dyDescent="0.2">
      <c r="P2118" s="139"/>
    </row>
    <row r="2119" spans="16:16" x14ac:dyDescent="0.2">
      <c r="P2119" s="139"/>
    </row>
    <row r="2120" spans="16:16" x14ac:dyDescent="0.2">
      <c r="P2120" s="139"/>
    </row>
    <row r="2121" spans="16:16" x14ac:dyDescent="0.2">
      <c r="P2121" s="139"/>
    </row>
    <row r="2122" spans="16:16" x14ac:dyDescent="0.2">
      <c r="P2122" s="139"/>
    </row>
    <row r="2123" spans="16:16" x14ac:dyDescent="0.2">
      <c r="P2123" s="139"/>
    </row>
    <row r="2124" spans="16:16" x14ac:dyDescent="0.2">
      <c r="P2124" s="139"/>
    </row>
    <row r="2125" spans="16:16" x14ac:dyDescent="0.2">
      <c r="P2125" s="139"/>
    </row>
    <row r="2126" spans="16:16" x14ac:dyDescent="0.2">
      <c r="P2126" s="139"/>
    </row>
    <row r="2127" spans="16:16" x14ac:dyDescent="0.2">
      <c r="P2127" s="139"/>
    </row>
    <row r="2128" spans="16:16" x14ac:dyDescent="0.2">
      <c r="P2128" s="139"/>
    </row>
    <row r="2129" spans="16:16" x14ac:dyDescent="0.2">
      <c r="P2129" s="139"/>
    </row>
    <row r="2130" spans="16:16" x14ac:dyDescent="0.2">
      <c r="P2130" s="139"/>
    </row>
    <row r="2131" spans="16:16" x14ac:dyDescent="0.2">
      <c r="P2131" s="139"/>
    </row>
    <row r="2132" spans="16:16" x14ac:dyDescent="0.2">
      <c r="P2132" s="139"/>
    </row>
    <row r="2133" spans="16:16" x14ac:dyDescent="0.2">
      <c r="P2133" s="139"/>
    </row>
    <row r="2134" spans="16:16" x14ac:dyDescent="0.2">
      <c r="P2134" s="139"/>
    </row>
    <row r="2135" spans="16:16" x14ac:dyDescent="0.2">
      <c r="P2135" s="139"/>
    </row>
    <row r="2136" spans="16:16" x14ac:dyDescent="0.2">
      <c r="P2136" s="139"/>
    </row>
    <row r="2137" spans="16:16" x14ac:dyDescent="0.2">
      <c r="P2137" s="139"/>
    </row>
    <row r="2138" spans="16:16" x14ac:dyDescent="0.2">
      <c r="P2138" s="139"/>
    </row>
    <row r="2139" spans="16:16" x14ac:dyDescent="0.2">
      <c r="P2139" s="139"/>
    </row>
    <row r="2140" spans="16:16" x14ac:dyDescent="0.2">
      <c r="P2140" s="139"/>
    </row>
    <row r="2141" spans="16:16" x14ac:dyDescent="0.2">
      <c r="P2141" s="139"/>
    </row>
    <row r="2142" spans="16:16" x14ac:dyDescent="0.2">
      <c r="P2142" s="139"/>
    </row>
    <row r="2143" spans="16:16" x14ac:dyDescent="0.2">
      <c r="P2143" s="139"/>
    </row>
    <row r="2144" spans="16:16" x14ac:dyDescent="0.2">
      <c r="P2144" s="139"/>
    </row>
    <row r="2145" spans="16:16" x14ac:dyDescent="0.2">
      <c r="P2145" s="139"/>
    </row>
    <row r="2146" spans="16:16" x14ac:dyDescent="0.2">
      <c r="P2146" s="139"/>
    </row>
    <row r="2147" spans="16:16" x14ac:dyDescent="0.2">
      <c r="P2147" s="139"/>
    </row>
    <row r="2148" spans="16:16" x14ac:dyDescent="0.2">
      <c r="P2148" s="139"/>
    </row>
    <row r="2149" spans="16:16" x14ac:dyDescent="0.2">
      <c r="P2149" s="139"/>
    </row>
    <row r="2150" spans="16:16" x14ac:dyDescent="0.2">
      <c r="P2150" s="139"/>
    </row>
    <row r="2151" spans="16:16" x14ac:dyDescent="0.2">
      <c r="P2151" s="139"/>
    </row>
    <row r="2152" spans="16:16" x14ac:dyDescent="0.2">
      <c r="P2152" s="139"/>
    </row>
    <row r="2153" spans="16:16" x14ac:dyDescent="0.2">
      <c r="P2153" s="139"/>
    </row>
    <row r="2154" spans="16:16" x14ac:dyDescent="0.2">
      <c r="P2154" s="139"/>
    </row>
    <row r="2155" spans="16:16" x14ac:dyDescent="0.2">
      <c r="P2155" s="139"/>
    </row>
    <row r="2156" spans="16:16" x14ac:dyDescent="0.2">
      <c r="P2156" s="139"/>
    </row>
    <row r="2157" spans="16:16" x14ac:dyDescent="0.2">
      <c r="P2157" s="139"/>
    </row>
    <row r="2158" spans="16:16" x14ac:dyDescent="0.2">
      <c r="P2158" s="139"/>
    </row>
    <row r="2159" spans="16:16" x14ac:dyDescent="0.2">
      <c r="P2159" s="139"/>
    </row>
    <row r="2160" spans="16:16" x14ac:dyDescent="0.2">
      <c r="P2160" s="139"/>
    </row>
    <row r="2161" spans="16:16" x14ac:dyDescent="0.2">
      <c r="P2161" s="139"/>
    </row>
    <row r="2162" spans="16:16" x14ac:dyDescent="0.2">
      <c r="P2162" s="139"/>
    </row>
    <row r="2163" spans="16:16" x14ac:dyDescent="0.2">
      <c r="P2163" s="139"/>
    </row>
    <row r="2164" spans="16:16" x14ac:dyDescent="0.2">
      <c r="P2164" s="139"/>
    </row>
    <row r="2165" spans="16:16" x14ac:dyDescent="0.2">
      <c r="P2165" s="139"/>
    </row>
    <row r="2166" spans="16:16" x14ac:dyDescent="0.2">
      <c r="P2166" s="139"/>
    </row>
    <row r="2167" spans="16:16" x14ac:dyDescent="0.2">
      <c r="P2167" s="139"/>
    </row>
    <row r="2168" spans="16:16" x14ac:dyDescent="0.2">
      <c r="P2168" s="139"/>
    </row>
    <row r="2169" spans="16:16" x14ac:dyDescent="0.2">
      <c r="P2169" s="139"/>
    </row>
    <row r="2170" spans="16:16" x14ac:dyDescent="0.2">
      <c r="P2170" s="139"/>
    </row>
    <row r="2171" spans="16:16" x14ac:dyDescent="0.2">
      <c r="P2171" s="139"/>
    </row>
    <row r="2172" spans="16:16" x14ac:dyDescent="0.2">
      <c r="P2172" s="139"/>
    </row>
    <row r="2173" spans="16:16" x14ac:dyDescent="0.2">
      <c r="P2173" s="139"/>
    </row>
    <row r="2174" spans="16:16" x14ac:dyDescent="0.2">
      <c r="P2174" s="139"/>
    </row>
    <row r="2175" spans="16:16" x14ac:dyDescent="0.2">
      <c r="P2175" s="139"/>
    </row>
    <row r="2176" spans="16:16" x14ac:dyDescent="0.2">
      <c r="P2176" s="139"/>
    </row>
    <row r="2177" spans="16:16" x14ac:dyDescent="0.2">
      <c r="P2177" s="139"/>
    </row>
    <row r="2178" spans="16:16" x14ac:dyDescent="0.2">
      <c r="P2178" s="139"/>
    </row>
    <row r="2179" spans="16:16" x14ac:dyDescent="0.2">
      <c r="P2179" s="139"/>
    </row>
    <row r="2180" spans="16:16" x14ac:dyDescent="0.2">
      <c r="P2180" s="139"/>
    </row>
    <row r="2181" spans="16:16" x14ac:dyDescent="0.2">
      <c r="P2181" s="139"/>
    </row>
    <row r="2182" spans="16:16" x14ac:dyDescent="0.2">
      <c r="P2182" s="139"/>
    </row>
    <row r="2183" spans="16:16" x14ac:dyDescent="0.2">
      <c r="P2183" s="139"/>
    </row>
    <row r="2184" spans="16:16" x14ac:dyDescent="0.2">
      <c r="P2184" s="139"/>
    </row>
    <row r="2185" spans="16:16" x14ac:dyDescent="0.2">
      <c r="P2185" s="139"/>
    </row>
    <row r="2186" spans="16:16" x14ac:dyDescent="0.2">
      <c r="P2186" s="139"/>
    </row>
    <row r="2187" spans="16:16" x14ac:dyDescent="0.2">
      <c r="P2187" s="139"/>
    </row>
    <row r="2188" spans="16:16" x14ac:dyDescent="0.2">
      <c r="P2188" s="139"/>
    </row>
    <row r="2189" spans="16:16" x14ac:dyDescent="0.2">
      <c r="P2189" s="139"/>
    </row>
    <row r="2190" spans="16:16" x14ac:dyDescent="0.2">
      <c r="P2190" s="139"/>
    </row>
    <row r="2191" spans="16:16" x14ac:dyDescent="0.2">
      <c r="P2191" s="139"/>
    </row>
    <row r="2192" spans="16:16" x14ac:dyDescent="0.2">
      <c r="P2192" s="139"/>
    </row>
    <row r="2193" spans="16:16" x14ac:dyDescent="0.2">
      <c r="P2193" s="139"/>
    </row>
    <row r="2194" spans="16:16" x14ac:dyDescent="0.2">
      <c r="P2194" s="139"/>
    </row>
    <row r="2195" spans="16:16" x14ac:dyDescent="0.2">
      <c r="P2195" s="139"/>
    </row>
    <row r="2196" spans="16:16" x14ac:dyDescent="0.2">
      <c r="P2196" s="139"/>
    </row>
    <row r="2197" spans="16:16" x14ac:dyDescent="0.2">
      <c r="P2197" s="139"/>
    </row>
    <row r="2198" spans="16:16" x14ac:dyDescent="0.2">
      <c r="P2198" s="139"/>
    </row>
    <row r="2199" spans="16:16" x14ac:dyDescent="0.2">
      <c r="P2199" s="139"/>
    </row>
    <row r="2200" spans="16:16" x14ac:dyDescent="0.2">
      <c r="P2200" s="139"/>
    </row>
    <row r="2201" spans="16:16" x14ac:dyDescent="0.2">
      <c r="P2201" s="139"/>
    </row>
    <row r="2202" spans="16:16" x14ac:dyDescent="0.2">
      <c r="P2202" s="139"/>
    </row>
    <row r="2203" spans="16:16" x14ac:dyDescent="0.2">
      <c r="P2203" s="139"/>
    </row>
    <row r="2204" spans="16:16" x14ac:dyDescent="0.2">
      <c r="P2204" s="139"/>
    </row>
    <row r="2205" spans="16:16" x14ac:dyDescent="0.2">
      <c r="P2205" s="139"/>
    </row>
    <row r="2206" spans="16:16" x14ac:dyDescent="0.2">
      <c r="P2206" s="139"/>
    </row>
    <row r="2207" spans="16:16" x14ac:dyDescent="0.2">
      <c r="P2207" s="139"/>
    </row>
    <row r="2208" spans="16:16" x14ac:dyDescent="0.2">
      <c r="P2208" s="139"/>
    </row>
    <row r="2209" spans="16:16" x14ac:dyDescent="0.2">
      <c r="P2209" s="139"/>
    </row>
    <row r="2210" spans="16:16" x14ac:dyDescent="0.2">
      <c r="P2210" s="139"/>
    </row>
    <row r="2211" spans="16:16" x14ac:dyDescent="0.2">
      <c r="P2211" s="139"/>
    </row>
    <row r="2212" spans="16:16" x14ac:dyDescent="0.2">
      <c r="P2212" s="139"/>
    </row>
    <row r="2213" spans="16:16" x14ac:dyDescent="0.2">
      <c r="P2213" s="139"/>
    </row>
    <row r="2214" spans="16:16" x14ac:dyDescent="0.2">
      <c r="P2214" s="139"/>
    </row>
    <row r="2215" spans="16:16" x14ac:dyDescent="0.2">
      <c r="P2215" s="139"/>
    </row>
    <row r="2216" spans="16:16" x14ac:dyDescent="0.2">
      <c r="P2216" s="139"/>
    </row>
    <row r="2217" spans="16:16" x14ac:dyDescent="0.2">
      <c r="P2217" s="139"/>
    </row>
    <row r="2218" spans="16:16" x14ac:dyDescent="0.2">
      <c r="P2218" s="139"/>
    </row>
    <row r="2219" spans="16:16" x14ac:dyDescent="0.2">
      <c r="P2219" s="139"/>
    </row>
    <row r="2220" spans="16:16" x14ac:dyDescent="0.2">
      <c r="P2220" s="139"/>
    </row>
    <row r="2221" spans="16:16" x14ac:dyDescent="0.2">
      <c r="P2221" s="139"/>
    </row>
    <row r="2222" spans="16:16" x14ac:dyDescent="0.2">
      <c r="P2222" s="139"/>
    </row>
    <row r="2223" spans="16:16" x14ac:dyDescent="0.2">
      <c r="P2223" s="139"/>
    </row>
    <row r="2224" spans="16:16" x14ac:dyDescent="0.2">
      <c r="P2224" s="139"/>
    </row>
    <row r="2225" spans="16:16" x14ac:dyDescent="0.2">
      <c r="P2225" s="139"/>
    </row>
    <row r="2226" spans="16:16" x14ac:dyDescent="0.2">
      <c r="P2226" s="139"/>
    </row>
    <row r="2227" spans="16:16" x14ac:dyDescent="0.2">
      <c r="P2227" s="139"/>
    </row>
    <row r="2228" spans="16:16" x14ac:dyDescent="0.2">
      <c r="P2228" s="139"/>
    </row>
    <row r="2229" spans="16:16" x14ac:dyDescent="0.2">
      <c r="P2229" s="139"/>
    </row>
    <row r="2230" spans="16:16" x14ac:dyDescent="0.2">
      <c r="P2230" s="139"/>
    </row>
    <row r="2231" spans="16:16" x14ac:dyDescent="0.2">
      <c r="P2231" s="139"/>
    </row>
    <row r="2232" spans="16:16" x14ac:dyDescent="0.2">
      <c r="P2232" s="139"/>
    </row>
    <row r="2233" spans="16:16" x14ac:dyDescent="0.2">
      <c r="P2233" s="139"/>
    </row>
    <row r="2234" spans="16:16" x14ac:dyDescent="0.2">
      <c r="P2234" s="139"/>
    </row>
    <row r="2235" spans="16:16" x14ac:dyDescent="0.2">
      <c r="P2235" s="139"/>
    </row>
    <row r="2236" spans="16:16" x14ac:dyDescent="0.2">
      <c r="P2236" s="139"/>
    </row>
    <row r="2237" spans="16:16" x14ac:dyDescent="0.2">
      <c r="P2237" s="139"/>
    </row>
    <row r="2238" spans="16:16" x14ac:dyDescent="0.2">
      <c r="P2238" s="139"/>
    </row>
    <row r="2239" spans="16:16" x14ac:dyDescent="0.2">
      <c r="P2239" s="139"/>
    </row>
    <row r="2240" spans="16:16" x14ac:dyDescent="0.2">
      <c r="P2240" s="139"/>
    </row>
    <row r="2241" spans="16:16" x14ac:dyDescent="0.2">
      <c r="P2241" s="139"/>
    </row>
    <row r="2242" spans="16:16" x14ac:dyDescent="0.2">
      <c r="P2242" s="139"/>
    </row>
    <row r="2243" spans="16:16" x14ac:dyDescent="0.2">
      <c r="P2243" s="139"/>
    </row>
    <row r="2244" spans="16:16" x14ac:dyDescent="0.2">
      <c r="P2244" s="139"/>
    </row>
    <row r="2245" spans="16:16" x14ac:dyDescent="0.2">
      <c r="P2245" s="139"/>
    </row>
    <row r="2246" spans="16:16" x14ac:dyDescent="0.2">
      <c r="P2246" s="139"/>
    </row>
    <row r="2247" spans="16:16" x14ac:dyDescent="0.2">
      <c r="P2247" s="139"/>
    </row>
    <row r="2248" spans="16:16" x14ac:dyDescent="0.2">
      <c r="P2248" s="139"/>
    </row>
    <row r="2249" spans="16:16" x14ac:dyDescent="0.2">
      <c r="P2249" s="139"/>
    </row>
    <row r="2250" spans="16:16" x14ac:dyDescent="0.2">
      <c r="P2250" s="139"/>
    </row>
    <row r="2251" spans="16:16" x14ac:dyDescent="0.2">
      <c r="P2251" s="139"/>
    </row>
    <row r="2252" spans="16:16" x14ac:dyDescent="0.2">
      <c r="P2252" s="139"/>
    </row>
    <row r="2253" spans="16:16" x14ac:dyDescent="0.2">
      <c r="P2253" s="139"/>
    </row>
    <row r="2254" spans="16:16" x14ac:dyDescent="0.2">
      <c r="P2254" s="139"/>
    </row>
    <row r="2255" spans="16:16" x14ac:dyDescent="0.2">
      <c r="P2255" s="139"/>
    </row>
    <row r="2256" spans="16:16" x14ac:dyDescent="0.2">
      <c r="P2256" s="139"/>
    </row>
    <row r="2257" spans="16:16" x14ac:dyDescent="0.2">
      <c r="P2257" s="139"/>
    </row>
    <row r="2258" spans="16:16" x14ac:dyDescent="0.2">
      <c r="P2258" s="139"/>
    </row>
    <row r="2259" spans="16:16" x14ac:dyDescent="0.2">
      <c r="P2259" s="139"/>
    </row>
    <row r="2260" spans="16:16" x14ac:dyDescent="0.2">
      <c r="P2260" s="139"/>
    </row>
    <row r="2261" spans="16:16" x14ac:dyDescent="0.2">
      <c r="P2261" s="139"/>
    </row>
    <row r="2262" spans="16:16" x14ac:dyDescent="0.2">
      <c r="P2262" s="139"/>
    </row>
    <row r="2263" spans="16:16" x14ac:dyDescent="0.2">
      <c r="P2263" s="139"/>
    </row>
    <row r="2264" spans="16:16" x14ac:dyDescent="0.2">
      <c r="P2264" s="139"/>
    </row>
    <row r="2265" spans="16:16" x14ac:dyDescent="0.2">
      <c r="P2265" s="139"/>
    </row>
    <row r="2266" spans="16:16" x14ac:dyDescent="0.2">
      <c r="P2266" s="139"/>
    </row>
    <row r="2267" spans="16:16" x14ac:dyDescent="0.2">
      <c r="P2267" s="139"/>
    </row>
    <row r="2268" spans="16:16" x14ac:dyDescent="0.2">
      <c r="P2268" s="139"/>
    </row>
    <row r="2269" spans="16:16" x14ac:dyDescent="0.2">
      <c r="P2269" s="139"/>
    </row>
    <row r="2270" spans="16:16" x14ac:dyDescent="0.2">
      <c r="P2270" s="139"/>
    </row>
    <row r="2271" spans="16:16" x14ac:dyDescent="0.2">
      <c r="P2271" s="139"/>
    </row>
    <row r="2272" spans="16:16" x14ac:dyDescent="0.2">
      <c r="P2272" s="139"/>
    </row>
    <row r="2273" spans="16:16" x14ac:dyDescent="0.2">
      <c r="P2273" s="139"/>
    </row>
    <row r="2274" spans="16:16" x14ac:dyDescent="0.2">
      <c r="P2274" s="139"/>
    </row>
    <row r="2275" spans="16:16" x14ac:dyDescent="0.2">
      <c r="P2275" s="139"/>
    </row>
    <row r="2276" spans="16:16" x14ac:dyDescent="0.2">
      <c r="P2276" s="139"/>
    </row>
    <row r="2277" spans="16:16" x14ac:dyDescent="0.2">
      <c r="P2277" s="139"/>
    </row>
    <row r="2278" spans="16:16" x14ac:dyDescent="0.2">
      <c r="P2278" s="139"/>
    </row>
    <row r="2279" spans="16:16" x14ac:dyDescent="0.2">
      <c r="P2279" s="139"/>
    </row>
    <row r="2280" spans="16:16" x14ac:dyDescent="0.2">
      <c r="P2280" s="139"/>
    </row>
    <row r="2281" spans="16:16" x14ac:dyDescent="0.2">
      <c r="P2281" s="139"/>
    </row>
    <row r="2282" spans="16:16" x14ac:dyDescent="0.2">
      <c r="P2282" s="139"/>
    </row>
    <row r="2283" spans="16:16" x14ac:dyDescent="0.2">
      <c r="P2283" s="139"/>
    </row>
    <row r="2284" spans="16:16" x14ac:dyDescent="0.2">
      <c r="P2284" s="139"/>
    </row>
    <row r="2285" spans="16:16" x14ac:dyDescent="0.2">
      <c r="P2285" s="139"/>
    </row>
    <row r="2286" spans="16:16" x14ac:dyDescent="0.2">
      <c r="P2286" s="139"/>
    </row>
    <row r="2287" spans="16:16" x14ac:dyDescent="0.2">
      <c r="P2287" s="139"/>
    </row>
    <row r="2288" spans="16:16" x14ac:dyDescent="0.2">
      <c r="P2288" s="139"/>
    </row>
    <row r="2289" spans="16:16" x14ac:dyDescent="0.2">
      <c r="P2289" s="139"/>
    </row>
    <row r="2290" spans="16:16" x14ac:dyDescent="0.2">
      <c r="P2290" s="139"/>
    </row>
    <row r="2291" spans="16:16" x14ac:dyDescent="0.2">
      <c r="P2291" s="139"/>
    </row>
    <row r="2292" spans="16:16" x14ac:dyDescent="0.2">
      <c r="P2292" s="139"/>
    </row>
    <row r="2293" spans="16:16" x14ac:dyDescent="0.2">
      <c r="P2293" s="139"/>
    </row>
    <row r="2294" spans="16:16" x14ac:dyDescent="0.2">
      <c r="P2294" s="139"/>
    </row>
    <row r="2295" spans="16:16" x14ac:dyDescent="0.2">
      <c r="P2295" s="139"/>
    </row>
    <row r="2296" spans="16:16" x14ac:dyDescent="0.2">
      <c r="P2296" s="139"/>
    </row>
    <row r="2297" spans="16:16" x14ac:dyDescent="0.2">
      <c r="P2297" s="139"/>
    </row>
    <row r="2298" spans="16:16" x14ac:dyDescent="0.2">
      <c r="P2298" s="139"/>
    </row>
    <row r="2299" spans="16:16" x14ac:dyDescent="0.2">
      <c r="P2299" s="139"/>
    </row>
    <row r="2300" spans="16:16" x14ac:dyDescent="0.2">
      <c r="P2300" s="139"/>
    </row>
    <row r="2301" spans="16:16" x14ac:dyDescent="0.2">
      <c r="P2301" s="139"/>
    </row>
    <row r="2302" spans="16:16" x14ac:dyDescent="0.2">
      <c r="P2302" s="139"/>
    </row>
    <row r="2303" spans="16:16" x14ac:dyDescent="0.2">
      <c r="P2303" s="139"/>
    </row>
    <row r="2304" spans="16:16" x14ac:dyDescent="0.2">
      <c r="P2304" s="139"/>
    </row>
    <row r="2305" spans="16:16" x14ac:dyDescent="0.2">
      <c r="P2305" s="139"/>
    </row>
    <row r="2306" spans="16:16" x14ac:dyDescent="0.2">
      <c r="P2306" s="139"/>
    </row>
    <row r="2307" spans="16:16" x14ac:dyDescent="0.2">
      <c r="P2307" s="139"/>
    </row>
    <row r="2308" spans="16:16" x14ac:dyDescent="0.2">
      <c r="P2308" s="139"/>
    </row>
    <row r="2309" spans="16:16" x14ac:dyDescent="0.2">
      <c r="P2309" s="139"/>
    </row>
    <row r="2310" spans="16:16" x14ac:dyDescent="0.2">
      <c r="P2310" s="139"/>
    </row>
    <row r="2311" spans="16:16" x14ac:dyDescent="0.2">
      <c r="P2311" s="139"/>
    </row>
    <row r="2312" spans="16:16" x14ac:dyDescent="0.2">
      <c r="P2312" s="139"/>
    </row>
    <row r="2313" spans="16:16" x14ac:dyDescent="0.2">
      <c r="P2313" s="139"/>
    </row>
    <row r="2314" spans="16:16" x14ac:dyDescent="0.2">
      <c r="P2314" s="139"/>
    </row>
    <row r="2315" spans="16:16" x14ac:dyDescent="0.2">
      <c r="P2315" s="139"/>
    </row>
    <row r="2316" spans="16:16" x14ac:dyDescent="0.2">
      <c r="P2316" s="139"/>
    </row>
    <row r="2317" spans="16:16" x14ac:dyDescent="0.2">
      <c r="P2317" s="139"/>
    </row>
    <row r="2318" spans="16:16" x14ac:dyDescent="0.2">
      <c r="P2318" s="139"/>
    </row>
    <row r="2319" spans="16:16" x14ac:dyDescent="0.2">
      <c r="P2319" s="139"/>
    </row>
    <row r="2320" spans="16:16" x14ac:dyDescent="0.2">
      <c r="P2320" s="139"/>
    </row>
    <row r="2321" spans="16:16" x14ac:dyDescent="0.2">
      <c r="P2321" s="139"/>
    </row>
    <row r="2322" spans="16:16" x14ac:dyDescent="0.2">
      <c r="P2322" s="139"/>
    </row>
    <row r="2323" spans="16:16" x14ac:dyDescent="0.2">
      <c r="P2323" s="139"/>
    </row>
    <row r="2324" spans="16:16" x14ac:dyDescent="0.2">
      <c r="P2324" s="139"/>
    </row>
    <row r="2325" spans="16:16" x14ac:dyDescent="0.2">
      <c r="P2325" s="139"/>
    </row>
    <row r="2326" spans="16:16" x14ac:dyDescent="0.2">
      <c r="P2326" s="139"/>
    </row>
    <row r="2327" spans="16:16" x14ac:dyDescent="0.2">
      <c r="P2327" s="139"/>
    </row>
    <row r="2328" spans="16:16" x14ac:dyDescent="0.2">
      <c r="P2328" s="139"/>
    </row>
    <row r="2329" spans="16:16" x14ac:dyDescent="0.2">
      <c r="P2329" s="139"/>
    </row>
    <row r="2330" spans="16:16" x14ac:dyDescent="0.2">
      <c r="P2330" s="139"/>
    </row>
    <row r="2331" spans="16:16" x14ac:dyDescent="0.2">
      <c r="P2331" s="139"/>
    </row>
    <row r="2332" spans="16:16" x14ac:dyDescent="0.2">
      <c r="P2332" s="139"/>
    </row>
    <row r="2333" spans="16:16" x14ac:dyDescent="0.2">
      <c r="P2333" s="139"/>
    </row>
    <row r="2334" spans="16:16" x14ac:dyDescent="0.2">
      <c r="P2334" s="139"/>
    </row>
    <row r="2335" spans="16:16" x14ac:dyDescent="0.2">
      <c r="P2335" s="139"/>
    </row>
    <row r="2336" spans="16:16" x14ac:dyDescent="0.2">
      <c r="P2336" s="139"/>
    </row>
    <row r="2337" spans="16:16" x14ac:dyDescent="0.2">
      <c r="P2337" s="139"/>
    </row>
    <row r="2338" spans="16:16" x14ac:dyDescent="0.2">
      <c r="P2338" s="139"/>
    </row>
    <row r="2339" spans="16:16" x14ac:dyDescent="0.2">
      <c r="P2339" s="139"/>
    </row>
    <row r="2340" spans="16:16" x14ac:dyDescent="0.2">
      <c r="P2340" s="139"/>
    </row>
    <row r="2341" spans="16:16" x14ac:dyDescent="0.2">
      <c r="P2341" s="139"/>
    </row>
    <row r="2342" spans="16:16" x14ac:dyDescent="0.2">
      <c r="P2342" s="139"/>
    </row>
    <row r="2343" spans="16:16" x14ac:dyDescent="0.2">
      <c r="P2343" s="139"/>
    </row>
    <row r="2344" spans="16:16" x14ac:dyDescent="0.2">
      <c r="P2344" s="139"/>
    </row>
    <row r="2345" spans="16:16" x14ac:dyDescent="0.2">
      <c r="P2345" s="139"/>
    </row>
    <row r="2346" spans="16:16" x14ac:dyDescent="0.2">
      <c r="P2346" s="139"/>
    </row>
    <row r="2347" spans="16:16" x14ac:dyDescent="0.2">
      <c r="P2347" s="139"/>
    </row>
    <row r="2348" spans="16:16" x14ac:dyDescent="0.2">
      <c r="P2348" s="139"/>
    </row>
    <row r="2349" spans="16:16" x14ac:dyDescent="0.2">
      <c r="P2349" s="139"/>
    </row>
    <row r="2350" spans="16:16" x14ac:dyDescent="0.2">
      <c r="P2350" s="139"/>
    </row>
    <row r="2351" spans="16:16" x14ac:dyDescent="0.2">
      <c r="P2351" s="139"/>
    </row>
    <row r="2352" spans="16:16" x14ac:dyDescent="0.2">
      <c r="P2352" s="139"/>
    </row>
    <row r="2353" spans="16:16" x14ac:dyDescent="0.2">
      <c r="P2353" s="139"/>
    </row>
    <row r="2354" spans="16:16" x14ac:dyDescent="0.2">
      <c r="P2354" s="139"/>
    </row>
    <row r="2355" spans="16:16" x14ac:dyDescent="0.2">
      <c r="P2355" s="139"/>
    </row>
    <row r="2356" spans="16:16" x14ac:dyDescent="0.2">
      <c r="P2356" s="139"/>
    </row>
    <row r="2357" spans="16:16" x14ac:dyDescent="0.2">
      <c r="P2357" s="139"/>
    </row>
    <row r="2358" spans="16:16" x14ac:dyDescent="0.2">
      <c r="P2358" s="139"/>
    </row>
    <row r="2359" spans="16:16" x14ac:dyDescent="0.2">
      <c r="P2359" s="139"/>
    </row>
    <row r="2360" spans="16:16" x14ac:dyDescent="0.2">
      <c r="P2360" s="139"/>
    </row>
    <row r="2361" spans="16:16" x14ac:dyDescent="0.2">
      <c r="P2361" s="139"/>
    </row>
    <row r="2362" spans="16:16" x14ac:dyDescent="0.2">
      <c r="P2362" s="139"/>
    </row>
    <row r="2363" spans="16:16" x14ac:dyDescent="0.2">
      <c r="P2363" s="139"/>
    </row>
    <row r="2364" spans="16:16" x14ac:dyDescent="0.2">
      <c r="P2364" s="139"/>
    </row>
    <row r="2365" spans="16:16" x14ac:dyDescent="0.2">
      <c r="P2365" s="139"/>
    </row>
    <row r="2366" spans="16:16" x14ac:dyDescent="0.2">
      <c r="P2366" s="139"/>
    </row>
    <row r="2367" spans="16:16" x14ac:dyDescent="0.2">
      <c r="P2367" s="139"/>
    </row>
    <row r="2368" spans="16:16" x14ac:dyDescent="0.2">
      <c r="P2368" s="139"/>
    </row>
    <row r="2369" spans="16:16" x14ac:dyDescent="0.2">
      <c r="P2369" s="139"/>
    </row>
    <row r="2370" spans="16:16" x14ac:dyDescent="0.2">
      <c r="P2370" s="139"/>
    </row>
    <row r="2371" spans="16:16" x14ac:dyDescent="0.2">
      <c r="P2371" s="139"/>
    </row>
    <row r="2372" spans="16:16" x14ac:dyDescent="0.2">
      <c r="P2372" s="139"/>
    </row>
    <row r="2373" spans="16:16" x14ac:dyDescent="0.2">
      <c r="P2373" s="139"/>
    </row>
    <row r="2374" spans="16:16" x14ac:dyDescent="0.2">
      <c r="P2374" s="139"/>
    </row>
    <row r="2375" spans="16:16" x14ac:dyDescent="0.2">
      <c r="P2375" s="139"/>
    </row>
    <row r="2376" spans="16:16" x14ac:dyDescent="0.2">
      <c r="P2376" s="139"/>
    </row>
    <row r="2377" spans="16:16" x14ac:dyDescent="0.2">
      <c r="P2377" s="139"/>
    </row>
    <row r="2378" spans="16:16" x14ac:dyDescent="0.2">
      <c r="P2378" s="139"/>
    </row>
    <row r="2379" spans="16:16" x14ac:dyDescent="0.2">
      <c r="P2379" s="139"/>
    </row>
    <row r="2380" spans="16:16" x14ac:dyDescent="0.2">
      <c r="P2380" s="139"/>
    </row>
    <row r="2381" spans="16:16" x14ac:dyDescent="0.2">
      <c r="P2381" s="139"/>
    </row>
    <row r="2382" spans="16:16" x14ac:dyDescent="0.2">
      <c r="P2382" s="139"/>
    </row>
    <row r="2383" spans="16:16" x14ac:dyDescent="0.2">
      <c r="P2383" s="139"/>
    </row>
    <row r="2384" spans="16:16" x14ac:dyDescent="0.2">
      <c r="P2384" s="139"/>
    </row>
    <row r="2385" spans="16:16" x14ac:dyDescent="0.2">
      <c r="P2385" s="139"/>
    </row>
    <row r="2386" spans="16:16" x14ac:dyDescent="0.2">
      <c r="P2386" s="139"/>
    </row>
    <row r="2387" spans="16:16" x14ac:dyDescent="0.2">
      <c r="P2387" s="139"/>
    </row>
    <row r="2388" spans="16:16" x14ac:dyDescent="0.2">
      <c r="P2388" s="139"/>
    </row>
    <row r="2389" spans="16:16" x14ac:dyDescent="0.2">
      <c r="P2389" s="139"/>
    </row>
    <row r="2390" spans="16:16" x14ac:dyDescent="0.2">
      <c r="P2390" s="139"/>
    </row>
    <row r="2391" spans="16:16" x14ac:dyDescent="0.2">
      <c r="P2391" s="139"/>
    </row>
    <row r="2392" spans="16:16" x14ac:dyDescent="0.2">
      <c r="P2392" s="139"/>
    </row>
    <row r="2393" spans="16:16" x14ac:dyDescent="0.2">
      <c r="P2393" s="139"/>
    </row>
    <row r="2394" spans="16:16" x14ac:dyDescent="0.2">
      <c r="P2394" s="139"/>
    </row>
    <row r="2395" spans="16:16" x14ac:dyDescent="0.2">
      <c r="P2395" s="139"/>
    </row>
    <row r="2396" spans="16:16" x14ac:dyDescent="0.2">
      <c r="P2396" s="139"/>
    </row>
    <row r="2397" spans="16:16" x14ac:dyDescent="0.2">
      <c r="P2397" s="139"/>
    </row>
    <row r="2398" spans="16:16" x14ac:dyDescent="0.2">
      <c r="P2398" s="139"/>
    </row>
    <row r="2399" spans="16:16" x14ac:dyDescent="0.2">
      <c r="P2399" s="139"/>
    </row>
    <row r="2400" spans="16:16" x14ac:dyDescent="0.2">
      <c r="P2400" s="139"/>
    </row>
    <row r="2401" spans="16:16" x14ac:dyDescent="0.2">
      <c r="P2401" s="139"/>
    </row>
    <row r="2402" spans="16:16" x14ac:dyDescent="0.2">
      <c r="P2402" s="139"/>
    </row>
    <row r="2403" spans="16:16" x14ac:dyDescent="0.2">
      <c r="P2403" s="139"/>
    </row>
    <row r="2404" spans="16:16" x14ac:dyDescent="0.2">
      <c r="P2404" s="139"/>
    </row>
    <row r="2405" spans="16:16" x14ac:dyDescent="0.2">
      <c r="P2405" s="139"/>
    </row>
    <row r="2406" spans="16:16" x14ac:dyDescent="0.2">
      <c r="P2406" s="139"/>
    </row>
    <row r="2407" spans="16:16" x14ac:dyDescent="0.2">
      <c r="P2407" s="139"/>
    </row>
    <row r="2408" spans="16:16" x14ac:dyDescent="0.2">
      <c r="P2408" s="139"/>
    </row>
    <row r="2409" spans="16:16" x14ac:dyDescent="0.2">
      <c r="P2409" s="139"/>
    </row>
    <row r="2410" spans="16:16" x14ac:dyDescent="0.2">
      <c r="P2410" s="139"/>
    </row>
    <row r="2411" spans="16:16" x14ac:dyDescent="0.2">
      <c r="P2411" s="139"/>
    </row>
    <row r="2412" spans="16:16" x14ac:dyDescent="0.2">
      <c r="P2412" s="139"/>
    </row>
    <row r="2413" spans="16:16" x14ac:dyDescent="0.2">
      <c r="P2413" s="139"/>
    </row>
    <row r="2414" spans="16:16" x14ac:dyDescent="0.2">
      <c r="P2414" s="139"/>
    </row>
    <row r="2415" spans="16:16" x14ac:dyDescent="0.2">
      <c r="P2415" s="139"/>
    </row>
    <row r="2416" spans="16:16" x14ac:dyDescent="0.2">
      <c r="P2416" s="139"/>
    </row>
    <row r="2417" spans="16:16" x14ac:dyDescent="0.2">
      <c r="P2417" s="139"/>
    </row>
    <row r="2418" spans="16:16" x14ac:dyDescent="0.2">
      <c r="P2418" s="139"/>
    </row>
    <row r="2419" spans="16:16" x14ac:dyDescent="0.2">
      <c r="P2419" s="139"/>
    </row>
    <row r="2420" spans="16:16" x14ac:dyDescent="0.2">
      <c r="P2420" s="139"/>
    </row>
    <row r="2421" spans="16:16" x14ac:dyDescent="0.2">
      <c r="P2421" s="139"/>
    </row>
    <row r="2422" spans="16:16" x14ac:dyDescent="0.2">
      <c r="P2422" s="139"/>
    </row>
    <row r="2423" spans="16:16" x14ac:dyDescent="0.2">
      <c r="P2423" s="139"/>
    </row>
    <row r="2424" spans="16:16" x14ac:dyDescent="0.2">
      <c r="P2424" s="139"/>
    </row>
    <row r="2425" spans="16:16" x14ac:dyDescent="0.2">
      <c r="P2425" s="139"/>
    </row>
    <row r="2426" spans="16:16" x14ac:dyDescent="0.2">
      <c r="P2426" s="139"/>
    </row>
    <row r="2427" spans="16:16" x14ac:dyDescent="0.2">
      <c r="P2427" s="139"/>
    </row>
    <row r="2428" spans="16:16" x14ac:dyDescent="0.2">
      <c r="P2428" s="139"/>
    </row>
    <row r="2429" spans="16:16" x14ac:dyDescent="0.2">
      <c r="P2429" s="139"/>
    </row>
    <row r="2430" spans="16:16" x14ac:dyDescent="0.2">
      <c r="P2430" s="139"/>
    </row>
    <row r="2431" spans="16:16" x14ac:dyDescent="0.2">
      <c r="P2431" s="139"/>
    </row>
    <row r="2432" spans="16:16" x14ac:dyDescent="0.2">
      <c r="P2432" s="139"/>
    </row>
    <row r="2433" spans="16:16" x14ac:dyDescent="0.2">
      <c r="P2433" s="139"/>
    </row>
    <row r="2434" spans="16:16" x14ac:dyDescent="0.2">
      <c r="P2434" s="139"/>
    </row>
    <row r="2435" spans="16:16" x14ac:dyDescent="0.2">
      <c r="P2435" s="139"/>
    </row>
    <row r="2436" spans="16:16" x14ac:dyDescent="0.2">
      <c r="P2436" s="139"/>
    </row>
    <row r="2437" spans="16:16" x14ac:dyDescent="0.2">
      <c r="P2437" s="139"/>
    </row>
    <row r="2438" spans="16:16" x14ac:dyDescent="0.2">
      <c r="P2438" s="139"/>
    </row>
    <row r="2439" spans="16:16" x14ac:dyDescent="0.2">
      <c r="P2439" s="139"/>
    </row>
    <row r="2440" spans="16:16" x14ac:dyDescent="0.2">
      <c r="P2440" s="139"/>
    </row>
    <row r="2441" spans="16:16" x14ac:dyDescent="0.2">
      <c r="P2441" s="139"/>
    </row>
    <row r="2442" spans="16:16" x14ac:dyDescent="0.2">
      <c r="P2442" s="139"/>
    </row>
    <row r="2443" spans="16:16" x14ac:dyDescent="0.2">
      <c r="P2443" s="139"/>
    </row>
    <row r="2444" spans="16:16" x14ac:dyDescent="0.2">
      <c r="P2444" s="139"/>
    </row>
    <row r="2445" spans="16:16" x14ac:dyDescent="0.2">
      <c r="P2445" s="139"/>
    </row>
    <row r="2446" spans="16:16" x14ac:dyDescent="0.2">
      <c r="P2446" s="139"/>
    </row>
    <row r="2447" spans="16:16" x14ac:dyDescent="0.2">
      <c r="P2447" s="139"/>
    </row>
    <row r="2448" spans="16:16" x14ac:dyDescent="0.2">
      <c r="P2448" s="139"/>
    </row>
    <row r="2449" spans="16:16" x14ac:dyDescent="0.2">
      <c r="P2449" s="139"/>
    </row>
    <row r="2450" spans="16:16" x14ac:dyDescent="0.2">
      <c r="P2450" s="139"/>
    </row>
    <row r="2451" spans="16:16" x14ac:dyDescent="0.2">
      <c r="P2451" s="139"/>
    </row>
    <row r="2452" spans="16:16" x14ac:dyDescent="0.2">
      <c r="P2452" s="139"/>
    </row>
    <row r="2453" spans="16:16" x14ac:dyDescent="0.2">
      <c r="P2453" s="139"/>
    </row>
    <row r="2454" spans="16:16" x14ac:dyDescent="0.2">
      <c r="P2454" s="139"/>
    </row>
    <row r="2455" spans="16:16" x14ac:dyDescent="0.2">
      <c r="P2455" s="139"/>
    </row>
    <row r="2456" spans="16:16" x14ac:dyDescent="0.2">
      <c r="P2456" s="139"/>
    </row>
    <row r="2457" spans="16:16" x14ac:dyDescent="0.2">
      <c r="P2457" s="139"/>
    </row>
    <row r="2458" spans="16:16" x14ac:dyDescent="0.2">
      <c r="P2458" s="139"/>
    </row>
    <row r="2459" spans="16:16" x14ac:dyDescent="0.2">
      <c r="P2459" s="139"/>
    </row>
    <row r="2460" spans="16:16" x14ac:dyDescent="0.2">
      <c r="P2460" s="139"/>
    </row>
    <row r="2461" spans="16:16" x14ac:dyDescent="0.2">
      <c r="P2461" s="139"/>
    </row>
    <row r="2462" spans="16:16" x14ac:dyDescent="0.2">
      <c r="P2462" s="139"/>
    </row>
    <row r="2463" spans="16:16" x14ac:dyDescent="0.2">
      <c r="P2463" s="139"/>
    </row>
    <row r="2464" spans="16:16" x14ac:dyDescent="0.2">
      <c r="P2464" s="139"/>
    </row>
    <row r="2465" spans="16:16" x14ac:dyDescent="0.2">
      <c r="P2465" s="139"/>
    </row>
    <row r="2466" spans="16:16" x14ac:dyDescent="0.2">
      <c r="P2466" s="139"/>
    </row>
    <row r="2467" spans="16:16" x14ac:dyDescent="0.2">
      <c r="P2467" s="139"/>
    </row>
    <row r="2468" spans="16:16" x14ac:dyDescent="0.2">
      <c r="P2468" s="139"/>
    </row>
    <row r="2469" spans="16:16" x14ac:dyDescent="0.2">
      <c r="P2469" s="139"/>
    </row>
    <row r="2470" spans="16:16" x14ac:dyDescent="0.2">
      <c r="P2470" s="139"/>
    </row>
    <row r="2471" spans="16:16" x14ac:dyDescent="0.2">
      <c r="P2471" s="139"/>
    </row>
    <row r="2472" spans="16:16" x14ac:dyDescent="0.2">
      <c r="P2472" s="139"/>
    </row>
    <row r="2473" spans="16:16" x14ac:dyDescent="0.2">
      <c r="P2473" s="139"/>
    </row>
    <row r="2474" spans="16:16" x14ac:dyDescent="0.2">
      <c r="P2474" s="139"/>
    </row>
    <row r="2475" spans="16:16" x14ac:dyDescent="0.2">
      <c r="P2475" s="139"/>
    </row>
    <row r="2476" spans="16:16" x14ac:dyDescent="0.2">
      <c r="P2476" s="139"/>
    </row>
    <row r="2477" spans="16:16" x14ac:dyDescent="0.2">
      <c r="P2477" s="139"/>
    </row>
    <row r="2478" spans="16:16" x14ac:dyDescent="0.2">
      <c r="P2478" s="139"/>
    </row>
    <row r="2479" spans="16:16" x14ac:dyDescent="0.2">
      <c r="P2479" s="139"/>
    </row>
    <row r="2480" spans="16:16" x14ac:dyDescent="0.2">
      <c r="P2480" s="139"/>
    </row>
    <row r="2481" spans="16:16" x14ac:dyDescent="0.2">
      <c r="P2481" s="139"/>
    </row>
    <row r="2482" spans="16:16" x14ac:dyDescent="0.2">
      <c r="P2482" s="139"/>
    </row>
    <row r="2483" spans="16:16" x14ac:dyDescent="0.2">
      <c r="P2483" s="139"/>
    </row>
    <row r="2484" spans="16:16" x14ac:dyDescent="0.2">
      <c r="P2484" s="139"/>
    </row>
    <row r="2485" spans="16:16" x14ac:dyDescent="0.2">
      <c r="P2485" s="139"/>
    </row>
    <row r="2486" spans="16:16" x14ac:dyDescent="0.2">
      <c r="P2486" s="139"/>
    </row>
    <row r="2487" spans="16:16" x14ac:dyDescent="0.2">
      <c r="P2487" s="139"/>
    </row>
    <row r="2488" spans="16:16" x14ac:dyDescent="0.2">
      <c r="P2488" s="139"/>
    </row>
    <row r="2489" spans="16:16" x14ac:dyDescent="0.2">
      <c r="P2489" s="139"/>
    </row>
    <row r="2490" spans="16:16" x14ac:dyDescent="0.2">
      <c r="P2490" s="139"/>
    </row>
    <row r="2491" spans="16:16" x14ac:dyDescent="0.2">
      <c r="P2491" s="139"/>
    </row>
    <row r="2492" spans="16:16" x14ac:dyDescent="0.2">
      <c r="P2492" s="139"/>
    </row>
    <row r="2493" spans="16:16" x14ac:dyDescent="0.2">
      <c r="P2493" s="139"/>
    </row>
    <row r="2494" spans="16:16" x14ac:dyDescent="0.2">
      <c r="P2494" s="139"/>
    </row>
    <row r="2495" spans="16:16" x14ac:dyDescent="0.2">
      <c r="P2495" s="139"/>
    </row>
    <row r="2496" spans="16:16" x14ac:dyDescent="0.2">
      <c r="P2496" s="139"/>
    </row>
    <row r="2497" spans="16:16" x14ac:dyDescent="0.2">
      <c r="P2497" s="139"/>
    </row>
    <row r="2498" spans="16:16" x14ac:dyDescent="0.2">
      <c r="P2498" s="139"/>
    </row>
    <row r="2499" spans="16:16" x14ac:dyDescent="0.2">
      <c r="P2499" s="139"/>
    </row>
    <row r="2500" spans="16:16" x14ac:dyDescent="0.2">
      <c r="P2500" s="139"/>
    </row>
    <row r="2501" spans="16:16" x14ac:dyDescent="0.2">
      <c r="P2501" s="139"/>
    </row>
    <row r="2502" spans="16:16" x14ac:dyDescent="0.2">
      <c r="P2502" s="139"/>
    </row>
    <row r="2503" spans="16:16" x14ac:dyDescent="0.2">
      <c r="P2503" s="139"/>
    </row>
    <row r="2504" spans="16:16" x14ac:dyDescent="0.2">
      <c r="P2504" s="139"/>
    </row>
    <row r="2505" spans="16:16" x14ac:dyDescent="0.2">
      <c r="P2505" s="139"/>
    </row>
    <row r="2506" spans="16:16" x14ac:dyDescent="0.2">
      <c r="P2506" s="139"/>
    </row>
    <row r="2507" spans="16:16" x14ac:dyDescent="0.2">
      <c r="P2507" s="139"/>
    </row>
    <row r="2508" spans="16:16" x14ac:dyDescent="0.2">
      <c r="P2508" s="139"/>
    </row>
    <row r="2509" spans="16:16" x14ac:dyDescent="0.2">
      <c r="P2509" s="139"/>
    </row>
    <row r="2510" spans="16:16" x14ac:dyDescent="0.2">
      <c r="P2510" s="139"/>
    </row>
    <row r="2511" spans="16:16" x14ac:dyDescent="0.2">
      <c r="P2511" s="139"/>
    </row>
    <row r="2512" spans="16:16" x14ac:dyDescent="0.2">
      <c r="P2512" s="139"/>
    </row>
    <row r="2513" spans="16:16" x14ac:dyDescent="0.2">
      <c r="P2513" s="139"/>
    </row>
    <row r="2514" spans="16:16" x14ac:dyDescent="0.2">
      <c r="P2514" s="139"/>
    </row>
    <row r="2515" spans="16:16" x14ac:dyDescent="0.2">
      <c r="P2515" s="139"/>
    </row>
    <row r="2516" spans="16:16" x14ac:dyDescent="0.2">
      <c r="P2516" s="139"/>
    </row>
    <row r="2517" spans="16:16" x14ac:dyDescent="0.2">
      <c r="P2517" s="139"/>
    </row>
    <row r="2518" spans="16:16" x14ac:dyDescent="0.2">
      <c r="P2518" s="139"/>
    </row>
    <row r="2519" spans="16:16" x14ac:dyDescent="0.2">
      <c r="P2519" s="139"/>
    </row>
    <row r="2520" spans="16:16" x14ac:dyDescent="0.2">
      <c r="P2520" s="139"/>
    </row>
    <row r="2521" spans="16:16" x14ac:dyDescent="0.2">
      <c r="P2521" s="139"/>
    </row>
    <row r="2522" spans="16:16" x14ac:dyDescent="0.2">
      <c r="P2522" s="139"/>
    </row>
    <row r="2523" spans="16:16" x14ac:dyDescent="0.2">
      <c r="P2523" s="139"/>
    </row>
    <row r="2524" spans="16:16" x14ac:dyDescent="0.2">
      <c r="P2524" s="139"/>
    </row>
    <row r="2525" spans="16:16" x14ac:dyDescent="0.2">
      <c r="P2525" s="139"/>
    </row>
    <row r="2526" spans="16:16" x14ac:dyDescent="0.2">
      <c r="P2526" s="139"/>
    </row>
    <row r="2527" spans="16:16" x14ac:dyDescent="0.2">
      <c r="P2527" s="139"/>
    </row>
    <row r="2528" spans="16:16" x14ac:dyDescent="0.2">
      <c r="P2528" s="139"/>
    </row>
    <row r="2529" spans="16:16" x14ac:dyDescent="0.2">
      <c r="P2529" s="139"/>
    </row>
    <row r="2530" spans="16:16" x14ac:dyDescent="0.2">
      <c r="P2530" s="139"/>
    </row>
    <row r="2531" spans="16:16" x14ac:dyDescent="0.2">
      <c r="P2531" s="139"/>
    </row>
    <row r="2532" spans="16:16" x14ac:dyDescent="0.2">
      <c r="P2532" s="139"/>
    </row>
    <row r="2533" spans="16:16" x14ac:dyDescent="0.2">
      <c r="P2533" s="139"/>
    </row>
    <row r="2534" spans="16:16" x14ac:dyDescent="0.2">
      <c r="P2534" s="139"/>
    </row>
    <row r="2535" spans="16:16" x14ac:dyDescent="0.2">
      <c r="P2535" s="139"/>
    </row>
    <row r="2536" spans="16:16" x14ac:dyDescent="0.2">
      <c r="P2536" s="139"/>
    </row>
    <row r="2537" spans="16:16" x14ac:dyDescent="0.2">
      <c r="P2537" s="139"/>
    </row>
    <row r="2538" spans="16:16" x14ac:dyDescent="0.2">
      <c r="P2538" s="139"/>
    </row>
    <row r="2539" spans="16:16" x14ac:dyDescent="0.2">
      <c r="P2539" s="139"/>
    </row>
    <row r="2540" spans="16:16" x14ac:dyDescent="0.2">
      <c r="P2540" s="139"/>
    </row>
    <row r="2541" spans="16:16" x14ac:dyDescent="0.2">
      <c r="P2541" s="139"/>
    </row>
    <row r="2542" spans="16:16" x14ac:dyDescent="0.2">
      <c r="P2542" s="139"/>
    </row>
    <row r="2543" spans="16:16" x14ac:dyDescent="0.2">
      <c r="P2543" s="139"/>
    </row>
    <row r="2544" spans="16:16" x14ac:dyDescent="0.2">
      <c r="P2544" s="139"/>
    </row>
    <row r="2545" spans="16:16" x14ac:dyDescent="0.2">
      <c r="P2545" s="139"/>
    </row>
    <row r="2546" spans="16:16" x14ac:dyDescent="0.2">
      <c r="P2546" s="139"/>
    </row>
    <row r="2547" spans="16:16" x14ac:dyDescent="0.2">
      <c r="P2547" s="139"/>
    </row>
    <row r="2548" spans="16:16" x14ac:dyDescent="0.2">
      <c r="P2548" s="139"/>
    </row>
    <row r="2549" spans="16:16" x14ac:dyDescent="0.2">
      <c r="P2549" s="139"/>
    </row>
    <row r="2550" spans="16:16" x14ac:dyDescent="0.2">
      <c r="P2550" s="139"/>
    </row>
    <row r="2551" spans="16:16" x14ac:dyDescent="0.2">
      <c r="P2551" s="139"/>
    </row>
    <row r="2552" spans="16:16" x14ac:dyDescent="0.2">
      <c r="P2552" s="139"/>
    </row>
    <row r="2553" spans="16:16" x14ac:dyDescent="0.2">
      <c r="P2553" s="139"/>
    </row>
    <row r="2554" spans="16:16" x14ac:dyDescent="0.2">
      <c r="P2554" s="139"/>
    </row>
    <row r="2555" spans="16:16" x14ac:dyDescent="0.2">
      <c r="P2555" s="139"/>
    </row>
    <row r="2556" spans="16:16" x14ac:dyDescent="0.2">
      <c r="P2556" s="139"/>
    </row>
    <row r="2557" spans="16:16" x14ac:dyDescent="0.2">
      <c r="P2557" s="139"/>
    </row>
    <row r="2558" spans="16:16" x14ac:dyDescent="0.2">
      <c r="P2558" s="139"/>
    </row>
    <row r="2559" spans="16:16" x14ac:dyDescent="0.2">
      <c r="P2559" s="139"/>
    </row>
    <row r="2560" spans="16:16" x14ac:dyDescent="0.2">
      <c r="P2560" s="139"/>
    </row>
    <row r="2561" spans="16:16" x14ac:dyDescent="0.2">
      <c r="P2561" s="139"/>
    </row>
    <row r="2562" spans="16:16" x14ac:dyDescent="0.2">
      <c r="P2562" s="139"/>
    </row>
    <row r="2563" spans="16:16" x14ac:dyDescent="0.2">
      <c r="P2563" s="139"/>
    </row>
    <row r="2564" spans="16:16" x14ac:dyDescent="0.2">
      <c r="P2564" s="139"/>
    </row>
    <row r="2565" spans="16:16" x14ac:dyDescent="0.2">
      <c r="P2565" s="139"/>
    </row>
    <row r="2566" spans="16:16" x14ac:dyDescent="0.2">
      <c r="P2566" s="139"/>
    </row>
    <row r="2567" spans="16:16" x14ac:dyDescent="0.2">
      <c r="P2567" s="139"/>
    </row>
    <row r="2568" spans="16:16" x14ac:dyDescent="0.2">
      <c r="P2568" s="139"/>
    </row>
    <row r="2569" spans="16:16" x14ac:dyDescent="0.2">
      <c r="P2569" s="139"/>
    </row>
    <row r="2570" spans="16:16" x14ac:dyDescent="0.2">
      <c r="P2570" s="139"/>
    </row>
    <row r="2571" spans="16:16" x14ac:dyDescent="0.2">
      <c r="P2571" s="139"/>
    </row>
    <row r="2572" spans="16:16" x14ac:dyDescent="0.2">
      <c r="P2572" s="139"/>
    </row>
    <row r="2573" spans="16:16" x14ac:dyDescent="0.2">
      <c r="P2573" s="139"/>
    </row>
    <row r="2574" spans="16:16" x14ac:dyDescent="0.2">
      <c r="P2574" s="139"/>
    </row>
    <row r="2575" spans="16:16" x14ac:dyDescent="0.2">
      <c r="P2575" s="139"/>
    </row>
    <row r="2576" spans="16:16" x14ac:dyDescent="0.2">
      <c r="P2576" s="139"/>
    </row>
    <row r="2577" spans="16:16" x14ac:dyDescent="0.2">
      <c r="P2577" s="139"/>
    </row>
    <row r="2578" spans="16:16" x14ac:dyDescent="0.2">
      <c r="P2578" s="139"/>
    </row>
    <row r="2579" spans="16:16" x14ac:dyDescent="0.2">
      <c r="P2579" s="139"/>
    </row>
    <row r="2580" spans="16:16" x14ac:dyDescent="0.2">
      <c r="P2580" s="139"/>
    </row>
    <row r="2581" spans="16:16" x14ac:dyDescent="0.2">
      <c r="P2581" s="139"/>
    </row>
    <row r="2582" spans="16:16" x14ac:dyDescent="0.2">
      <c r="P2582" s="139"/>
    </row>
    <row r="2583" spans="16:16" x14ac:dyDescent="0.2">
      <c r="P2583" s="139"/>
    </row>
    <row r="2584" spans="16:16" x14ac:dyDescent="0.2">
      <c r="P2584" s="139"/>
    </row>
    <row r="2585" spans="16:16" x14ac:dyDescent="0.2">
      <c r="P2585" s="139"/>
    </row>
    <row r="2586" spans="16:16" x14ac:dyDescent="0.2">
      <c r="P2586" s="139"/>
    </row>
    <row r="2587" spans="16:16" x14ac:dyDescent="0.2">
      <c r="P2587" s="139"/>
    </row>
    <row r="2588" spans="16:16" x14ac:dyDescent="0.2">
      <c r="P2588" s="139"/>
    </row>
    <row r="2589" spans="16:16" x14ac:dyDescent="0.2">
      <c r="P2589" s="139"/>
    </row>
    <row r="2590" spans="16:16" x14ac:dyDescent="0.2">
      <c r="P2590" s="139"/>
    </row>
    <row r="2591" spans="16:16" x14ac:dyDescent="0.2">
      <c r="P2591" s="139"/>
    </row>
    <row r="2592" spans="16:16" x14ac:dyDescent="0.2">
      <c r="P2592" s="139"/>
    </row>
    <row r="2593" spans="16:16" x14ac:dyDescent="0.2">
      <c r="P2593" s="139"/>
    </row>
    <row r="2594" spans="16:16" x14ac:dyDescent="0.2">
      <c r="P2594" s="139"/>
    </row>
    <row r="2595" spans="16:16" x14ac:dyDescent="0.2">
      <c r="P2595" s="139"/>
    </row>
    <row r="2596" spans="16:16" x14ac:dyDescent="0.2">
      <c r="P2596" s="139"/>
    </row>
    <row r="2597" spans="16:16" x14ac:dyDescent="0.2">
      <c r="P2597" s="139"/>
    </row>
    <row r="2598" spans="16:16" x14ac:dyDescent="0.2">
      <c r="P2598" s="139"/>
    </row>
    <row r="2599" spans="16:16" x14ac:dyDescent="0.2">
      <c r="P2599" s="139"/>
    </row>
    <row r="2600" spans="16:16" x14ac:dyDescent="0.2">
      <c r="P2600" s="139"/>
    </row>
    <row r="2601" spans="16:16" x14ac:dyDescent="0.2">
      <c r="P2601" s="139"/>
    </row>
    <row r="2602" spans="16:16" x14ac:dyDescent="0.2">
      <c r="P2602" s="139"/>
    </row>
    <row r="2603" spans="16:16" x14ac:dyDescent="0.2">
      <c r="P2603" s="139"/>
    </row>
    <row r="2604" spans="16:16" x14ac:dyDescent="0.2">
      <c r="P2604" s="139"/>
    </row>
    <row r="2605" spans="16:16" x14ac:dyDescent="0.2">
      <c r="P2605" s="139"/>
    </row>
    <row r="2606" spans="16:16" x14ac:dyDescent="0.2">
      <c r="P2606" s="139"/>
    </row>
    <row r="2607" spans="16:16" x14ac:dyDescent="0.2">
      <c r="P2607" s="139"/>
    </row>
    <row r="2608" spans="16:16" x14ac:dyDescent="0.2">
      <c r="P2608" s="139"/>
    </row>
    <row r="2609" spans="16:16" x14ac:dyDescent="0.2">
      <c r="P2609" s="139"/>
    </row>
    <row r="2610" spans="16:16" x14ac:dyDescent="0.2">
      <c r="P2610" s="139"/>
    </row>
    <row r="2611" spans="16:16" x14ac:dyDescent="0.2">
      <c r="P2611" s="139"/>
    </row>
    <row r="2612" spans="16:16" x14ac:dyDescent="0.2">
      <c r="P2612" s="139"/>
    </row>
    <row r="2613" spans="16:16" x14ac:dyDescent="0.2">
      <c r="P2613" s="139"/>
    </row>
    <row r="2614" spans="16:16" x14ac:dyDescent="0.2">
      <c r="P2614" s="139"/>
    </row>
    <row r="2615" spans="16:16" x14ac:dyDescent="0.2">
      <c r="P2615" s="139"/>
    </row>
    <row r="2616" spans="16:16" x14ac:dyDescent="0.2">
      <c r="P2616" s="139"/>
    </row>
    <row r="2617" spans="16:16" x14ac:dyDescent="0.2">
      <c r="P2617" s="139"/>
    </row>
    <row r="2618" spans="16:16" x14ac:dyDescent="0.2">
      <c r="P2618" s="139"/>
    </row>
    <row r="2619" spans="16:16" x14ac:dyDescent="0.2">
      <c r="P2619" s="139"/>
    </row>
    <row r="2620" spans="16:16" x14ac:dyDescent="0.2">
      <c r="P2620" s="139"/>
    </row>
    <row r="2621" spans="16:16" x14ac:dyDescent="0.2">
      <c r="P2621" s="139"/>
    </row>
    <row r="2622" spans="16:16" x14ac:dyDescent="0.2">
      <c r="P2622" s="139"/>
    </row>
    <row r="2623" spans="16:16" x14ac:dyDescent="0.2">
      <c r="P2623" s="139"/>
    </row>
    <row r="2624" spans="16:16" x14ac:dyDescent="0.2">
      <c r="P2624" s="139"/>
    </row>
    <row r="2625" spans="16:16" x14ac:dyDescent="0.2">
      <c r="P2625" s="139"/>
    </row>
    <row r="2626" spans="16:16" x14ac:dyDescent="0.2">
      <c r="P2626" s="139"/>
    </row>
    <row r="2627" spans="16:16" x14ac:dyDescent="0.2">
      <c r="P2627" s="139"/>
    </row>
    <row r="2628" spans="16:16" x14ac:dyDescent="0.2">
      <c r="P2628" s="139"/>
    </row>
    <row r="2629" spans="16:16" x14ac:dyDescent="0.2">
      <c r="P2629" s="139"/>
    </row>
    <row r="2630" spans="16:16" x14ac:dyDescent="0.2">
      <c r="P2630" s="139"/>
    </row>
    <row r="2631" spans="16:16" x14ac:dyDescent="0.2">
      <c r="P2631" s="139"/>
    </row>
    <row r="2632" spans="16:16" x14ac:dyDescent="0.2">
      <c r="P2632" s="139"/>
    </row>
    <row r="2633" spans="16:16" x14ac:dyDescent="0.2">
      <c r="P2633" s="139"/>
    </row>
    <row r="2634" spans="16:16" x14ac:dyDescent="0.2">
      <c r="P2634" s="139"/>
    </row>
    <row r="2635" spans="16:16" x14ac:dyDescent="0.2">
      <c r="P2635" s="139"/>
    </row>
    <row r="2636" spans="16:16" x14ac:dyDescent="0.2">
      <c r="P2636" s="139"/>
    </row>
    <row r="2637" spans="16:16" x14ac:dyDescent="0.2">
      <c r="P2637" s="139"/>
    </row>
    <row r="2638" spans="16:16" x14ac:dyDescent="0.2">
      <c r="P2638" s="139"/>
    </row>
    <row r="2639" spans="16:16" x14ac:dyDescent="0.2">
      <c r="P2639" s="139"/>
    </row>
    <row r="2640" spans="16:16" x14ac:dyDescent="0.2">
      <c r="P2640" s="139"/>
    </row>
    <row r="2641" spans="16:16" x14ac:dyDescent="0.2">
      <c r="P2641" s="139"/>
    </row>
    <row r="2642" spans="16:16" x14ac:dyDescent="0.2">
      <c r="P2642" s="139"/>
    </row>
    <row r="2643" spans="16:16" x14ac:dyDescent="0.2">
      <c r="P2643" s="139"/>
    </row>
    <row r="2644" spans="16:16" x14ac:dyDescent="0.2">
      <c r="P2644" s="139"/>
    </row>
    <row r="2645" spans="16:16" x14ac:dyDescent="0.2">
      <c r="P2645" s="139"/>
    </row>
    <row r="2646" spans="16:16" x14ac:dyDescent="0.2">
      <c r="P2646" s="139"/>
    </row>
    <row r="2647" spans="16:16" x14ac:dyDescent="0.2">
      <c r="P2647" s="139"/>
    </row>
    <row r="2648" spans="16:16" x14ac:dyDescent="0.2">
      <c r="P2648" s="139"/>
    </row>
    <row r="2649" spans="16:16" x14ac:dyDescent="0.2">
      <c r="P2649" s="139"/>
    </row>
    <row r="2650" spans="16:16" x14ac:dyDescent="0.2">
      <c r="P2650" s="139"/>
    </row>
    <row r="2651" spans="16:16" x14ac:dyDescent="0.2">
      <c r="P2651" s="139"/>
    </row>
    <row r="2652" spans="16:16" x14ac:dyDescent="0.2">
      <c r="P2652" s="139"/>
    </row>
    <row r="2653" spans="16:16" x14ac:dyDescent="0.2">
      <c r="P2653" s="139"/>
    </row>
    <row r="2654" spans="16:16" x14ac:dyDescent="0.2">
      <c r="P2654" s="139"/>
    </row>
    <row r="2655" spans="16:16" x14ac:dyDescent="0.2">
      <c r="P2655" s="139"/>
    </row>
    <row r="2656" spans="16:16" x14ac:dyDescent="0.2">
      <c r="P2656" s="139"/>
    </row>
    <row r="2657" spans="16:16" x14ac:dyDescent="0.2">
      <c r="P2657" s="139"/>
    </row>
    <row r="2658" spans="16:16" x14ac:dyDescent="0.2">
      <c r="P2658" s="139"/>
    </row>
    <row r="2659" spans="16:16" x14ac:dyDescent="0.2">
      <c r="P2659" s="139"/>
    </row>
    <row r="2660" spans="16:16" x14ac:dyDescent="0.2">
      <c r="P2660" s="139"/>
    </row>
    <row r="2661" spans="16:16" x14ac:dyDescent="0.2">
      <c r="P2661" s="139"/>
    </row>
    <row r="2662" spans="16:16" x14ac:dyDescent="0.2">
      <c r="P2662" s="139"/>
    </row>
    <row r="2663" spans="16:16" x14ac:dyDescent="0.2">
      <c r="P2663" s="139"/>
    </row>
    <row r="2664" spans="16:16" x14ac:dyDescent="0.2">
      <c r="P2664" s="139"/>
    </row>
    <row r="2665" spans="16:16" x14ac:dyDescent="0.2">
      <c r="P2665" s="139"/>
    </row>
    <row r="2666" spans="16:16" x14ac:dyDescent="0.2">
      <c r="P2666" s="139"/>
    </row>
    <row r="2667" spans="16:16" x14ac:dyDescent="0.2">
      <c r="P2667" s="139"/>
    </row>
    <row r="2668" spans="16:16" x14ac:dyDescent="0.2">
      <c r="P2668" s="139"/>
    </row>
    <row r="2669" spans="16:16" x14ac:dyDescent="0.2">
      <c r="P2669" s="139"/>
    </row>
    <row r="2670" spans="16:16" x14ac:dyDescent="0.2">
      <c r="P2670" s="139"/>
    </row>
    <row r="2671" spans="16:16" x14ac:dyDescent="0.2">
      <c r="P2671" s="139"/>
    </row>
    <row r="2672" spans="16:16" x14ac:dyDescent="0.2">
      <c r="P2672" s="139"/>
    </row>
    <row r="2673" spans="16:16" x14ac:dyDescent="0.2">
      <c r="P2673" s="139"/>
    </row>
    <row r="2674" spans="16:16" x14ac:dyDescent="0.2">
      <c r="P2674" s="139"/>
    </row>
    <row r="2675" spans="16:16" x14ac:dyDescent="0.2">
      <c r="P2675" s="139"/>
    </row>
    <row r="2676" spans="16:16" x14ac:dyDescent="0.2">
      <c r="P2676" s="139"/>
    </row>
    <row r="2677" spans="16:16" x14ac:dyDescent="0.2">
      <c r="P2677" s="139"/>
    </row>
    <row r="2678" spans="16:16" x14ac:dyDescent="0.2">
      <c r="P2678" s="139"/>
    </row>
    <row r="2679" spans="16:16" x14ac:dyDescent="0.2">
      <c r="P2679" s="139"/>
    </row>
    <row r="2680" spans="16:16" x14ac:dyDescent="0.2">
      <c r="P2680" s="139"/>
    </row>
    <row r="2681" spans="16:16" x14ac:dyDescent="0.2">
      <c r="P2681" s="139"/>
    </row>
    <row r="2682" spans="16:16" x14ac:dyDescent="0.2">
      <c r="P2682" s="139"/>
    </row>
    <row r="2683" spans="16:16" x14ac:dyDescent="0.2">
      <c r="P2683" s="139"/>
    </row>
    <row r="2684" spans="16:16" x14ac:dyDescent="0.2">
      <c r="P2684" s="139"/>
    </row>
    <row r="2685" spans="16:16" x14ac:dyDescent="0.2">
      <c r="P2685" s="139"/>
    </row>
    <row r="2686" spans="16:16" x14ac:dyDescent="0.2">
      <c r="P2686" s="139"/>
    </row>
    <row r="2687" spans="16:16" x14ac:dyDescent="0.2">
      <c r="P2687" s="139"/>
    </row>
    <row r="2688" spans="16:16" x14ac:dyDescent="0.2">
      <c r="P2688" s="139"/>
    </row>
    <row r="2689" spans="16:16" x14ac:dyDescent="0.2">
      <c r="P2689" s="139"/>
    </row>
    <row r="2690" spans="16:16" x14ac:dyDescent="0.2">
      <c r="P2690" s="139"/>
    </row>
    <row r="2691" spans="16:16" x14ac:dyDescent="0.2">
      <c r="P2691" s="139"/>
    </row>
    <row r="2692" spans="16:16" x14ac:dyDescent="0.2">
      <c r="P2692" s="139"/>
    </row>
    <row r="2693" spans="16:16" x14ac:dyDescent="0.2">
      <c r="P2693" s="139"/>
    </row>
    <row r="2694" spans="16:16" x14ac:dyDescent="0.2">
      <c r="P2694" s="139"/>
    </row>
    <row r="2695" spans="16:16" x14ac:dyDescent="0.2">
      <c r="P2695" s="139"/>
    </row>
    <row r="2696" spans="16:16" x14ac:dyDescent="0.2">
      <c r="P2696" s="139"/>
    </row>
    <row r="2697" spans="16:16" x14ac:dyDescent="0.2">
      <c r="P2697" s="139"/>
    </row>
    <row r="2698" spans="16:16" x14ac:dyDescent="0.2">
      <c r="P2698" s="139"/>
    </row>
    <row r="2699" spans="16:16" x14ac:dyDescent="0.2">
      <c r="P2699" s="139"/>
    </row>
    <row r="2700" spans="16:16" x14ac:dyDescent="0.2">
      <c r="P2700" s="139"/>
    </row>
    <row r="2701" spans="16:16" x14ac:dyDescent="0.2">
      <c r="P2701" s="139"/>
    </row>
    <row r="2702" spans="16:16" x14ac:dyDescent="0.2">
      <c r="P2702" s="139"/>
    </row>
    <row r="2703" spans="16:16" x14ac:dyDescent="0.2">
      <c r="P2703" s="139"/>
    </row>
    <row r="2704" spans="16:16" x14ac:dyDescent="0.2">
      <c r="P2704" s="139"/>
    </row>
    <row r="2705" spans="16:16" x14ac:dyDescent="0.2">
      <c r="P2705" s="139"/>
    </row>
    <row r="2706" spans="16:16" x14ac:dyDescent="0.2">
      <c r="P2706" s="139"/>
    </row>
    <row r="2707" spans="16:16" x14ac:dyDescent="0.2">
      <c r="P2707" s="139"/>
    </row>
    <row r="2708" spans="16:16" x14ac:dyDescent="0.2">
      <c r="P2708" s="139"/>
    </row>
    <row r="2709" spans="16:16" x14ac:dyDescent="0.2">
      <c r="P2709" s="139"/>
    </row>
    <row r="2710" spans="16:16" x14ac:dyDescent="0.2">
      <c r="P2710" s="139"/>
    </row>
    <row r="2711" spans="16:16" x14ac:dyDescent="0.2">
      <c r="P2711" s="139"/>
    </row>
    <row r="2712" spans="16:16" x14ac:dyDescent="0.2">
      <c r="P2712" s="139"/>
    </row>
    <row r="2713" spans="16:16" x14ac:dyDescent="0.2">
      <c r="P2713" s="139"/>
    </row>
    <row r="2714" spans="16:16" x14ac:dyDescent="0.2">
      <c r="P2714" s="139"/>
    </row>
    <row r="2715" spans="16:16" x14ac:dyDescent="0.2">
      <c r="P2715" s="139"/>
    </row>
    <row r="2716" spans="16:16" x14ac:dyDescent="0.2">
      <c r="P2716" s="139"/>
    </row>
    <row r="2717" spans="16:16" x14ac:dyDescent="0.2">
      <c r="P2717" s="139"/>
    </row>
    <row r="2718" spans="16:16" x14ac:dyDescent="0.2">
      <c r="P2718" s="139"/>
    </row>
    <row r="2719" spans="16:16" x14ac:dyDescent="0.2">
      <c r="P2719" s="139"/>
    </row>
    <row r="2720" spans="16:16" x14ac:dyDescent="0.2">
      <c r="P2720" s="139"/>
    </row>
    <row r="2721" spans="16:16" x14ac:dyDescent="0.2">
      <c r="P2721" s="139"/>
    </row>
    <row r="2722" spans="16:16" x14ac:dyDescent="0.2">
      <c r="P2722" s="139"/>
    </row>
    <row r="2723" spans="16:16" x14ac:dyDescent="0.2">
      <c r="P2723" s="139"/>
    </row>
    <row r="2724" spans="16:16" x14ac:dyDescent="0.2">
      <c r="P2724" s="139"/>
    </row>
    <row r="2725" spans="16:16" x14ac:dyDescent="0.2">
      <c r="P2725" s="139"/>
    </row>
    <row r="2726" spans="16:16" x14ac:dyDescent="0.2">
      <c r="P2726" s="139"/>
    </row>
    <row r="2727" spans="16:16" x14ac:dyDescent="0.2">
      <c r="P2727" s="139"/>
    </row>
    <row r="2728" spans="16:16" x14ac:dyDescent="0.2">
      <c r="P2728" s="139"/>
    </row>
    <row r="2729" spans="16:16" x14ac:dyDescent="0.2">
      <c r="P2729" s="139"/>
    </row>
    <row r="2730" spans="16:16" x14ac:dyDescent="0.2">
      <c r="P2730" s="139"/>
    </row>
    <row r="2731" spans="16:16" x14ac:dyDescent="0.2">
      <c r="P2731" s="139"/>
    </row>
    <row r="2732" spans="16:16" x14ac:dyDescent="0.2">
      <c r="P2732" s="139"/>
    </row>
    <row r="2733" spans="16:16" x14ac:dyDescent="0.2">
      <c r="P2733" s="139"/>
    </row>
    <row r="2734" spans="16:16" x14ac:dyDescent="0.2">
      <c r="P2734" s="139"/>
    </row>
    <row r="2735" spans="16:16" x14ac:dyDescent="0.2">
      <c r="P2735" s="139"/>
    </row>
    <row r="2736" spans="16:16" x14ac:dyDescent="0.2">
      <c r="P2736" s="139"/>
    </row>
    <row r="2737" spans="16:16" x14ac:dyDescent="0.2">
      <c r="P2737" s="139"/>
    </row>
    <row r="2738" spans="16:16" x14ac:dyDescent="0.2">
      <c r="P2738" s="139"/>
    </row>
    <row r="2739" spans="16:16" x14ac:dyDescent="0.2">
      <c r="P2739" s="139"/>
    </row>
    <row r="2740" spans="16:16" x14ac:dyDescent="0.2">
      <c r="P2740" s="139"/>
    </row>
    <row r="2741" spans="16:16" x14ac:dyDescent="0.2">
      <c r="P2741" s="139"/>
    </row>
    <row r="2742" spans="16:16" x14ac:dyDescent="0.2">
      <c r="P2742" s="139"/>
    </row>
    <row r="2743" spans="16:16" x14ac:dyDescent="0.2">
      <c r="P2743" s="139"/>
    </row>
    <row r="2744" spans="16:16" x14ac:dyDescent="0.2">
      <c r="P2744" s="139"/>
    </row>
    <row r="2745" spans="16:16" x14ac:dyDescent="0.2">
      <c r="P2745" s="139"/>
    </row>
    <row r="2746" spans="16:16" x14ac:dyDescent="0.2">
      <c r="P2746" s="139"/>
    </row>
    <row r="2747" spans="16:16" x14ac:dyDescent="0.2">
      <c r="P2747" s="139"/>
    </row>
    <row r="2748" spans="16:16" x14ac:dyDescent="0.2">
      <c r="P2748" s="139"/>
    </row>
    <row r="2749" spans="16:16" x14ac:dyDescent="0.2">
      <c r="P2749" s="139"/>
    </row>
    <row r="2750" spans="16:16" x14ac:dyDescent="0.2">
      <c r="P2750" s="139"/>
    </row>
    <row r="2751" spans="16:16" x14ac:dyDescent="0.2">
      <c r="P2751" s="139"/>
    </row>
    <row r="2752" spans="16:16" x14ac:dyDescent="0.2">
      <c r="P2752" s="139"/>
    </row>
    <row r="2753" spans="16:16" x14ac:dyDescent="0.2">
      <c r="P2753" s="139"/>
    </row>
    <row r="2754" spans="16:16" x14ac:dyDescent="0.2">
      <c r="P2754" s="139"/>
    </row>
    <row r="2755" spans="16:16" x14ac:dyDescent="0.2">
      <c r="P2755" s="139"/>
    </row>
    <row r="2756" spans="16:16" x14ac:dyDescent="0.2">
      <c r="P2756" s="139"/>
    </row>
    <row r="2757" spans="16:16" x14ac:dyDescent="0.2">
      <c r="P2757" s="139"/>
    </row>
    <row r="2758" spans="16:16" x14ac:dyDescent="0.2">
      <c r="P2758" s="139"/>
    </row>
    <row r="2759" spans="16:16" x14ac:dyDescent="0.2">
      <c r="P2759" s="139"/>
    </row>
    <row r="2760" spans="16:16" x14ac:dyDescent="0.2">
      <c r="P2760" s="139"/>
    </row>
    <row r="2761" spans="16:16" x14ac:dyDescent="0.2">
      <c r="P2761" s="139"/>
    </row>
    <row r="2762" spans="16:16" x14ac:dyDescent="0.2">
      <c r="P2762" s="139"/>
    </row>
    <row r="2763" spans="16:16" x14ac:dyDescent="0.2">
      <c r="P2763" s="139"/>
    </row>
    <row r="2764" spans="16:16" x14ac:dyDescent="0.2">
      <c r="P2764" s="139"/>
    </row>
    <row r="2765" spans="16:16" x14ac:dyDescent="0.2">
      <c r="P2765" s="139"/>
    </row>
    <row r="2766" spans="16:16" x14ac:dyDescent="0.2">
      <c r="P2766" s="139"/>
    </row>
    <row r="2767" spans="16:16" x14ac:dyDescent="0.2">
      <c r="P2767" s="139"/>
    </row>
    <row r="2768" spans="16:16" x14ac:dyDescent="0.2">
      <c r="P2768" s="139"/>
    </row>
    <row r="2769" spans="16:16" x14ac:dyDescent="0.2">
      <c r="P2769" s="139"/>
    </row>
    <row r="2770" spans="16:16" x14ac:dyDescent="0.2">
      <c r="P2770" s="139"/>
    </row>
    <row r="2771" spans="16:16" x14ac:dyDescent="0.2">
      <c r="P2771" s="139"/>
    </row>
    <row r="2772" spans="16:16" x14ac:dyDescent="0.2">
      <c r="P2772" s="139"/>
    </row>
    <row r="2773" spans="16:16" x14ac:dyDescent="0.2">
      <c r="P2773" s="139"/>
    </row>
    <row r="2774" spans="16:16" x14ac:dyDescent="0.2">
      <c r="P2774" s="139"/>
    </row>
    <row r="2775" spans="16:16" x14ac:dyDescent="0.2">
      <c r="P2775" s="139"/>
    </row>
    <row r="2776" spans="16:16" x14ac:dyDescent="0.2">
      <c r="P2776" s="139"/>
    </row>
    <row r="2777" spans="16:16" x14ac:dyDescent="0.2">
      <c r="P2777" s="139"/>
    </row>
    <row r="2778" spans="16:16" x14ac:dyDescent="0.2">
      <c r="P2778" s="139"/>
    </row>
    <row r="2779" spans="16:16" x14ac:dyDescent="0.2">
      <c r="P2779" s="139"/>
    </row>
    <row r="2780" spans="16:16" x14ac:dyDescent="0.2">
      <c r="P2780" s="139"/>
    </row>
    <row r="2781" spans="16:16" x14ac:dyDescent="0.2">
      <c r="P2781" s="139"/>
    </row>
    <row r="2782" spans="16:16" x14ac:dyDescent="0.2">
      <c r="P2782" s="139"/>
    </row>
    <row r="2783" spans="16:16" x14ac:dyDescent="0.2">
      <c r="P2783" s="139"/>
    </row>
    <row r="2784" spans="16:16" x14ac:dyDescent="0.2">
      <c r="P2784" s="139"/>
    </row>
    <row r="2785" spans="16:16" x14ac:dyDescent="0.2">
      <c r="P2785" s="139"/>
    </row>
    <row r="2786" spans="16:16" x14ac:dyDescent="0.2">
      <c r="P2786" s="139"/>
    </row>
    <row r="2787" spans="16:16" x14ac:dyDescent="0.2">
      <c r="P2787" s="139"/>
    </row>
    <row r="2788" spans="16:16" x14ac:dyDescent="0.2">
      <c r="P2788" s="139"/>
    </row>
    <row r="2789" spans="16:16" x14ac:dyDescent="0.2">
      <c r="P2789" s="139"/>
    </row>
    <row r="2790" spans="16:16" x14ac:dyDescent="0.2">
      <c r="P2790" s="139"/>
    </row>
    <row r="2791" spans="16:16" x14ac:dyDescent="0.2">
      <c r="P2791" s="139"/>
    </row>
    <row r="2792" spans="16:16" x14ac:dyDescent="0.2">
      <c r="P2792" s="139"/>
    </row>
    <row r="2793" spans="16:16" x14ac:dyDescent="0.2">
      <c r="P2793" s="139"/>
    </row>
    <row r="2794" spans="16:16" x14ac:dyDescent="0.2">
      <c r="P2794" s="139"/>
    </row>
    <row r="2795" spans="16:16" x14ac:dyDescent="0.2">
      <c r="P2795" s="139"/>
    </row>
    <row r="2796" spans="16:16" x14ac:dyDescent="0.2">
      <c r="P2796" s="139"/>
    </row>
    <row r="2797" spans="16:16" x14ac:dyDescent="0.2">
      <c r="P2797" s="139"/>
    </row>
    <row r="2798" spans="16:16" x14ac:dyDescent="0.2">
      <c r="P2798" s="139"/>
    </row>
    <row r="2799" spans="16:16" x14ac:dyDescent="0.2">
      <c r="P2799" s="139"/>
    </row>
    <row r="2800" spans="16:16" x14ac:dyDescent="0.2">
      <c r="P2800" s="139"/>
    </row>
    <row r="2801" spans="16:16" x14ac:dyDescent="0.2">
      <c r="P2801" s="139"/>
    </row>
    <row r="2802" spans="16:16" x14ac:dyDescent="0.2">
      <c r="P2802" s="139"/>
    </row>
    <row r="2803" spans="16:16" x14ac:dyDescent="0.2">
      <c r="P2803" s="139"/>
    </row>
    <row r="2804" spans="16:16" x14ac:dyDescent="0.2">
      <c r="P2804" s="139"/>
    </row>
    <row r="2805" spans="16:16" x14ac:dyDescent="0.2">
      <c r="P2805" s="139"/>
    </row>
    <row r="2806" spans="16:16" x14ac:dyDescent="0.2">
      <c r="P2806" s="139"/>
    </row>
    <row r="2807" spans="16:16" x14ac:dyDescent="0.2">
      <c r="P2807" s="139"/>
    </row>
    <row r="2808" spans="16:16" x14ac:dyDescent="0.2">
      <c r="P2808" s="139"/>
    </row>
    <row r="2809" spans="16:16" x14ac:dyDescent="0.2">
      <c r="P2809" s="139"/>
    </row>
    <row r="2810" spans="16:16" x14ac:dyDescent="0.2">
      <c r="P2810" s="139"/>
    </row>
    <row r="2811" spans="16:16" x14ac:dyDescent="0.2">
      <c r="P2811" s="139"/>
    </row>
    <row r="2812" spans="16:16" x14ac:dyDescent="0.2">
      <c r="P2812" s="139"/>
    </row>
    <row r="2813" spans="16:16" x14ac:dyDescent="0.2">
      <c r="P2813" s="139"/>
    </row>
    <row r="2814" spans="16:16" x14ac:dyDescent="0.2">
      <c r="P2814" s="139"/>
    </row>
    <row r="2815" spans="16:16" x14ac:dyDescent="0.2">
      <c r="P2815" s="139"/>
    </row>
    <row r="2816" spans="16:16" x14ac:dyDescent="0.2">
      <c r="P2816" s="139"/>
    </row>
    <row r="2817" spans="16:16" x14ac:dyDescent="0.2">
      <c r="P2817" s="139"/>
    </row>
    <row r="2818" spans="16:16" x14ac:dyDescent="0.2">
      <c r="P2818" s="139"/>
    </row>
    <row r="2819" spans="16:16" x14ac:dyDescent="0.2">
      <c r="P2819" s="139"/>
    </row>
    <row r="2820" spans="16:16" x14ac:dyDescent="0.2">
      <c r="P2820" s="139"/>
    </row>
    <row r="2821" spans="16:16" x14ac:dyDescent="0.2">
      <c r="P2821" s="139"/>
    </row>
    <row r="2822" spans="16:16" x14ac:dyDescent="0.2">
      <c r="P2822" s="139"/>
    </row>
    <row r="2823" spans="16:16" x14ac:dyDescent="0.2">
      <c r="P2823" s="139"/>
    </row>
    <row r="2824" spans="16:16" x14ac:dyDescent="0.2">
      <c r="P2824" s="139"/>
    </row>
    <row r="2825" spans="16:16" x14ac:dyDescent="0.2">
      <c r="P2825" s="139"/>
    </row>
    <row r="2826" spans="16:16" x14ac:dyDescent="0.2">
      <c r="P2826" s="139"/>
    </row>
    <row r="2827" spans="16:16" x14ac:dyDescent="0.2">
      <c r="P2827" s="139"/>
    </row>
    <row r="2828" spans="16:16" x14ac:dyDescent="0.2">
      <c r="P2828" s="139"/>
    </row>
    <row r="2829" spans="16:16" x14ac:dyDescent="0.2">
      <c r="P2829" s="139"/>
    </row>
    <row r="2830" spans="16:16" x14ac:dyDescent="0.2">
      <c r="P2830" s="139"/>
    </row>
    <row r="2831" spans="16:16" x14ac:dyDescent="0.2">
      <c r="P2831" s="139"/>
    </row>
    <row r="2832" spans="16:16" x14ac:dyDescent="0.2">
      <c r="P2832" s="139"/>
    </row>
    <row r="2833" spans="16:16" x14ac:dyDescent="0.2">
      <c r="P2833" s="139"/>
    </row>
    <row r="2834" spans="16:16" x14ac:dyDescent="0.2">
      <c r="P2834" s="139"/>
    </row>
    <row r="2835" spans="16:16" x14ac:dyDescent="0.2">
      <c r="P2835" s="139"/>
    </row>
    <row r="2836" spans="16:16" x14ac:dyDescent="0.2">
      <c r="P2836" s="139"/>
    </row>
    <row r="2837" spans="16:16" x14ac:dyDescent="0.2">
      <c r="P2837" s="139"/>
    </row>
    <row r="2838" spans="16:16" x14ac:dyDescent="0.2">
      <c r="P2838" s="139"/>
    </row>
    <row r="2839" spans="16:16" x14ac:dyDescent="0.2">
      <c r="P2839" s="139"/>
    </row>
    <row r="2840" spans="16:16" x14ac:dyDescent="0.2">
      <c r="P2840" s="139"/>
    </row>
    <row r="2841" spans="16:16" x14ac:dyDescent="0.2">
      <c r="P2841" s="139"/>
    </row>
    <row r="2842" spans="16:16" x14ac:dyDescent="0.2">
      <c r="P2842" s="139"/>
    </row>
    <row r="2843" spans="16:16" x14ac:dyDescent="0.2">
      <c r="P2843" s="139"/>
    </row>
    <row r="2844" spans="16:16" x14ac:dyDescent="0.2">
      <c r="P2844" s="139"/>
    </row>
    <row r="2845" spans="16:16" x14ac:dyDescent="0.2">
      <c r="P2845" s="139"/>
    </row>
    <row r="2846" spans="16:16" x14ac:dyDescent="0.2">
      <c r="P2846" s="139"/>
    </row>
    <row r="2847" spans="16:16" x14ac:dyDescent="0.2">
      <c r="P2847" s="139"/>
    </row>
    <row r="2848" spans="16:16" x14ac:dyDescent="0.2">
      <c r="P2848" s="139"/>
    </row>
    <row r="2849" spans="16:16" x14ac:dyDescent="0.2">
      <c r="P2849" s="139"/>
    </row>
    <row r="2850" spans="16:16" x14ac:dyDescent="0.2">
      <c r="P2850" s="139"/>
    </row>
    <row r="2851" spans="16:16" x14ac:dyDescent="0.2">
      <c r="P2851" s="139"/>
    </row>
    <row r="2852" spans="16:16" x14ac:dyDescent="0.2">
      <c r="P2852" s="139"/>
    </row>
    <row r="2853" spans="16:16" x14ac:dyDescent="0.2">
      <c r="P2853" s="139"/>
    </row>
    <row r="2854" spans="16:16" x14ac:dyDescent="0.2">
      <c r="P2854" s="139"/>
    </row>
    <row r="2855" spans="16:16" x14ac:dyDescent="0.2">
      <c r="P2855" s="139"/>
    </row>
    <row r="2856" spans="16:16" x14ac:dyDescent="0.2">
      <c r="P2856" s="139"/>
    </row>
    <row r="2857" spans="16:16" x14ac:dyDescent="0.2">
      <c r="P2857" s="139"/>
    </row>
    <row r="2858" spans="16:16" x14ac:dyDescent="0.2">
      <c r="P2858" s="139"/>
    </row>
    <row r="2859" spans="16:16" x14ac:dyDescent="0.2">
      <c r="P2859" s="139"/>
    </row>
    <row r="2860" spans="16:16" x14ac:dyDescent="0.2">
      <c r="P2860" s="139"/>
    </row>
    <row r="2861" spans="16:16" x14ac:dyDescent="0.2">
      <c r="P2861" s="139"/>
    </row>
    <row r="2862" spans="16:16" x14ac:dyDescent="0.2">
      <c r="P2862" s="139"/>
    </row>
    <row r="2863" spans="16:16" x14ac:dyDescent="0.2">
      <c r="P2863" s="139"/>
    </row>
    <row r="2864" spans="16:16" x14ac:dyDescent="0.2">
      <c r="P2864" s="139"/>
    </row>
    <row r="2865" spans="16:16" x14ac:dyDescent="0.2">
      <c r="P2865" s="139"/>
    </row>
    <row r="2866" spans="16:16" x14ac:dyDescent="0.2">
      <c r="P2866" s="139"/>
    </row>
    <row r="2867" spans="16:16" x14ac:dyDescent="0.2">
      <c r="P2867" s="139"/>
    </row>
    <row r="2868" spans="16:16" x14ac:dyDescent="0.2">
      <c r="P2868" s="139"/>
    </row>
    <row r="2869" spans="16:16" x14ac:dyDescent="0.2">
      <c r="P2869" s="139"/>
    </row>
    <row r="2870" spans="16:16" x14ac:dyDescent="0.2">
      <c r="P2870" s="139"/>
    </row>
    <row r="2871" spans="16:16" x14ac:dyDescent="0.2">
      <c r="P2871" s="139"/>
    </row>
    <row r="2872" spans="16:16" x14ac:dyDescent="0.2">
      <c r="P2872" s="139"/>
    </row>
    <row r="2873" spans="16:16" x14ac:dyDescent="0.2">
      <c r="P2873" s="139"/>
    </row>
    <row r="2874" spans="16:16" x14ac:dyDescent="0.2">
      <c r="P2874" s="139"/>
    </row>
    <row r="2875" spans="16:16" x14ac:dyDescent="0.2">
      <c r="P2875" s="139"/>
    </row>
    <row r="2876" spans="16:16" x14ac:dyDescent="0.2">
      <c r="P2876" s="139"/>
    </row>
    <row r="2877" spans="16:16" x14ac:dyDescent="0.2">
      <c r="P2877" s="139"/>
    </row>
    <row r="2878" spans="16:16" x14ac:dyDescent="0.2">
      <c r="P2878" s="139"/>
    </row>
    <row r="2879" spans="16:16" x14ac:dyDescent="0.2">
      <c r="P2879" s="139"/>
    </row>
    <row r="2880" spans="16:16" x14ac:dyDescent="0.2">
      <c r="P2880" s="139"/>
    </row>
    <row r="2881" spans="16:16" x14ac:dyDescent="0.2">
      <c r="P2881" s="139"/>
    </row>
    <row r="2882" spans="16:16" x14ac:dyDescent="0.2">
      <c r="P2882" s="139"/>
    </row>
    <row r="2883" spans="16:16" x14ac:dyDescent="0.2">
      <c r="P2883" s="139"/>
    </row>
    <row r="2884" spans="16:16" x14ac:dyDescent="0.2">
      <c r="P2884" s="139"/>
    </row>
    <row r="2885" spans="16:16" x14ac:dyDescent="0.2">
      <c r="P2885" s="139"/>
    </row>
    <row r="2886" spans="16:16" x14ac:dyDescent="0.2">
      <c r="P2886" s="139"/>
    </row>
    <row r="2887" spans="16:16" x14ac:dyDescent="0.2">
      <c r="P2887" s="139"/>
    </row>
    <row r="2888" spans="16:16" x14ac:dyDescent="0.2">
      <c r="P2888" s="139"/>
    </row>
    <row r="2889" spans="16:16" x14ac:dyDescent="0.2">
      <c r="P2889" s="139"/>
    </row>
    <row r="2890" spans="16:16" x14ac:dyDescent="0.2">
      <c r="P2890" s="139"/>
    </row>
    <row r="2891" spans="16:16" x14ac:dyDescent="0.2">
      <c r="P2891" s="139"/>
    </row>
    <row r="2892" spans="16:16" x14ac:dyDescent="0.2">
      <c r="P2892" s="139"/>
    </row>
    <row r="2893" spans="16:16" x14ac:dyDescent="0.2">
      <c r="P2893" s="139"/>
    </row>
    <row r="2894" spans="16:16" x14ac:dyDescent="0.2">
      <c r="P2894" s="139"/>
    </row>
    <row r="2895" spans="16:16" x14ac:dyDescent="0.2">
      <c r="P2895" s="139"/>
    </row>
    <row r="2896" spans="16:16" x14ac:dyDescent="0.2">
      <c r="P2896" s="139"/>
    </row>
    <row r="2897" spans="16:16" x14ac:dyDescent="0.2">
      <c r="P2897" s="139"/>
    </row>
    <row r="2898" spans="16:16" x14ac:dyDescent="0.2">
      <c r="P2898" s="139"/>
    </row>
    <row r="2899" spans="16:16" x14ac:dyDescent="0.2">
      <c r="P2899" s="139"/>
    </row>
    <row r="2900" spans="16:16" x14ac:dyDescent="0.2">
      <c r="P2900" s="139"/>
    </row>
    <row r="2901" spans="16:16" x14ac:dyDescent="0.2">
      <c r="P2901" s="139"/>
    </row>
    <row r="2902" spans="16:16" x14ac:dyDescent="0.2">
      <c r="P2902" s="139"/>
    </row>
    <row r="2903" spans="16:16" x14ac:dyDescent="0.2">
      <c r="P2903" s="139"/>
    </row>
    <row r="2904" spans="16:16" x14ac:dyDescent="0.2">
      <c r="P2904" s="139"/>
    </row>
    <row r="2905" spans="16:16" x14ac:dyDescent="0.2">
      <c r="P2905" s="139"/>
    </row>
    <row r="2906" spans="16:16" x14ac:dyDescent="0.2">
      <c r="P2906" s="139"/>
    </row>
    <row r="2907" spans="16:16" x14ac:dyDescent="0.2">
      <c r="P2907" s="139"/>
    </row>
    <row r="2908" spans="16:16" x14ac:dyDescent="0.2">
      <c r="P2908" s="139"/>
    </row>
    <row r="2909" spans="16:16" x14ac:dyDescent="0.2">
      <c r="P2909" s="139"/>
    </row>
    <row r="2910" spans="16:16" x14ac:dyDescent="0.2">
      <c r="P2910" s="139"/>
    </row>
    <row r="2911" spans="16:16" x14ac:dyDescent="0.2">
      <c r="P2911" s="139"/>
    </row>
    <row r="2912" spans="16:16" x14ac:dyDescent="0.2">
      <c r="P2912" s="139"/>
    </row>
    <row r="2913" spans="16:16" x14ac:dyDescent="0.2">
      <c r="P2913" s="139"/>
    </row>
    <row r="2914" spans="16:16" x14ac:dyDescent="0.2">
      <c r="P2914" s="139"/>
    </row>
    <row r="2915" spans="16:16" x14ac:dyDescent="0.2">
      <c r="P2915" s="139"/>
    </row>
    <row r="2916" spans="16:16" x14ac:dyDescent="0.2">
      <c r="P2916" s="139"/>
    </row>
    <row r="2917" spans="16:16" x14ac:dyDescent="0.2">
      <c r="P2917" s="139"/>
    </row>
    <row r="2918" spans="16:16" x14ac:dyDescent="0.2">
      <c r="P2918" s="139"/>
    </row>
    <row r="2919" spans="16:16" x14ac:dyDescent="0.2">
      <c r="P2919" s="139"/>
    </row>
    <row r="2920" spans="16:16" x14ac:dyDescent="0.2">
      <c r="P2920" s="139"/>
    </row>
    <row r="2921" spans="16:16" x14ac:dyDescent="0.2">
      <c r="P2921" s="139"/>
    </row>
    <row r="2922" spans="16:16" x14ac:dyDescent="0.2">
      <c r="P2922" s="139"/>
    </row>
    <row r="2923" spans="16:16" x14ac:dyDescent="0.2">
      <c r="P2923" s="139"/>
    </row>
    <row r="2924" spans="16:16" x14ac:dyDescent="0.2">
      <c r="P2924" s="139"/>
    </row>
    <row r="2925" spans="16:16" x14ac:dyDescent="0.2">
      <c r="P2925" s="139"/>
    </row>
    <row r="2926" spans="16:16" x14ac:dyDescent="0.2">
      <c r="P2926" s="139"/>
    </row>
    <row r="2927" spans="16:16" x14ac:dyDescent="0.2">
      <c r="P2927" s="139"/>
    </row>
    <row r="2928" spans="16:16" x14ac:dyDescent="0.2">
      <c r="P2928" s="139"/>
    </row>
    <row r="2929" spans="16:16" x14ac:dyDescent="0.2">
      <c r="P2929" s="139"/>
    </row>
    <row r="2930" spans="16:16" x14ac:dyDescent="0.2">
      <c r="P2930" s="139"/>
    </row>
    <row r="2931" spans="16:16" x14ac:dyDescent="0.2">
      <c r="P2931" s="139"/>
    </row>
    <row r="2932" spans="16:16" x14ac:dyDescent="0.2">
      <c r="P2932" s="139"/>
    </row>
    <row r="2933" spans="16:16" x14ac:dyDescent="0.2">
      <c r="P2933" s="139"/>
    </row>
    <row r="2934" spans="16:16" x14ac:dyDescent="0.2">
      <c r="P2934" s="139"/>
    </row>
    <row r="2935" spans="16:16" x14ac:dyDescent="0.2">
      <c r="P2935" s="139"/>
    </row>
    <row r="2936" spans="16:16" x14ac:dyDescent="0.2">
      <c r="P2936" s="139"/>
    </row>
    <row r="2937" spans="16:16" x14ac:dyDescent="0.2">
      <c r="P2937" s="139"/>
    </row>
    <row r="2938" spans="16:16" x14ac:dyDescent="0.2">
      <c r="P2938" s="139"/>
    </row>
    <row r="2939" spans="16:16" x14ac:dyDescent="0.2">
      <c r="P2939" s="139"/>
    </row>
    <row r="2940" spans="16:16" x14ac:dyDescent="0.2">
      <c r="P2940" s="139"/>
    </row>
    <row r="2941" spans="16:16" x14ac:dyDescent="0.2">
      <c r="P2941" s="139"/>
    </row>
    <row r="2942" spans="16:16" x14ac:dyDescent="0.2">
      <c r="P2942" s="139"/>
    </row>
    <row r="2943" spans="16:16" x14ac:dyDescent="0.2">
      <c r="P2943" s="139"/>
    </row>
    <row r="2944" spans="16:16" x14ac:dyDescent="0.2">
      <c r="P2944" s="139"/>
    </row>
    <row r="2945" spans="16:16" x14ac:dyDescent="0.2">
      <c r="P2945" s="139"/>
    </row>
    <row r="2946" spans="16:16" x14ac:dyDescent="0.2">
      <c r="P2946" s="139"/>
    </row>
    <row r="2947" spans="16:16" x14ac:dyDescent="0.2">
      <c r="P2947" s="139"/>
    </row>
    <row r="2948" spans="16:16" x14ac:dyDescent="0.2">
      <c r="P2948" s="139"/>
    </row>
    <row r="2949" spans="16:16" x14ac:dyDescent="0.2">
      <c r="P2949" s="139"/>
    </row>
    <row r="2950" spans="16:16" x14ac:dyDescent="0.2">
      <c r="P2950" s="139"/>
    </row>
    <row r="2951" spans="16:16" x14ac:dyDescent="0.2">
      <c r="P2951" s="139"/>
    </row>
    <row r="2952" spans="16:16" x14ac:dyDescent="0.2">
      <c r="P2952" s="139"/>
    </row>
    <row r="2953" spans="16:16" x14ac:dyDescent="0.2">
      <c r="P2953" s="139"/>
    </row>
    <row r="2954" spans="16:16" x14ac:dyDescent="0.2">
      <c r="P2954" s="139"/>
    </row>
    <row r="2955" spans="16:16" x14ac:dyDescent="0.2">
      <c r="P2955" s="139"/>
    </row>
    <row r="2956" spans="16:16" x14ac:dyDescent="0.2">
      <c r="P2956" s="139"/>
    </row>
    <row r="2957" spans="16:16" x14ac:dyDescent="0.2">
      <c r="P2957" s="139"/>
    </row>
    <row r="2958" spans="16:16" x14ac:dyDescent="0.2">
      <c r="P2958" s="139"/>
    </row>
    <row r="2959" spans="16:16" x14ac:dyDescent="0.2">
      <c r="P2959" s="139"/>
    </row>
    <row r="2960" spans="16:16" x14ac:dyDescent="0.2">
      <c r="P2960" s="139"/>
    </row>
    <row r="2961" spans="16:16" x14ac:dyDescent="0.2">
      <c r="P2961" s="139"/>
    </row>
    <row r="2962" spans="16:16" x14ac:dyDescent="0.2">
      <c r="P2962" s="139"/>
    </row>
    <row r="2963" spans="16:16" x14ac:dyDescent="0.2">
      <c r="P2963" s="139"/>
    </row>
    <row r="2964" spans="16:16" x14ac:dyDescent="0.2">
      <c r="P2964" s="139"/>
    </row>
    <row r="2965" spans="16:16" x14ac:dyDescent="0.2">
      <c r="P2965" s="139"/>
    </row>
    <row r="2966" spans="16:16" x14ac:dyDescent="0.2">
      <c r="P2966" s="139"/>
    </row>
    <row r="2967" spans="16:16" x14ac:dyDescent="0.2">
      <c r="P2967" s="139"/>
    </row>
    <row r="2968" spans="16:16" x14ac:dyDescent="0.2">
      <c r="P2968" s="139"/>
    </row>
    <row r="2969" spans="16:16" x14ac:dyDescent="0.2">
      <c r="P2969" s="139"/>
    </row>
    <row r="2970" spans="16:16" x14ac:dyDescent="0.2">
      <c r="P2970" s="139"/>
    </row>
    <row r="2971" spans="16:16" x14ac:dyDescent="0.2">
      <c r="P2971" s="139"/>
    </row>
    <row r="2972" spans="16:16" x14ac:dyDescent="0.2">
      <c r="P2972" s="139"/>
    </row>
    <row r="2973" spans="16:16" x14ac:dyDescent="0.2">
      <c r="P2973" s="139"/>
    </row>
    <row r="2974" spans="16:16" x14ac:dyDescent="0.2">
      <c r="P2974" s="139"/>
    </row>
    <row r="2975" spans="16:16" x14ac:dyDescent="0.2">
      <c r="P2975" s="139"/>
    </row>
    <row r="2976" spans="16:16" x14ac:dyDescent="0.2">
      <c r="P2976" s="139"/>
    </row>
    <row r="2977" spans="16:16" x14ac:dyDescent="0.2">
      <c r="P2977" s="139"/>
    </row>
    <row r="2978" spans="16:16" x14ac:dyDescent="0.2">
      <c r="P2978" s="139"/>
    </row>
    <row r="2979" spans="16:16" x14ac:dyDescent="0.2">
      <c r="P2979" s="139"/>
    </row>
    <row r="2980" spans="16:16" x14ac:dyDescent="0.2">
      <c r="P2980" s="139"/>
    </row>
    <row r="2981" spans="16:16" x14ac:dyDescent="0.2">
      <c r="P2981" s="139"/>
    </row>
    <row r="2982" spans="16:16" x14ac:dyDescent="0.2">
      <c r="P2982" s="139"/>
    </row>
    <row r="2983" spans="16:16" x14ac:dyDescent="0.2">
      <c r="P2983" s="139"/>
    </row>
    <row r="2984" spans="16:16" x14ac:dyDescent="0.2">
      <c r="P2984" s="139"/>
    </row>
    <row r="2985" spans="16:16" x14ac:dyDescent="0.2">
      <c r="P2985" s="139"/>
    </row>
    <row r="2986" spans="16:16" x14ac:dyDescent="0.2">
      <c r="P2986" s="139"/>
    </row>
    <row r="2987" spans="16:16" x14ac:dyDescent="0.2">
      <c r="P2987" s="139"/>
    </row>
    <row r="2988" spans="16:16" x14ac:dyDescent="0.2">
      <c r="P2988" s="139"/>
    </row>
    <row r="2989" spans="16:16" x14ac:dyDescent="0.2">
      <c r="P2989" s="139"/>
    </row>
    <row r="2990" spans="16:16" x14ac:dyDescent="0.2">
      <c r="P2990" s="139"/>
    </row>
    <row r="2991" spans="16:16" x14ac:dyDescent="0.2">
      <c r="P2991" s="139"/>
    </row>
    <row r="2992" spans="16:16" x14ac:dyDescent="0.2">
      <c r="P2992" s="139"/>
    </row>
    <row r="2993" spans="16:16" x14ac:dyDescent="0.2">
      <c r="P2993" s="139"/>
    </row>
    <row r="2994" spans="16:16" x14ac:dyDescent="0.2">
      <c r="P2994" s="139"/>
    </row>
    <row r="2995" spans="16:16" x14ac:dyDescent="0.2">
      <c r="P2995" s="139"/>
    </row>
    <row r="2996" spans="16:16" x14ac:dyDescent="0.2">
      <c r="P2996" s="139"/>
    </row>
    <row r="2997" spans="16:16" x14ac:dyDescent="0.2">
      <c r="P2997" s="139"/>
    </row>
    <row r="2998" spans="16:16" x14ac:dyDescent="0.2">
      <c r="P2998" s="139"/>
    </row>
    <row r="2999" spans="16:16" x14ac:dyDescent="0.2">
      <c r="P2999" s="139"/>
    </row>
    <row r="3000" spans="16:16" x14ac:dyDescent="0.2">
      <c r="P3000" s="139"/>
    </row>
    <row r="3001" spans="16:16" x14ac:dyDescent="0.2">
      <c r="P3001" s="139"/>
    </row>
    <row r="3002" spans="16:16" x14ac:dyDescent="0.2">
      <c r="P3002" s="139"/>
    </row>
    <row r="3003" spans="16:16" x14ac:dyDescent="0.2">
      <c r="P3003" s="139"/>
    </row>
    <row r="3004" spans="16:16" x14ac:dyDescent="0.2">
      <c r="P3004" s="139"/>
    </row>
    <row r="3005" spans="16:16" x14ac:dyDescent="0.2">
      <c r="P3005" s="139"/>
    </row>
    <row r="3006" spans="16:16" x14ac:dyDescent="0.2">
      <c r="P3006" s="139"/>
    </row>
    <row r="3007" spans="16:16" x14ac:dyDescent="0.2">
      <c r="P3007" s="139"/>
    </row>
    <row r="3008" spans="16:16" x14ac:dyDescent="0.2">
      <c r="P3008" s="139"/>
    </row>
    <row r="3009" spans="16:16" x14ac:dyDescent="0.2">
      <c r="P3009" s="139"/>
    </row>
    <row r="3010" spans="16:16" x14ac:dyDescent="0.2">
      <c r="P3010" s="139"/>
    </row>
    <row r="3011" spans="16:16" x14ac:dyDescent="0.2">
      <c r="P3011" s="139"/>
    </row>
    <row r="3012" spans="16:16" x14ac:dyDescent="0.2">
      <c r="P3012" s="139"/>
    </row>
    <row r="3013" spans="16:16" x14ac:dyDescent="0.2">
      <c r="P3013" s="139"/>
    </row>
    <row r="3014" spans="16:16" x14ac:dyDescent="0.2">
      <c r="P3014" s="139"/>
    </row>
    <row r="3015" spans="16:16" x14ac:dyDescent="0.2">
      <c r="P3015" s="139"/>
    </row>
    <row r="3016" spans="16:16" x14ac:dyDescent="0.2">
      <c r="P3016" s="139"/>
    </row>
    <row r="3017" spans="16:16" x14ac:dyDescent="0.2">
      <c r="P3017" s="139"/>
    </row>
    <row r="3018" spans="16:16" x14ac:dyDescent="0.2">
      <c r="P3018" s="139"/>
    </row>
    <row r="3019" spans="16:16" x14ac:dyDescent="0.2">
      <c r="P3019" s="139"/>
    </row>
    <row r="3020" spans="16:16" x14ac:dyDescent="0.2">
      <c r="P3020" s="139"/>
    </row>
    <row r="3021" spans="16:16" x14ac:dyDescent="0.2">
      <c r="P3021" s="139"/>
    </row>
    <row r="3022" spans="16:16" x14ac:dyDescent="0.2">
      <c r="P3022" s="139"/>
    </row>
    <row r="3023" spans="16:16" x14ac:dyDescent="0.2">
      <c r="P3023" s="139"/>
    </row>
    <row r="3024" spans="16:16" x14ac:dyDescent="0.2">
      <c r="P3024" s="139"/>
    </row>
    <row r="3025" spans="16:16" x14ac:dyDescent="0.2">
      <c r="P3025" s="139"/>
    </row>
    <row r="3026" spans="16:16" x14ac:dyDescent="0.2">
      <c r="P3026" s="139"/>
    </row>
    <row r="3027" spans="16:16" x14ac:dyDescent="0.2">
      <c r="P3027" s="139"/>
    </row>
    <row r="3028" spans="16:16" x14ac:dyDescent="0.2">
      <c r="P3028" s="139"/>
    </row>
    <row r="3029" spans="16:16" x14ac:dyDescent="0.2">
      <c r="P3029" s="139"/>
    </row>
    <row r="3030" spans="16:16" x14ac:dyDescent="0.2">
      <c r="P3030" s="139"/>
    </row>
    <row r="3031" spans="16:16" x14ac:dyDescent="0.2">
      <c r="P3031" s="139"/>
    </row>
    <row r="3032" spans="16:16" x14ac:dyDescent="0.2">
      <c r="P3032" s="139"/>
    </row>
    <row r="3033" spans="16:16" x14ac:dyDescent="0.2">
      <c r="P3033" s="139"/>
    </row>
    <row r="3034" spans="16:16" x14ac:dyDescent="0.2">
      <c r="P3034" s="139"/>
    </row>
    <row r="3035" spans="16:16" x14ac:dyDescent="0.2">
      <c r="P3035" s="139"/>
    </row>
    <row r="3036" spans="16:16" x14ac:dyDescent="0.2">
      <c r="P3036" s="139"/>
    </row>
    <row r="3037" spans="16:16" x14ac:dyDescent="0.2">
      <c r="P3037" s="139"/>
    </row>
    <row r="3038" spans="16:16" x14ac:dyDescent="0.2">
      <c r="P3038" s="139"/>
    </row>
    <row r="3039" spans="16:16" x14ac:dyDescent="0.2">
      <c r="P3039" s="139"/>
    </row>
    <row r="3040" spans="16:16" x14ac:dyDescent="0.2">
      <c r="P3040" s="139"/>
    </row>
    <row r="3041" spans="16:16" x14ac:dyDescent="0.2">
      <c r="P3041" s="139"/>
    </row>
    <row r="3042" spans="16:16" x14ac:dyDescent="0.2">
      <c r="P3042" s="139"/>
    </row>
    <row r="3043" spans="16:16" x14ac:dyDescent="0.2">
      <c r="P3043" s="139"/>
    </row>
    <row r="3044" spans="16:16" x14ac:dyDescent="0.2">
      <c r="P3044" s="139"/>
    </row>
    <row r="3045" spans="16:16" x14ac:dyDescent="0.2">
      <c r="P3045" s="139"/>
    </row>
    <row r="3046" spans="16:16" x14ac:dyDescent="0.2">
      <c r="P3046" s="139"/>
    </row>
    <row r="3047" spans="16:16" x14ac:dyDescent="0.2">
      <c r="P3047" s="139"/>
    </row>
    <row r="3048" spans="16:16" x14ac:dyDescent="0.2">
      <c r="P3048" s="139"/>
    </row>
    <row r="3049" spans="16:16" x14ac:dyDescent="0.2">
      <c r="P3049" s="139"/>
    </row>
    <row r="3050" spans="16:16" x14ac:dyDescent="0.2">
      <c r="P3050" s="139"/>
    </row>
    <row r="3051" spans="16:16" x14ac:dyDescent="0.2">
      <c r="P3051" s="139"/>
    </row>
    <row r="3052" spans="16:16" x14ac:dyDescent="0.2">
      <c r="P3052" s="139"/>
    </row>
    <row r="3053" spans="16:16" x14ac:dyDescent="0.2">
      <c r="P3053" s="139"/>
    </row>
    <row r="3054" spans="16:16" x14ac:dyDescent="0.2">
      <c r="P3054" s="139"/>
    </row>
    <row r="3055" spans="16:16" x14ac:dyDescent="0.2">
      <c r="P3055" s="139"/>
    </row>
    <row r="3056" spans="16:16" x14ac:dyDescent="0.2">
      <c r="P3056" s="139"/>
    </row>
    <row r="3057" spans="16:16" x14ac:dyDescent="0.2">
      <c r="P3057" s="139"/>
    </row>
    <row r="3058" spans="16:16" x14ac:dyDescent="0.2">
      <c r="P3058" s="139"/>
    </row>
    <row r="3059" spans="16:16" x14ac:dyDescent="0.2">
      <c r="P3059" s="139"/>
    </row>
    <row r="3060" spans="16:16" x14ac:dyDescent="0.2">
      <c r="P3060" s="139"/>
    </row>
    <row r="3061" spans="16:16" x14ac:dyDescent="0.2">
      <c r="P3061" s="139"/>
    </row>
    <row r="3062" spans="16:16" x14ac:dyDescent="0.2">
      <c r="P3062" s="139"/>
    </row>
    <row r="3063" spans="16:16" x14ac:dyDescent="0.2">
      <c r="P3063" s="139"/>
    </row>
    <row r="3064" spans="16:16" x14ac:dyDescent="0.2">
      <c r="P3064" s="139"/>
    </row>
    <row r="3065" spans="16:16" x14ac:dyDescent="0.2">
      <c r="P3065" s="139"/>
    </row>
    <row r="3066" spans="16:16" x14ac:dyDescent="0.2">
      <c r="P3066" s="139"/>
    </row>
    <row r="3067" spans="16:16" x14ac:dyDescent="0.2">
      <c r="P3067" s="139"/>
    </row>
    <row r="3068" spans="16:16" x14ac:dyDescent="0.2">
      <c r="P3068" s="139"/>
    </row>
    <row r="3069" spans="16:16" x14ac:dyDescent="0.2">
      <c r="P3069" s="139"/>
    </row>
    <row r="3070" spans="16:16" x14ac:dyDescent="0.2">
      <c r="P3070" s="139"/>
    </row>
    <row r="3071" spans="16:16" x14ac:dyDescent="0.2">
      <c r="P3071" s="139"/>
    </row>
    <row r="3072" spans="16:16" x14ac:dyDescent="0.2">
      <c r="P3072" s="139"/>
    </row>
    <row r="3073" spans="16:16" x14ac:dyDescent="0.2">
      <c r="P3073" s="139"/>
    </row>
    <row r="3074" spans="16:16" x14ac:dyDescent="0.2">
      <c r="P3074" s="139"/>
    </row>
    <row r="3075" spans="16:16" x14ac:dyDescent="0.2">
      <c r="P3075" s="139"/>
    </row>
    <row r="3076" spans="16:16" x14ac:dyDescent="0.2">
      <c r="P3076" s="139"/>
    </row>
    <row r="3077" spans="16:16" x14ac:dyDescent="0.2">
      <c r="P3077" s="139"/>
    </row>
    <row r="3078" spans="16:16" x14ac:dyDescent="0.2">
      <c r="P3078" s="139"/>
    </row>
    <row r="3079" spans="16:16" x14ac:dyDescent="0.2">
      <c r="P3079" s="139"/>
    </row>
    <row r="3080" spans="16:16" x14ac:dyDescent="0.2">
      <c r="P3080" s="139"/>
    </row>
    <row r="3081" spans="16:16" x14ac:dyDescent="0.2">
      <c r="P3081" s="139"/>
    </row>
    <row r="3082" spans="16:16" x14ac:dyDescent="0.2">
      <c r="P3082" s="139"/>
    </row>
    <row r="3083" spans="16:16" x14ac:dyDescent="0.2">
      <c r="P3083" s="139"/>
    </row>
    <row r="3084" spans="16:16" x14ac:dyDescent="0.2">
      <c r="P3084" s="139"/>
    </row>
    <row r="3085" spans="16:16" x14ac:dyDescent="0.2">
      <c r="P3085" s="139"/>
    </row>
    <row r="3086" spans="16:16" x14ac:dyDescent="0.2">
      <c r="P3086" s="139"/>
    </row>
    <row r="3087" spans="16:16" x14ac:dyDescent="0.2">
      <c r="P3087" s="139"/>
    </row>
    <row r="3088" spans="16:16" x14ac:dyDescent="0.2">
      <c r="P3088" s="139"/>
    </row>
    <row r="3089" spans="16:16" x14ac:dyDescent="0.2">
      <c r="P3089" s="139"/>
    </row>
    <row r="3090" spans="16:16" x14ac:dyDescent="0.2">
      <c r="P3090" s="139"/>
    </row>
    <row r="3091" spans="16:16" x14ac:dyDescent="0.2">
      <c r="P3091" s="139"/>
    </row>
    <row r="3092" spans="16:16" x14ac:dyDescent="0.2">
      <c r="P3092" s="139"/>
    </row>
    <row r="3093" spans="16:16" x14ac:dyDescent="0.2">
      <c r="P3093" s="139"/>
    </row>
    <row r="3094" spans="16:16" x14ac:dyDescent="0.2">
      <c r="P3094" s="139"/>
    </row>
    <row r="3095" spans="16:16" x14ac:dyDescent="0.2">
      <c r="P3095" s="139"/>
    </row>
    <row r="3096" spans="16:16" x14ac:dyDescent="0.2">
      <c r="P3096" s="139"/>
    </row>
    <row r="3097" spans="16:16" x14ac:dyDescent="0.2">
      <c r="P3097" s="139"/>
    </row>
    <row r="3098" spans="16:16" x14ac:dyDescent="0.2">
      <c r="P3098" s="139"/>
    </row>
    <row r="3099" spans="16:16" x14ac:dyDescent="0.2">
      <c r="P3099" s="139"/>
    </row>
    <row r="3100" spans="16:16" x14ac:dyDescent="0.2">
      <c r="P3100" s="139"/>
    </row>
    <row r="3101" spans="16:16" x14ac:dyDescent="0.2">
      <c r="P3101" s="139"/>
    </row>
    <row r="3102" spans="16:16" x14ac:dyDescent="0.2">
      <c r="P3102" s="139"/>
    </row>
    <row r="3103" spans="16:16" x14ac:dyDescent="0.2">
      <c r="P3103" s="139"/>
    </row>
    <row r="3104" spans="16:16" x14ac:dyDescent="0.2">
      <c r="P3104" s="139"/>
    </row>
    <row r="3105" spans="16:16" x14ac:dyDescent="0.2">
      <c r="P3105" s="139"/>
    </row>
    <row r="3106" spans="16:16" x14ac:dyDescent="0.2">
      <c r="P3106" s="139"/>
    </row>
    <row r="3107" spans="16:16" x14ac:dyDescent="0.2">
      <c r="P3107" s="139"/>
    </row>
    <row r="3108" spans="16:16" x14ac:dyDescent="0.2">
      <c r="P3108" s="139"/>
    </row>
    <row r="3109" spans="16:16" x14ac:dyDescent="0.2">
      <c r="P3109" s="139"/>
    </row>
    <row r="3110" spans="16:16" x14ac:dyDescent="0.2">
      <c r="P3110" s="139"/>
    </row>
    <row r="3111" spans="16:16" x14ac:dyDescent="0.2">
      <c r="P3111" s="139"/>
    </row>
    <row r="3112" spans="16:16" x14ac:dyDescent="0.2">
      <c r="P3112" s="139"/>
    </row>
    <row r="3113" spans="16:16" x14ac:dyDescent="0.2">
      <c r="P3113" s="139"/>
    </row>
    <row r="3114" spans="16:16" x14ac:dyDescent="0.2">
      <c r="P3114" s="139"/>
    </row>
    <row r="3115" spans="16:16" x14ac:dyDescent="0.2">
      <c r="P3115" s="139"/>
    </row>
    <row r="3116" spans="16:16" x14ac:dyDescent="0.2">
      <c r="P3116" s="139"/>
    </row>
    <row r="3117" spans="16:16" x14ac:dyDescent="0.2">
      <c r="P3117" s="139"/>
    </row>
    <row r="3118" spans="16:16" x14ac:dyDescent="0.2">
      <c r="P3118" s="139"/>
    </row>
    <row r="3119" spans="16:16" x14ac:dyDescent="0.2">
      <c r="P3119" s="139"/>
    </row>
    <row r="3120" spans="16:16" x14ac:dyDescent="0.2">
      <c r="P3120" s="139"/>
    </row>
    <row r="3121" spans="16:16" x14ac:dyDescent="0.2">
      <c r="P3121" s="139"/>
    </row>
    <row r="3122" spans="16:16" x14ac:dyDescent="0.2">
      <c r="P3122" s="139"/>
    </row>
    <row r="3123" spans="16:16" x14ac:dyDescent="0.2">
      <c r="P3123" s="139"/>
    </row>
    <row r="3124" spans="16:16" x14ac:dyDescent="0.2">
      <c r="P3124" s="139"/>
    </row>
    <row r="3125" spans="16:16" x14ac:dyDescent="0.2">
      <c r="P3125" s="139"/>
    </row>
    <row r="3126" spans="16:16" x14ac:dyDescent="0.2">
      <c r="P3126" s="139"/>
    </row>
    <row r="3127" spans="16:16" x14ac:dyDescent="0.2">
      <c r="P3127" s="139"/>
    </row>
    <row r="3128" spans="16:16" x14ac:dyDescent="0.2">
      <c r="P3128" s="139"/>
    </row>
    <row r="3129" spans="16:16" x14ac:dyDescent="0.2">
      <c r="P3129" s="139"/>
    </row>
    <row r="3130" spans="16:16" x14ac:dyDescent="0.2">
      <c r="P3130" s="139"/>
    </row>
    <row r="3131" spans="16:16" x14ac:dyDescent="0.2">
      <c r="P3131" s="139"/>
    </row>
    <row r="3132" spans="16:16" x14ac:dyDescent="0.2">
      <c r="P3132" s="139"/>
    </row>
    <row r="3133" spans="16:16" x14ac:dyDescent="0.2">
      <c r="P3133" s="139"/>
    </row>
    <row r="3134" spans="16:16" x14ac:dyDescent="0.2">
      <c r="P3134" s="139"/>
    </row>
    <row r="3135" spans="16:16" x14ac:dyDescent="0.2">
      <c r="P3135" s="139"/>
    </row>
    <row r="3136" spans="16:16" x14ac:dyDescent="0.2">
      <c r="P3136" s="139"/>
    </row>
    <row r="3137" spans="16:16" x14ac:dyDescent="0.2">
      <c r="P3137" s="139"/>
    </row>
    <row r="3138" spans="16:16" x14ac:dyDescent="0.2">
      <c r="P3138" s="139"/>
    </row>
    <row r="3139" spans="16:16" x14ac:dyDescent="0.2">
      <c r="P3139" s="139"/>
    </row>
    <row r="3140" spans="16:16" x14ac:dyDescent="0.2">
      <c r="P3140" s="139"/>
    </row>
    <row r="3141" spans="16:16" x14ac:dyDescent="0.2">
      <c r="P3141" s="139"/>
    </row>
    <row r="3142" spans="16:16" x14ac:dyDescent="0.2">
      <c r="P3142" s="139"/>
    </row>
    <row r="3143" spans="16:16" x14ac:dyDescent="0.2">
      <c r="P3143" s="139"/>
    </row>
    <row r="3144" spans="16:16" x14ac:dyDescent="0.2">
      <c r="P3144" s="139"/>
    </row>
    <row r="3145" spans="16:16" x14ac:dyDescent="0.2">
      <c r="P3145" s="139"/>
    </row>
    <row r="3146" spans="16:16" x14ac:dyDescent="0.2">
      <c r="P3146" s="139"/>
    </row>
    <row r="3147" spans="16:16" x14ac:dyDescent="0.2">
      <c r="P3147" s="139"/>
    </row>
    <row r="3148" spans="16:16" x14ac:dyDescent="0.2">
      <c r="P3148" s="139"/>
    </row>
    <row r="3149" spans="16:16" x14ac:dyDescent="0.2">
      <c r="P3149" s="139"/>
    </row>
    <row r="3150" spans="16:16" x14ac:dyDescent="0.2">
      <c r="P3150" s="139"/>
    </row>
    <row r="3151" spans="16:16" x14ac:dyDescent="0.2">
      <c r="P3151" s="139"/>
    </row>
    <row r="3152" spans="16:16" x14ac:dyDescent="0.2">
      <c r="P3152" s="139"/>
    </row>
    <row r="3153" spans="16:16" x14ac:dyDescent="0.2">
      <c r="P3153" s="139"/>
    </row>
    <row r="3154" spans="16:16" x14ac:dyDescent="0.2">
      <c r="P3154" s="139"/>
    </row>
    <row r="3155" spans="16:16" x14ac:dyDescent="0.2">
      <c r="P3155" s="139"/>
    </row>
    <row r="3156" spans="16:16" x14ac:dyDescent="0.2">
      <c r="P3156" s="139"/>
    </row>
    <row r="3157" spans="16:16" x14ac:dyDescent="0.2">
      <c r="P3157" s="139"/>
    </row>
    <row r="3158" spans="16:16" x14ac:dyDescent="0.2">
      <c r="P3158" s="139"/>
    </row>
    <row r="3159" spans="16:16" x14ac:dyDescent="0.2">
      <c r="P3159" s="139"/>
    </row>
    <row r="3160" spans="16:16" x14ac:dyDescent="0.2">
      <c r="P3160" s="139"/>
    </row>
    <row r="3161" spans="16:16" x14ac:dyDescent="0.2">
      <c r="P3161" s="139"/>
    </row>
    <row r="3162" spans="16:16" x14ac:dyDescent="0.2">
      <c r="P3162" s="139"/>
    </row>
    <row r="3163" spans="16:16" x14ac:dyDescent="0.2">
      <c r="P3163" s="139"/>
    </row>
    <row r="3164" spans="16:16" x14ac:dyDescent="0.2">
      <c r="P3164" s="139"/>
    </row>
    <row r="3165" spans="16:16" x14ac:dyDescent="0.2">
      <c r="P3165" s="139"/>
    </row>
    <row r="3166" spans="16:16" x14ac:dyDescent="0.2">
      <c r="P3166" s="139"/>
    </row>
    <row r="3167" spans="16:16" x14ac:dyDescent="0.2">
      <c r="P3167" s="139"/>
    </row>
    <row r="3168" spans="16:16" x14ac:dyDescent="0.2">
      <c r="P3168" s="139"/>
    </row>
    <row r="3169" spans="16:16" x14ac:dyDescent="0.2">
      <c r="P3169" s="139"/>
    </row>
    <row r="3170" spans="16:16" x14ac:dyDescent="0.2">
      <c r="P3170" s="139"/>
    </row>
    <row r="3171" spans="16:16" x14ac:dyDescent="0.2">
      <c r="P3171" s="139"/>
    </row>
    <row r="3172" spans="16:16" x14ac:dyDescent="0.2">
      <c r="P3172" s="139"/>
    </row>
    <row r="3173" spans="16:16" x14ac:dyDescent="0.2">
      <c r="P3173" s="139"/>
    </row>
    <row r="3174" spans="16:16" x14ac:dyDescent="0.2">
      <c r="P3174" s="139"/>
    </row>
    <row r="3175" spans="16:16" x14ac:dyDescent="0.2">
      <c r="P3175" s="139"/>
    </row>
    <row r="3176" spans="16:16" x14ac:dyDescent="0.2">
      <c r="P3176" s="139"/>
    </row>
    <row r="3177" spans="16:16" x14ac:dyDescent="0.2">
      <c r="P3177" s="139"/>
    </row>
    <row r="3178" spans="16:16" x14ac:dyDescent="0.2">
      <c r="P3178" s="139"/>
    </row>
    <row r="3179" spans="16:16" x14ac:dyDescent="0.2">
      <c r="P3179" s="139"/>
    </row>
    <row r="3180" spans="16:16" x14ac:dyDescent="0.2">
      <c r="P3180" s="139"/>
    </row>
    <row r="3181" spans="16:16" x14ac:dyDescent="0.2">
      <c r="P3181" s="139"/>
    </row>
    <row r="3182" spans="16:16" x14ac:dyDescent="0.2">
      <c r="P3182" s="139"/>
    </row>
    <row r="3183" spans="16:16" x14ac:dyDescent="0.2">
      <c r="P3183" s="139"/>
    </row>
    <row r="3184" spans="16:16" x14ac:dyDescent="0.2">
      <c r="P3184" s="139"/>
    </row>
    <row r="3185" spans="16:16" x14ac:dyDescent="0.2">
      <c r="P3185" s="139"/>
    </row>
    <row r="3186" spans="16:16" x14ac:dyDescent="0.2">
      <c r="P3186" s="139"/>
    </row>
    <row r="3187" spans="16:16" x14ac:dyDescent="0.2">
      <c r="P3187" s="139"/>
    </row>
    <row r="3188" spans="16:16" x14ac:dyDescent="0.2">
      <c r="P3188" s="139"/>
    </row>
    <row r="3189" spans="16:16" x14ac:dyDescent="0.2">
      <c r="P3189" s="139"/>
    </row>
    <row r="3190" spans="16:16" x14ac:dyDescent="0.2">
      <c r="P3190" s="139"/>
    </row>
    <row r="3191" spans="16:16" x14ac:dyDescent="0.2">
      <c r="P3191" s="139"/>
    </row>
    <row r="3192" spans="16:16" x14ac:dyDescent="0.2">
      <c r="P3192" s="139"/>
    </row>
    <row r="3193" spans="16:16" x14ac:dyDescent="0.2">
      <c r="P3193" s="139"/>
    </row>
    <row r="3194" spans="16:16" x14ac:dyDescent="0.2">
      <c r="P3194" s="139"/>
    </row>
    <row r="3195" spans="16:16" x14ac:dyDescent="0.2">
      <c r="P3195" s="139"/>
    </row>
    <row r="3196" spans="16:16" x14ac:dyDescent="0.2">
      <c r="P3196" s="139"/>
    </row>
    <row r="3197" spans="16:16" x14ac:dyDescent="0.2">
      <c r="P3197" s="139"/>
    </row>
    <row r="3198" spans="16:16" x14ac:dyDescent="0.2">
      <c r="P3198" s="139"/>
    </row>
    <row r="3199" spans="16:16" x14ac:dyDescent="0.2">
      <c r="P3199" s="139"/>
    </row>
    <row r="3200" spans="16:16" x14ac:dyDescent="0.2">
      <c r="P3200" s="139"/>
    </row>
    <row r="3201" spans="16:16" x14ac:dyDescent="0.2">
      <c r="P3201" s="139"/>
    </row>
    <row r="3202" spans="16:16" x14ac:dyDescent="0.2">
      <c r="P3202" s="139"/>
    </row>
    <row r="3203" spans="16:16" x14ac:dyDescent="0.2">
      <c r="P3203" s="139"/>
    </row>
    <row r="3204" spans="16:16" x14ac:dyDescent="0.2">
      <c r="P3204" s="139"/>
    </row>
    <row r="3205" spans="16:16" x14ac:dyDescent="0.2">
      <c r="P3205" s="139"/>
    </row>
    <row r="3206" spans="16:16" x14ac:dyDescent="0.2">
      <c r="P3206" s="139"/>
    </row>
    <row r="3207" spans="16:16" x14ac:dyDescent="0.2">
      <c r="P3207" s="139"/>
    </row>
    <row r="3208" spans="16:16" x14ac:dyDescent="0.2">
      <c r="P3208" s="139"/>
    </row>
    <row r="3209" spans="16:16" x14ac:dyDescent="0.2">
      <c r="P3209" s="139"/>
    </row>
    <row r="3210" spans="16:16" x14ac:dyDescent="0.2">
      <c r="P3210" s="139"/>
    </row>
    <row r="3211" spans="16:16" x14ac:dyDescent="0.2">
      <c r="P3211" s="139"/>
    </row>
    <row r="3212" spans="16:16" x14ac:dyDescent="0.2">
      <c r="P3212" s="139"/>
    </row>
    <row r="3213" spans="16:16" x14ac:dyDescent="0.2">
      <c r="P3213" s="139"/>
    </row>
    <row r="3214" spans="16:16" x14ac:dyDescent="0.2">
      <c r="P3214" s="139"/>
    </row>
    <row r="3215" spans="16:16" x14ac:dyDescent="0.2">
      <c r="P3215" s="139"/>
    </row>
    <row r="3216" spans="16:16" x14ac:dyDescent="0.2">
      <c r="P3216" s="139"/>
    </row>
    <row r="3217" spans="16:16" x14ac:dyDescent="0.2">
      <c r="P3217" s="139"/>
    </row>
    <row r="3218" spans="16:16" x14ac:dyDescent="0.2">
      <c r="P3218" s="139"/>
    </row>
    <row r="3219" spans="16:16" x14ac:dyDescent="0.2">
      <c r="P3219" s="139"/>
    </row>
    <row r="3220" spans="16:16" x14ac:dyDescent="0.2">
      <c r="P3220" s="139"/>
    </row>
    <row r="3221" spans="16:16" x14ac:dyDescent="0.2">
      <c r="P3221" s="139"/>
    </row>
    <row r="3222" spans="16:16" x14ac:dyDescent="0.2">
      <c r="P3222" s="139"/>
    </row>
    <row r="3223" spans="16:16" x14ac:dyDescent="0.2">
      <c r="P3223" s="139"/>
    </row>
    <row r="3224" spans="16:16" x14ac:dyDescent="0.2">
      <c r="P3224" s="139"/>
    </row>
    <row r="3225" spans="16:16" x14ac:dyDescent="0.2">
      <c r="P3225" s="139"/>
    </row>
    <row r="3226" spans="16:16" x14ac:dyDescent="0.2">
      <c r="P3226" s="139"/>
    </row>
    <row r="3227" spans="16:16" x14ac:dyDescent="0.2">
      <c r="P3227" s="139"/>
    </row>
    <row r="3228" spans="16:16" x14ac:dyDescent="0.2">
      <c r="P3228" s="139"/>
    </row>
    <row r="3229" spans="16:16" x14ac:dyDescent="0.2">
      <c r="P3229" s="139"/>
    </row>
    <row r="3230" spans="16:16" x14ac:dyDescent="0.2">
      <c r="P3230" s="139"/>
    </row>
    <row r="3231" spans="16:16" x14ac:dyDescent="0.2">
      <c r="P3231" s="139"/>
    </row>
    <row r="3232" spans="16:16" x14ac:dyDescent="0.2">
      <c r="P3232" s="139"/>
    </row>
    <row r="3233" spans="16:16" x14ac:dyDescent="0.2">
      <c r="P3233" s="139"/>
    </row>
    <row r="3234" spans="16:16" x14ac:dyDescent="0.2">
      <c r="P3234" s="139"/>
    </row>
    <row r="3235" spans="16:16" x14ac:dyDescent="0.2">
      <c r="P3235" s="139"/>
    </row>
    <row r="3236" spans="16:16" x14ac:dyDescent="0.2">
      <c r="P3236" s="139"/>
    </row>
    <row r="3237" spans="16:16" x14ac:dyDescent="0.2">
      <c r="P3237" s="139"/>
    </row>
    <row r="3238" spans="16:16" x14ac:dyDescent="0.2">
      <c r="P3238" s="139"/>
    </row>
    <row r="3239" spans="16:16" x14ac:dyDescent="0.2">
      <c r="P3239" s="139"/>
    </row>
    <row r="3240" spans="16:16" x14ac:dyDescent="0.2">
      <c r="P3240" s="139"/>
    </row>
    <row r="3241" spans="16:16" x14ac:dyDescent="0.2">
      <c r="P3241" s="139"/>
    </row>
    <row r="3242" spans="16:16" x14ac:dyDescent="0.2">
      <c r="P3242" s="139"/>
    </row>
    <row r="3243" spans="16:16" x14ac:dyDescent="0.2">
      <c r="P3243" s="139"/>
    </row>
    <row r="3244" spans="16:16" x14ac:dyDescent="0.2">
      <c r="P3244" s="139"/>
    </row>
    <row r="3245" spans="16:16" x14ac:dyDescent="0.2">
      <c r="P3245" s="139"/>
    </row>
    <row r="3246" spans="16:16" x14ac:dyDescent="0.2">
      <c r="P3246" s="139"/>
    </row>
    <row r="3247" spans="16:16" x14ac:dyDescent="0.2">
      <c r="P3247" s="139"/>
    </row>
    <row r="3248" spans="16:16" x14ac:dyDescent="0.2">
      <c r="P3248" s="139"/>
    </row>
    <row r="3249" spans="16:16" x14ac:dyDescent="0.2">
      <c r="P3249" s="139"/>
    </row>
    <row r="3250" spans="16:16" x14ac:dyDescent="0.2">
      <c r="P3250" s="139"/>
    </row>
    <row r="3251" spans="16:16" x14ac:dyDescent="0.2">
      <c r="P3251" s="139"/>
    </row>
    <row r="3252" spans="16:16" x14ac:dyDescent="0.2">
      <c r="P3252" s="139"/>
    </row>
    <row r="3253" spans="16:16" x14ac:dyDescent="0.2">
      <c r="P3253" s="139"/>
    </row>
    <row r="3254" spans="16:16" x14ac:dyDescent="0.2">
      <c r="P3254" s="139"/>
    </row>
    <row r="3255" spans="16:16" x14ac:dyDescent="0.2">
      <c r="P3255" s="139"/>
    </row>
    <row r="3256" spans="16:16" x14ac:dyDescent="0.2">
      <c r="P3256" s="139"/>
    </row>
    <row r="3257" spans="16:16" x14ac:dyDescent="0.2">
      <c r="P3257" s="139"/>
    </row>
    <row r="3258" spans="16:16" x14ac:dyDescent="0.2">
      <c r="P3258" s="139"/>
    </row>
    <row r="3259" spans="16:16" x14ac:dyDescent="0.2">
      <c r="P3259" s="139"/>
    </row>
    <row r="3260" spans="16:16" x14ac:dyDescent="0.2">
      <c r="P3260" s="139"/>
    </row>
    <row r="3261" spans="16:16" x14ac:dyDescent="0.2">
      <c r="P3261" s="139"/>
    </row>
    <row r="3262" spans="16:16" x14ac:dyDescent="0.2">
      <c r="P3262" s="139"/>
    </row>
    <row r="3263" spans="16:16" x14ac:dyDescent="0.2">
      <c r="P3263" s="139"/>
    </row>
    <row r="3264" spans="16:16" x14ac:dyDescent="0.2">
      <c r="P3264" s="139"/>
    </row>
    <row r="3265" spans="16:16" x14ac:dyDescent="0.2">
      <c r="P3265" s="139"/>
    </row>
    <row r="3266" spans="16:16" x14ac:dyDescent="0.2">
      <c r="P3266" s="139"/>
    </row>
    <row r="3267" spans="16:16" x14ac:dyDescent="0.2">
      <c r="P3267" s="139"/>
    </row>
    <row r="3268" spans="16:16" x14ac:dyDescent="0.2">
      <c r="P3268" s="139"/>
    </row>
    <row r="3269" spans="16:16" x14ac:dyDescent="0.2">
      <c r="P3269" s="139"/>
    </row>
    <row r="3270" spans="16:16" x14ac:dyDescent="0.2">
      <c r="P3270" s="139"/>
    </row>
    <row r="3271" spans="16:16" x14ac:dyDescent="0.2">
      <c r="P3271" s="139"/>
    </row>
    <row r="3272" spans="16:16" x14ac:dyDescent="0.2">
      <c r="P3272" s="139"/>
    </row>
    <row r="3273" spans="16:16" x14ac:dyDescent="0.2">
      <c r="P3273" s="139"/>
    </row>
    <row r="3274" spans="16:16" x14ac:dyDescent="0.2">
      <c r="P3274" s="139"/>
    </row>
    <row r="3275" spans="16:16" x14ac:dyDescent="0.2">
      <c r="P3275" s="139"/>
    </row>
    <row r="3276" spans="16:16" x14ac:dyDescent="0.2">
      <c r="P3276" s="139"/>
    </row>
    <row r="3277" spans="16:16" x14ac:dyDescent="0.2">
      <c r="P3277" s="139"/>
    </row>
    <row r="3278" spans="16:16" x14ac:dyDescent="0.2">
      <c r="P3278" s="139"/>
    </row>
    <row r="3279" spans="16:16" x14ac:dyDescent="0.2">
      <c r="P3279" s="139"/>
    </row>
    <row r="3280" spans="16:16" x14ac:dyDescent="0.2">
      <c r="P3280" s="139"/>
    </row>
    <row r="3281" spans="16:16" x14ac:dyDescent="0.2">
      <c r="P3281" s="139"/>
    </row>
    <row r="3282" spans="16:16" x14ac:dyDescent="0.2">
      <c r="P3282" s="139"/>
    </row>
    <row r="3283" spans="16:16" x14ac:dyDescent="0.2">
      <c r="P3283" s="139"/>
    </row>
    <row r="3284" spans="16:16" x14ac:dyDescent="0.2">
      <c r="P3284" s="139"/>
    </row>
    <row r="3285" spans="16:16" x14ac:dyDescent="0.2">
      <c r="P3285" s="139"/>
    </row>
    <row r="3286" spans="16:16" x14ac:dyDescent="0.2">
      <c r="P3286" s="139"/>
    </row>
    <row r="3287" spans="16:16" x14ac:dyDescent="0.2">
      <c r="P3287" s="139"/>
    </row>
    <row r="3288" spans="16:16" x14ac:dyDescent="0.2">
      <c r="P3288" s="139"/>
    </row>
    <row r="3289" spans="16:16" x14ac:dyDescent="0.2">
      <c r="P3289" s="139"/>
    </row>
    <row r="3290" spans="16:16" x14ac:dyDescent="0.2">
      <c r="P3290" s="139"/>
    </row>
    <row r="3291" spans="16:16" x14ac:dyDescent="0.2">
      <c r="P3291" s="139"/>
    </row>
    <row r="3292" spans="16:16" x14ac:dyDescent="0.2">
      <c r="P3292" s="139"/>
    </row>
    <row r="3293" spans="16:16" x14ac:dyDescent="0.2">
      <c r="P3293" s="139"/>
    </row>
    <row r="3294" spans="16:16" x14ac:dyDescent="0.2">
      <c r="P3294" s="139"/>
    </row>
    <row r="3295" spans="16:16" x14ac:dyDescent="0.2">
      <c r="P3295" s="139"/>
    </row>
    <row r="3296" spans="16:16" x14ac:dyDescent="0.2">
      <c r="P3296" s="139"/>
    </row>
    <row r="3297" spans="16:16" x14ac:dyDescent="0.2">
      <c r="P3297" s="139"/>
    </row>
    <row r="3298" spans="16:16" x14ac:dyDescent="0.2">
      <c r="P3298" s="139"/>
    </row>
    <row r="3299" spans="16:16" x14ac:dyDescent="0.2">
      <c r="P3299" s="139"/>
    </row>
    <row r="3300" spans="16:16" x14ac:dyDescent="0.2">
      <c r="P3300" s="139"/>
    </row>
    <row r="3301" spans="16:16" x14ac:dyDescent="0.2">
      <c r="P3301" s="139"/>
    </row>
    <row r="3302" spans="16:16" x14ac:dyDescent="0.2">
      <c r="P3302" s="139"/>
    </row>
    <row r="3303" spans="16:16" x14ac:dyDescent="0.2">
      <c r="P3303" s="139"/>
    </row>
    <row r="3304" spans="16:16" x14ac:dyDescent="0.2">
      <c r="P3304" s="139"/>
    </row>
    <row r="3305" spans="16:16" x14ac:dyDescent="0.2">
      <c r="P3305" s="139"/>
    </row>
    <row r="3306" spans="16:16" x14ac:dyDescent="0.2">
      <c r="P3306" s="139"/>
    </row>
    <row r="3307" spans="16:16" x14ac:dyDescent="0.2">
      <c r="P3307" s="139"/>
    </row>
    <row r="3308" spans="16:16" x14ac:dyDescent="0.2">
      <c r="P3308" s="139"/>
    </row>
    <row r="3309" spans="16:16" x14ac:dyDescent="0.2">
      <c r="P3309" s="139"/>
    </row>
    <row r="3310" spans="16:16" x14ac:dyDescent="0.2">
      <c r="P3310" s="139"/>
    </row>
    <row r="3311" spans="16:16" x14ac:dyDescent="0.2">
      <c r="P3311" s="139"/>
    </row>
    <row r="3312" spans="16:16" x14ac:dyDescent="0.2">
      <c r="P3312" s="139"/>
    </row>
    <row r="3313" spans="16:16" x14ac:dyDescent="0.2">
      <c r="P3313" s="139"/>
    </row>
    <row r="3314" spans="16:16" x14ac:dyDescent="0.2">
      <c r="P3314" s="139"/>
    </row>
    <row r="3315" spans="16:16" x14ac:dyDescent="0.2">
      <c r="P3315" s="139"/>
    </row>
    <row r="3316" spans="16:16" x14ac:dyDescent="0.2">
      <c r="P3316" s="139"/>
    </row>
    <row r="3317" spans="16:16" x14ac:dyDescent="0.2">
      <c r="P3317" s="139"/>
    </row>
    <row r="3318" spans="16:16" x14ac:dyDescent="0.2">
      <c r="P3318" s="139"/>
    </row>
    <row r="3319" spans="16:16" x14ac:dyDescent="0.2">
      <c r="P3319" s="139"/>
    </row>
    <row r="3320" spans="16:16" x14ac:dyDescent="0.2">
      <c r="P3320" s="139"/>
    </row>
    <row r="3321" spans="16:16" x14ac:dyDescent="0.2">
      <c r="P3321" s="139"/>
    </row>
    <row r="3322" spans="16:16" x14ac:dyDescent="0.2">
      <c r="P3322" s="139"/>
    </row>
    <row r="3323" spans="16:16" x14ac:dyDescent="0.2">
      <c r="P3323" s="139"/>
    </row>
    <row r="3324" spans="16:16" x14ac:dyDescent="0.2">
      <c r="P3324" s="139"/>
    </row>
    <row r="3325" spans="16:16" x14ac:dyDescent="0.2">
      <c r="P3325" s="139"/>
    </row>
    <row r="3326" spans="16:16" x14ac:dyDescent="0.2">
      <c r="P3326" s="139"/>
    </row>
    <row r="3327" spans="16:16" x14ac:dyDescent="0.2">
      <c r="P3327" s="139"/>
    </row>
    <row r="3328" spans="16:16" x14ac:dyDescent="0.2">
      <c r="P3328" s="139"/>
    </row>
    <row r="3329" spans="16:16" x14ac:dyDescent="0.2">
      <c r="P3329" s="139"/>
    </row>
    <row r="3330" spans="16:16" x14ac:dyDescent="0.2">
      <c r="P3330" s="139"/>
    </row>
    <row r="3331" spans="16:16" x14ac:dyDescent="0.2">
      <c r="P3331" s="139"/>
    </row>
    <row r="3332" spans="16:16" x14ac:dyDescent="0.2">
      <c r="P3332" s="139"/>
    </row>
    <row r="3333" spans="16:16" x14ac:dyDescent="0.2">
      <c r="P3333" s="139"/>
    </row>
    <row r="3334" spans="16:16" x14ac:dyDescent="0.2">
      <c r="P3334" s="139"/>
    </row>
    <row r="3335" spans="16:16" x14ac:dyDescent="0.2">
      <c r="P3335" s="139"/>
    </row>
    <row r="3336" spans="16:16" x14ac:dyDescent="0.2">
      <c r="P3336" s="139"/>
    </row>
    <row r="3337" spans="16:16" x14ac:dyDescent="0.2">
      <c r="P3337" s="139"/>
    </row>
    <row r="3338" spans="16:16" x14ac:dyDescent="0.2">
      <c r="P3338" s="139"/>
    </row>
    <row r="3339" spans="16:16" x14ac:dyDescent="0.2">
      <c r="P3339" s="139"/>
    </row>
    <row r="3340" spans="16:16" x14ac:dyDescent="0.2">
      <c r="P3340" s="139"/>
    </row>
    <row r="3341" spans="16:16" x14ac:dyDescent="0.2">
      <c r="P3341" s="139"/>
    </row>
    <row r="3342" spans="16:16" x14ac:dyDescent="0.2">
      <c r="P3342" s="139"/>
    </row>
    <row r="3343" spans="16:16" x14ac:dyDescent="0.2">
      <c r="P3343" s="139"/>
    </row>
    <row r="3344" spans="16:16" x14ac:dyDescent="0.2">
      <c r="P3344" s="139"/>
    </row>
    <row r="3345" spans="16:16" x14ac:dyDescent="0.2">
      <c r="P3345" s="139"/>
    </row>
    <row r="3346" spans="16:16" x14ac:dyDescent="0.2">
      <c r="P3346" s="139"/>
    </row>
    <row r="3347" spans="16:16" x14ac:dyDescent="0.2">
      <c r="P3347" s="139"/>
    </row>
    <row r="3348" spans="16:16" x14ac:dyDescent="0.2">
      <c r="P3348" s="139"/>
    </row>
    <row r="3349" spans="16:16" x14ac:dyDescent="0.2">
      <c r="P3349" s="139"/>
    </row>
    <row r="3350" spans="16:16" x14ac:dyDescent="0.2">
      <c r="P3350" s="139"/>
    </row>
    <row r="3351" spans="16:16" x14ac:dyDescent="0.2">
      <c r="P3351" s="139"/>
    </row>
    <row r="3352" spans="16:16" x14ac:dyDescent="0.2">
      <c r="P3352" s="139"/>
    </row>
    <row r="3353" spans="16:16" x14ac:dyDescent="0.2">
      <c r="P3353" s="139"/>
    </row>
    <row r="3354" spans="16:16" x14ac:dyDescent="0.2">
      <c r="P3354" s="139"/>
    </row>
    <row r="3355" spans="16:16" x14ac:dyDescent="0.2">
      <c r="P3355" s="139"/>
    </row>
    <row r="3356" spans="16:16" x14ac:dyDescent="0.2">
      <c r="P3356" s="139"/>
    </row>
    <row r="3357" spans="16:16" x14ac:dyDescent="0.2">
      <c r="P3357" s="139"/>
    </row>
    <row r="3358" spans="16:16" x14ac:dyDescent="0.2">
      <c r="P3358" s="139"/>
    </row>
    <row r="3359" spans="16:16" x14ac:dyDescent="0.2">
      <c r="P3359" s="139"/>
    </row>
    <row r="3360" spans="16:16" x14ac:dyDescent="0.2">
      <c r="P3360" s="139"/>
    </row>
    <row r="3361" spans="16:16" x14ac:dyDescent="0.2">
      <c r="P3361" s="139"/>
    </row>
    <row r="3362" spans="16:16" x14ac:dyDescent="0.2">
      <c r="P3362" s="139"/>
    </row>
    <row r="3363" spans="16:16" x14ac:dyDescent="0.2">
      <c r="P3363" s="139"/>
    </row>
    <row r="3364" spans="16:16" x14ac:dyDescent="0.2">
      <c r="P3364" s="139"/>
    </row>
    <row r="3365" spans="16:16" x14ac:dyDescent="0.2">
      <c r="P3365" s="139"/>
    </row>
    <row r="3366" spans="16:16" x14ac:dyDescent="0.2">
      <c r="P3366" s="139"/>
    </row>
    <row r="3367" spans="16:16" x14ac:dyDescent="0.2">
      <c r="P3367" s="139"/>
    </row>
    <row r="3368" spans="16:16" x14ac:dyDescent="0.2">
      <c r="P3368" s="139"/>
    </row>
    <row r="3369" spans="16:16" x14ac:dyDescent="0.2">
      <c r="P3369" s="139"/>
    </row>
    <row r="3370" spans="16:16" x14ac:dyDescent="0.2">
      <c r="P3370" s="139"/>
    </row>
    <row r="3371" spans="16:16" x14ac:dyDescent="0.2">
      <c r="P3371" s="139"/>
    </row>
    <row r="3372" spans="16:16" x14ac:dyDescent="0.2">
      <c r="P3372" s="139"/>
    </row>
    <row r="3373" spans="16:16" x14ac:dyDescent="0.2">
      <c r="P3373" s="139"/>
    </row>
    <row r="3374" spans="16:16" x14ac:dyDescent="0.2">
      <c r="P3374" s="139"/>
    </row>
    <row r="3375" spans="16:16" x14ac:dyDescent="0.2">
      <c r="P3375" s="139"/>
    </row>
    <row r="3376" spans="16:16" x14ac:dyDescent="0.2">
      <c r="P3376" s="139"/>
    </row>
    <row r="3377" spans="16:16" x14ac:dyDescent="0.2">
      <c r="P3377" s="139"/>
    </row>
    <row r="3378" spans="16:16" x14ac:dyDescent="0.2">
      <c r="P3378" s="139"/>
    </row>
    <row r="3379" spans="16:16" x14ac:dyDescent="0.2">
      <c r="P3379" s="139"/>
    </row>
    <row r="3380" spans="16:16" x14ac:dyDescent="0.2">
      <c r="P3380" s="139"/>
    </row>
    <row r="3381" spans="16:16" x14ac:dyDescent="0.2">
      <c r="P3381" s="139"/>
    </row>
    <row r="3382" spans="16:16" x14ac:dyDescent="0.2">
      <c r="P3382" s="139"/>
    </row>
    <row r="3383" spans="16:16" x14ac:dyDescent="0.2">
      <c r="P3383" s="139"/>
    </row>
    <row r="3384" spans="16:16" x14ac:dyDescent="0.2">
      <c r="P3384" s="139"/>
    </row>
    <row r="3385" spans="16:16" x14ac:dyDescent="0.2">
      <c r="P3385" s="139"/>
    </row>
    <row r="3386" spans="16:16" x14ac:dyDescent="0.2">
      <c r="P3386" s="139"/>
    </row>
    <row r="3387" spans="16:16" x14ac:dyDescent="0.2">
      <c r="P3387" s="139"/>
    </row>
    <row r="3388" spans="16:16" x14ac:dyDescent="0.2">
      <c r="P3388" s="139"/>
    </row>
    <row r="3389" spans="16:16" x14ac:dyDescent="0.2">
      <c r="P3389" s="139"/>
    </row>
    <row r="3390" spans="16:16" x14ac:dyDescent="0.2">
      <c r="P3390" s="139"/>
    </row>
    <row r="3391" spans="16:16" x14ac:dyDescent="0.2">
      <c r="P3391" s="139"/>
    </row>
    <row r="3392" spans="16:16" x14ac:dyDescent="0.2">
      <c r="P3392" s="139"/>
    </row>
    <row r="3393" spans="16:16" x14ac:dyDescent="0.2">
      <c r="P3393" s="139"/>
    </row>
    <row r="3394" spans="16:16" x14ac:dyDescent="0.2">
      <c r="P3394" s="139"/>
    </row>
    <row r="3395" spans="16:16" x14ac:dyDescent="0.2">
      <c r="P3395" s="139"/>
    </row>
    <row r="3396" spans="16:16" x14ac:dyDescent="0.2">
      <c r="P3396" s="139"/>
    </row>
    <row r="3397" spans="16:16" x14ac:dyDescent="0.2">
      <c r="P3397" s="139"/>
    </row>
    <row r="3398" spans="16:16" x14ac:dyDescent="0.2">
      <c r="P3398" s="139"/>
    </row>
    <row r="3399" spans="16:16" x14ac:dyDescent="0.2">
      <c r="P3399" s="139"/>
    </row>
    <row r="3400" spans="16:16" x14ac:dyDescent="0.2">
      <c r="P3400" s="139"/>
    </row>
    <row r="3401" spans="16:16" x14ac:dyDescent="0.2">
      <c r="P3401" s="139"/>
    </row>
    <row r="3402" spans="16:16" x14ac:dyDescent="0.2">
      <c r="P3402" s="139"/>
    </row>
    <row r="3403" spans="16:16" x14ac:dyDescent="0.2">
      <c r="P3403" s="139"/>
    </row>
    <row r="3404" spans="16:16" x14ac:dyDescent="0.2">
      <c r="P3404" s="139"/>
    </row>
    <row r="3405" spans="16:16" x14ac:dyDescent="0.2">
      <c r="P3405" s="139"/>
    </row>
    <row r="3406" spans="16:16" x14ac:dyDescent="0.2">
      <c r="P3406" s="139"/>
    </row>
    <row r="3407" spans="16:16" x14ac:dyDescent="0.2">
      <c r="P3407" s="139"/>
    </row>
    <row r="3408" spans="16:16" x14ac:dyDescent="0.2">
      <c r="P3408" s="139"/>
    </row>
    <row r="3409" spans="16:16" x14ac:dyDescent="0.2">
      <c r="P3409" s="139"/>
    </row>
    <row r="3410" spans="16:16" x14ac:dyDescent="0.2">
      <c r="P3410" s="139"/>
    </row>
    <row r="3411" spans="16:16" x14ac:dyDescent="0.2">
      <c r="P3411" s="139"/>
    </row>
    <row r="3412" spans="16:16" x14ac:dyDescent="0.2">
      <c r="P3412" s="139"/>
    </row>
    <row r="3413" spans="16:16" x14ac:dyDescent="0.2">
      <c r="P3413" s="139"/>
    </row>
    <row r="3414" spans="16:16" x14ac:dyDescent="0.2">
      <c r="P3414" s="139"/>
    </row>
    <row r="3415" spans="16:16" x14ac:dyDescent="0.2">
      <c r="P3415" s="139"/>
    </row>
    <row r="3416" spans="16:16" x14ac:dyDescent="0.2">
      <c r="P3416" s="139"/>
    </row>
    <row r="3417" spans="16:16" x14ac:dyDescent="0.2">
      <c r="P3417" s="139"/>
    </row>
    <row r="3418" spans="16:16" x14ac:dyDescent="0.2">
      <c r="P3418" s="139"/>
    </row>
    <row r="3419" spans="16:16" x14ac:dyDescent="0.2">
      <c r="P3419" s="139"/>
    </row>
    <row r="3420" spans="16:16" x14ac:dyDescent="0.2">
      <c r="P3420" s="139"/>
    </row>
    <row r="3421" spans="16:16" x14ac:dyDescent="0.2">
      <c r="P3421" s="139"/>
    </row>
    <row r="3422" spans="16:16" x14ac:dyDescent="0.2">
      <c r="P3422" s="139"/>
    </row>
    <row r="3423" spans="16:16" x14ac:dyDescent="0.2">
      <c r="P3423" s="139"/>
    </row>
    <row r="3424" spans="16:16" x14ac:dyDescent="0.2">
      <c r="P3424" s="139"/>
    </row>
    <row r="3425" spans="16:16" x14ac:dyDescent="0.2">
      <c r="P3425" s="139"/>
    </row>
    <row r="3426" spans="16:16" x14ac:dyDescent="0.2">
      <c r="P3426" s="139"/>
    </row>
    <row r="3427" spans="16:16" x14ac:dyDescent="0.2">
      <c r="P3427" s="139"/>
    </row>
    <row r="3428" spans="16:16" x14ac:dyDescent="0.2">
      <c r="P3428" s="139"/>
    </row>
    <row r="3429" spans="16:16" x14ac:dyDescent="0.2">
      <c r="P3429" s="139"/>
    </row>
    <row r="3430" spans="16:16" x14ac:dyDescent="0.2">
      <c r="P3430" s="139"/>
    </row>
    <row r="3431" spans="16:16" x14ac:dyDescent="0.2">
      <c r="P3431" s="139"/>
    </row>
    <row r="3432" spans="16:16" x14ac:dyDescent="0.2">
      <c r="P3432" s="139"/>
    </row>
    <row r="3433" spans="16:16" x14ac:dyDescent="0.2">
      <c r="P3433" s="139"/>
    </row>
    <row r="3434" spans="16:16" x14ac:dyDescent="0.2">
      <c r="P3434" s="139"/>
    </row>
    <row r="3435" spans="16:16" x14ac:dyDescent="0.2">
      <c r="P3435" s="139"/>
    </row>
    <row r="3436" spans="16:16" x14ac:dyDescent="0.2">
      <c r="P3436" s="139"/>
    </row>
    <row r="3437" spans="16:16" x14ac:dyDescent="0.2">
      <c r="P3437" s="139"/>
    </row>
    <row r="3438" spans="16:16" x14ac:dyDescent="0.2">
      <c r="P3438" s="139"/>
    </row>
    <row r="3439" spans="16:16" x14ac:dyDescent="0.2">
      <c r="P3439" s="139"/>
    </row>
    <row r="3440" spans="16:16" x14ac:dyDescent="0.2">
      <c r="P3440" s="139"/>
    </row>
    <row r="3441" spans="16:16" x14ac:dyDescent="0.2">
      <c r="P3441" s="139"/>
    </row>
    <row r="3442" spans="16:16" x14ac:dyDescent="0.2">
      <c r="P3442" s="139"/>
    </row>
    <row r="3443" spans="16:16" x14ac:dyDescent="0.2">
      <c r="P3443" s="139"/>
    </row>
    <row r="3444" spans="16:16" x14ac:dyDescent="0.2">
      <c r="P3444" s="139"/>
    </row>
    <row r="3445" spans="16:16" x14ac:dyDescent="0.2">
      <c r="P3445" s="139"/>
    </row>
    <row r="3446" spans="16:16" x14ac:dyDescent="0.2">
      <c r="P3446" s="139"/>
    </row>
    <row r="3447" spans="16:16" x14ac:dyDescent="0.2">
      <c r="P3447" s="139"/>
    </row>
    <row r="3448" spans="16:16" x14ac:dyDescent="0.2">
      <c r="P3448" s="139"/>
    </row>
    <row r="3449" spans="16:16" x14ac:dyDescent="0.2">
      <c r="P3449" s="139"/>
    </row>
    <row r="3450" spans="16:16" x14ac:dyDescent="0.2">
      <c r="P3450" s="139"/>
    </row>
    <row r="3451" spans="16:16" x14ac:dyDescent="0.2">
      <c r="P3451" s="139"/>
    </row>
    <row r="3452" spans="16:16" x14ac:dyDescent="0.2">
      <c r="P3452" s="139"/>
    </row>
    <row r="3453" spans="16:16" x14ac:dyDescent="0.2">
      <c r="P3453" s="139"/>
    </row>
    <row r="3454" spans="16:16" x14ac:dyDescent="0.2">
      <c r="P3454" s="139"/>
    </row>
    <row r="3455" spans="16:16" x14ac:dyDescent="0.2">
      <c r="P3455" s="139"/>
    </row>
    <row r="3456" spans="16:16" x14ac:dyDescent="0.2">
      <c r="P3456" s="139"/>
    </row>
    <row r="3457" spans="16:16" x14ac:dyDescent="0.2">
      <c r="P3457" s="139"/>
    </row>
    <row r="3458" spans="16:16" x14ac:dyDescent="0.2">
      <c r="P3458" s="139"/>
    </row>
    <row r="3459" spans="16:16" x14ac:dyDescent="0.2">
      <c r="P3459" s="139"/>
    </row>
    <row r="3460" spans="16:16" x14ac:dyDescent="0.2">
      <c r="P3460" s="139"/>
    </row>
    <row r="3461" spans="16:16" x14ac:dyDescent="0.2">
      <c r="P3461" s="139"/>
    </row>
    <row r="3462" spans="16:16" x14ac:dyDescent="0.2">
      <c r="P3462" s="139"/>
    </row>
    <row r="3463" spans="16:16" x14ac:dyDescent="0.2">
      <c r="P3463" s="139"/>
    </row>
    <row r="3464" spans="16:16" x14ac:dyDescent="0.2">
      <c r="P3464" s="139"/>
    </row>
    <row r="3465" spans="16:16" x14ac:dyDescent="0.2">
      <c r="P3465" s="139"/>
    </row>
    <row r="3466" spans="16:16" x14ac:dyDescent="0.2">
      <c r="P3466" s="139"/>
    </row>
    <row r="3467" spans="16:16" x14ac:dyDescent="0.2">
      <c r="P3467" s="139"/>
    </row>
    <row r="3468" spans="16:16" x14ac:dyDescent="0.2">
      <c r="P3468" s="139"/>
    </row>
    <row r="3469" spans="16:16" x14ac:dyDescent="0.2">
      <c r="P3469" s="139"/>
    </row>
    <row r="3470" spans="16:16" x14ac:dyDescent="0.2">
      <c r="P3470" s="139"/>
    </row>
    <row r="3471" spans="16:16" x14ac:dyDescent="0.2">
      <c r="P3471" s="139"/>
    </row>
    <row r="3472" spans="16:16" x14ac:dyDescent="0.2">
      <c r="P3472" s="139"/>
    </row>
    <row r="3473" spans="16:16" x14ac:dyDescent="0.2">
      <c r="P3473" s="139"/>
    </row>
    <row r="3474" spans="16:16" x14ac:dyDescent="0.2">
      <c r="P3474" s="139"/>
    </row>
    <row r="3475" spans="16:16" x14ac:dyDescent="0.2">
      <c r="P3475" s="139"/>
    </row>
    <row r="3476" spans="16:16" x14ac:dyDescent="0.2">
      <c r="P3476" s="139"/>
    </row>
    <row r="3477" spans="16:16" x14ac:dyDescent="0.2">
      <c r="P3477" s="139"/>
    </row>
    <row r="3478" spans="16:16" x14ac:dyDescent="0.2">
      <c r="P3478" s="139"/>
    </row>
    <row r="3479" spans="16:16" x14ac:dyDescent="0.2">
      <c r="P3479" s="139"/>
    </row>
    <row r="3480" spans="16:16" x14ac:dyDescent="0.2">
      <c r="P3480" s="139"/>
    </row>
    <row r="3481" spans="16:16" x14ac:dyDescent="0.2">
      <c r="P3481" s="139"/>
    </row>
    <row r="3482" spans="16:16" x14ac:dyDescent="0.2">
      <c r="P3482" s="139"/>
    </row>
    <row r="3483" spans="16:16" x14ac:dyDescent="0.2">
      <c r="P3483" s="139"/>
    </row>
    <row r="3484" spans="16:16" x14ac:dyDescent="0.2">
      <c r="P3484" s="139"/>
    </row>
    <row r="3485" spans="16:16" x14ac:dyDescent="0.2">
      <c r="P3485" s="139"/>
    </row>
    <row r="3486" spans="16:16" x14ac:dyDescent="0.2">
      <c r="P3486" s="139"/>
    </row>
    <row r="3487" spans="16:16" x14ac:dyDescent="0.2">
      <c r="P3487" s="139"/>
    </row>
    <row r="3488" spans="16:16" x14ac:dyDescent="0.2">
      <c r="P3488" s="139"/>
    </row>
    <row r="3489" spans="16:16" x14ac:dyDescent="0.2">
      <c r="P3489" s="139"/>
    </row>
    <row r="3490" spans="16:16" x14ac:dyDescent="0.2">
      <c r="P3490" s="139"/>
    </row>
    <row r="3491" spans="16:16" x14ac:dyDescent="0.2">
      <c r="P3491" s="139"/>
    </row>
    <row r="3492" spans="16:16" x14ac:dyDescent="0.2">
      <c r="P3492" s="139"/>
    </row>
    <row r="3493" spans="16:16" x14ac:dyDescent="0.2">
      <c r="P3493" s="139"/>
    </row>
    <row r="3494" spans="16:16" x14ac:dyDescent="0.2">
      <c r="P3494" s="139"/>
    </row>
    <row r="3495" spans="16:16" x14ac:dyDescent="0.2">
      <c r="P3495" s="139"/>
    </row>
    <row r="3496" spans="16:16" x14ac:dyDescent="0.2">
      <c r="P3496" s="139"/>
    </row>
    <row r="3497" spans="16:16" x14ac:dyDescent="0.2">
      <c r="P3497" s="139"/>
    </row>
    <row r="3498" spans="16:16" x14ac:dyDescent="0.2">
      <c r="P3498" s="139"/>
    </row>
    <row r="3499" spans="16:16" x14ac:dyDescent="0.2">
      <c r="P3499" s="139"/>
    </row>
    <row r="3500" spans="16:16" x14ac:dyDescent="0.2">
      <c r="P3500" s="139"/>
    </row>
    <row r="3501" spans="16:16" x14ac:dyDescent="0.2">
      <c r="P3501" s="139"/>
    </row>
    <row r="3502" spans="16:16" x14ac:dyDescent="0.2">
      <c r="P3502" s="139"/>
    </row>
    <row r="3503" spans="16:16" x14ac:dyDescent="0.2">
      <c r="P3503" s="139"/>
    </row>
    <row r="3504" spans="16:16" x14ac:dyDescent="0.2">
      <c r="P3504" s="139"/>
    </row>
    <row r="3505" spans="16:16" x14ac:dyDescent="0.2">
      <c r="P3505" s="139"/>
    </row>
    <row r="3506" spans="16:16" x14ac:dyDescent="0.2">
      <c r="P3506" s="139"/>
    </row>
    <row r="3507" spans="16:16" x14ac:dyDescent="0.2">
      <c r="P3507" s="139"/>
    </row>
    <row r="3508" spans="16:16" x14ac:dyDescent="0.2">
      <c r="P3508" s="139"/>
    </row>
    <row r="3509" spans="16:16" x14ac:dyDescent="0.2">
      <c r="P3509" s="139"/>
    </row>
    <row r="3510" spans="16:16" x14ac:dyDescent="0.2">
      <c r="P3510" s="139"/>
    </row>
    <row r="3511" spans="16:16" x14ac:dyDescent="0.2">
      <c r="P3511" s="139"/>
    </row>
    <row r="3512" spans="16:16" x14ac:dyDescent="0.2">
      <c r="P3512" s="139"/>
    </row>
    <row r="3513" spans="16:16" x14ac:dyDescent="0.2">
      <c r="P3513" s="139"/>
    </row>
    <row r="3514" spans="16:16" x14ac:dyDescent="0.2">
      <c r="P3514" s="139"/>
    </row>
    <row r="3515" spans="16:16" x14ac:dyDescent="0.2">
      <c r="P3515" s="139"/>
    </row>
    <row r="3516" spans="16:16" x14ac:dyDescent="0.2">
      <c r="P3516" s="139"/>
    </row>
    <row r="3517" spans="16:16" x14ac:dyDescent="0.2">
      <c r="P3517" s="139"/>
    </row>
    <row r="3518" spans="16:16" x14ac:dyDescent="0.2">
      <c r="P3518" s="139"/>
    </row>
    <row r="3519" spans="16:16" x14ac:dyDescent="0.2">
      <c r="P3519" s="139"/>
    </row>
    <row r="3520" spans="16:16" x14ac:dyDescent="0.2">
      <c r="P3520" s="139"/>
    </row>
    <row r="3521" spans="16:16" x14ac:dyDescent="0.2">
      <c r="P3521" s="139"/>
    </row>
    <row r="3522" spans="16:16" x14ac:dyDescent="0.2">
      <c r="P3522" s="139"/>
    </row>
    <row r="3523" spans="16:16" x14ac:dyDescent="0.2">
      <c r="P3523" s="139"/>
    </row>
    <row r="3524" spans="16:16" x14ac:dyDescent="0.2">
      <c r="P3524" s="139"/>
    </row>
    <row r="3525" spans="16:16" x14ac:dyDescent="0.2">
      <c r="P3525" s="139"/>
    </row>
    <row r="3526" spans="16:16" x14ac:dyDescent="0.2">
      <c r="P3526" s="139"/>
    </row>
    <row r="3527" spans="16:16" x14ac:dyDescent="0.2">
      <c r="P3527" s="139"/>
    </row>
    <row r="3528" spans="16:16" x14ac:dyDescent="0.2">
      <c r="P3528" s="139"/>
    </row>
    <row r="3529" spans="16:16" x14ac:dyDescent="0.2">
      <c r="P3529" s="139"/>
    </row>
    <row r="3530" spans="16:16" x14ac:dyDescent="0.2">
      <c r="P3530" s="139"/>
    </row>
    <row r="3531" spans="16:16" x14ac:dyDescent="0.2">
      <c r="P3531" s="139"/>
    </row>
    <row r="3532" spans="16:16" x14ac:dyDescent="0.2">
      <c r="P3532" s="139"/>
    </row>
    <row r="3533" spans="16:16" x14ac:dyDescent="0.2">
      <c r="P3533" s="139"/>
    </row>
    <row r="3534" spans="16:16" x14ac:dyDescent="0.2">
      <c r="P3534" s="139"/>
    </row>
    <row r="3535" spans="16:16" x14ac:dyDescent="0.2">
      <c r="P3535" s="139"/>
    </row>
    <row r="3536" spans="16:16" x14ac:dyDescent="0.2">
      <c r="P3536" s="139"/>
    </row>
    <row r="3537" spans="16:16" x14ac:dyDescent="0.2">
      <c r="P3537" s="139"/>
    </row>
    <row r="3538" spans="16:16" x14ac:dyDescent="0.2">
      <c r="P3538" s="139"/>
    </row>
    <row r="3539" spans="16:16" x14ac:dyDescent="0.2">
      <c r="P3539" s="139"/>
    </row>
    <row r="3540" spans="16:16" x14ac:dyDescent="0.2">
      <c r="P3540" s="139"/>
    </row>
    <row r="3541" spans="16:16" x14ac:dyDescent="0.2">
      <c r="P3541" s="139"/>
    </row>
    <row r="3542" spans="16:16" x14ac:dyDescent="0.2">
      <c r="P3542" s="139"/>
    </row>
    <row r="3543" spans="16:16" x14ac:dyDescent="0.2">
      <c r="P3543" s="139"/>
    </row>
    <row r="3544" spans="16:16" x14ac:dyDescent="0.2">
      <c r="P3544" s="139"/>
    </row>
    <row r="3545" spans="16:16" x14ac:dyDescent="0.2">
      <c r="P3545" s="139"/>
    </row>
    <row r="3546" spans="16:16" x14ac:dyDescent="0.2">
      <c r="P3546" s="139"/>
    </row>
    <row r="3547" spans="16:16" x14ac:dyDescent="0.2">
      <c r="P3547" s="139"/>
    </row>
    <row r="3548" spans="16:16" x14ac:dyDescent="0.2">
      <c r="P3548" s="139"/>
    </row>
    <row r="3549" spans="16:16" x14ac:dyDescent="0.2">
      <c r="P3549" s="139"/>
    </row>
    <row r="3550" spans="16:16" x14ac:dyDescent="0.2">
      <c r="P3550" s="139"/>
    </row>
    <row r="3551" spans="16:16" x14ac:dyDescent="0.2">
      <c r="P3551" s="139"/>
    </row>
    <row r="3552" spans="16:16" x14ac:dyDescent="0.2">
      <c r="P3552" s="139"/>
    </row>
    <row r="3553" spans="16:16" x14ac:dyDescent="0.2">
      <c r="P3553" s="139"/>
    </row>
    <row r="3554" spans="16:16" x14ac:dyDescent="0.2">
      <c r="P3554" s="139"/>
    </row>
    <row r="3555" spans="16:16" x14ac:dyDescent="0.2">
      <c r="P3555" s="139"/>
    </row>
    <row r="3556" spans="16:16" x14ac:dyDescent="0.2">
      <c r="P3556" s="139"/>
    </row>
    <row r="3557" spans="16:16" x14ac:dyDescent="0.2">
      <c r="P3557" s="139"/>
    </row>
    <row r="3558" spans="16:16" x14ac:dyDescent="0.2">
      <c r="P3558" s="139"/>
    </row>
    <row r="3559" spans="16:16" x14ac:dyDescent="0.2">
      <c r="P3559" s="139"/>
    </row>
    <row r="3560" spans="16:16" x14ac:dyDescent="0.2">
      <c r="P3560" s="139"/>
    </row>
    <row r="3561" spans="16:16" x14ac:dyDescent="0.2">
      <c r="P3561" s="139"/>
    </row>
    <row r="3562" spans="16:16" x14ac:dyDescent="0.2">
      <c r="P3562" s="139"/>
    </row>
    <row r="3563" spans="16:16" x14ac:dyDescent="0.2">
      <c r="P3563" s="139"/>
    </row>
    <row r="3564" spans="16:16" x14ac:dyDescent="0.2">
      <c r="P3564" s="139"/>
    </row>
    <row r="3565" spans="16:16" x14ac:dyDescent="0.2">
      <c r="P3565" s="139"/>
    </row>
    <row r="3566" spans="16:16" x14ac:dyDescent="0.2">
      <c r="P3566" s="139"/>
    </row>
    <row r="3567" spans="16:16" x14ac:dyDescent="0.2">
      <c r="P3567" s="139"/>
    </row>
    <row r="3568" spans="16:16" x14ac:dyDescent="0.2">
      <c r="P3568" s="139"/>
    </row>
    <row r="3569" spans="16:16" x14ac:dyDescent="0.2">
      <c r="P3569" s="139"/>
    </row>
    <row r="3570" spans="16:16" x14ac:dyDescent="0.2">
      <c r="P3570" s="139"/>
    </row>
    <row r="3571" spans="16:16" x14ac:dyDescent="0.2">
      <c r="P3571" s="139"/>
    </row>
    <row r="3572" spans="16:16" x14ac:dyDescent="0.2">
      <c r="P3572" s="139"/>
    </row>
    <row r="3573" spans="16:16" x14ac:dyDescent="0.2">
      <c r="P3573" s="139"/>
    </row>
    <row r="3574" spans="16:16" x14ac:dyDescent="0.2">
      <c r="P3574" s="139"/>
    </row>
    <row r="3575" spans="16:16" x14ac:dyDescent="0.2">
      <c r="P3575" s="139"/>
    </row>
    <row r="3576" spans="16:16" x14ac:dyDescent="0.2">
      <c r="P3576" s="139"/>
    </row>
    <row r="3577" spans="16:16" x14ac:dyDescent="0.2">
      <c r="P3577" s="139"/>
    </row>
    <row r="3578" spans="16:16" x14ac:dyDescent="0.2">
      <c r="P3578" s="139"/>
    </row>
    <row r="3579" spans="16:16" x14ac:dyDescent="0.2">
      <c r="P3579" s="139"/>
    </row>
    <row r="3580" spans="16:16" x14ac:dyDescent="0.2">
      <c r="P3580" s="139"/>
    </row>
    <row r="3581" spans="16:16" x14ac:dyDescent="0.2">
      <c r="P3581" s="139"/>
    </row>
    <row r="3582" spans="16:16" x14ac:dyDescent="0.2">
      <c r="P3582" s="139"/>
    </row>
    <row r="3583" spans="16:16" x14ac:dyDescent="0.2">
      <c r="P3583" s="139"/>
    </row>
    <row r="3584" spans="16:16" x14ac:dyDescent="0.2">
      <c r="P3584" s="139"/>
    </row>
    <row r="3585" spans="16:16" x14ac:dyDescent="0.2">
      <c r="P3585" s="139"/>
    </row>
    <row r="3586" spans="16:16" x14ac:dyDescent="0.2">
      <c r="P3586" s="139"/>
    </row>
    <row r="3587" spans="16:16" x14ac:dyDescent="0.2">
      <c r="P3587" s="139"/>
    </row>
    <row r="3588" spans="16:16" x14ac:dyDescent="0.2">
      <c r="P3588" s="139"/>
    </row>
    <row r="3589" spans="16:16" x14ac:dyDescent="0.2">
      <c r="P3589" s="139"/>
    </row>
    <row r="3590" spans="16:16" x14ac:dyDescent="0.2">
      <c r="P3590" s="139"/>
    </row>
    <row r="3591" spans="16:16" x14ac:dyDescent="0.2">
      <c r="P3591" s="139"/>
    </row>
    <row r="3592" spans="16:16" x14ac:dyDescent="0.2">
      <c r="P3592" s="139"/>
    </row>
    <row r="3593" spans="16:16" x14ac:dyDescent="0.2">
      <c r="P3593" s="139"/>
    </row>
    <row r="3594" spans="16:16" x14ac:dyDescent="0.2">
      <c r="P3594" s="139"/>
    </row>
    <row r="3595" spans="16:16" x14ac:dyDescent="0.2">
      <c r="P3595" s="139"/>
    </row>
    <row r="3596" spans="16:16" x14ac:dyDescent="0.2">
      <c r="P3596" s="139"/>
    </row>
    <row r="3597" spans="16:16" x14ac:dyDescent="0.2">
      <c r="P3597" s="139"/>
    </row>
    <row r="3598" spans="16:16" x14ac:dyDescent="0.2">
      <c r="P3598" s="139"/>
    </row>
    <row r="3599" spans="16:16" x14ac:dyDescent="0.2">
      <c r="P3599" s="139"/>
    </row>
    <row r="3600" spans="16:16" x14ac:dyDescent="0.2">
      <c r="P3600" s="139"/>
    </row>
    <row r="3601" spans="16:16" x14ac:dyDescent="0.2">
      <c r="P3601" s="139"/>
    </row>
    <row r="3602" spans="16:16" x14ac:dyDescent="0.2">
      <c r="P3602" s="139"/>
    </row>
    <row r="3603" spans="16:16" x14ac:dyDescent="0.2">
      <c r="P3603" s="139"/>
    </row>
    <row r="3604" spans="16:16" x14ac:dyDescent="0.2">
      <c r="P3604" s="139"/>
    </row>
    <row r="3605" spans="16:16" x14ac:dyDescent="0.2">
      <c r="P3605" s="139"/>
    </row>
    <row r="3606" spans="16:16" x14ac:dyDescent="0.2">
      <c r="P3606" s="139"/>
    </row>
    <row r="3607" spans="16:16" x14ac:dyDescent="0.2">
      <c r="P3607" s="139"/>
    </row>
    <row r="3608" spans="16:16" x14ac:dyDescent="0.2">
      <c r="P3608" s="139"/>
    </row>
    <row r="3609" spans="16:16" x14ac:dyDescent="0.2">
      <c r="P3609" s="139"/>
    </row>
    <row r="3610" spans="16:16" x14ac:dyDescent="0.2">
      <c r="P3610" s="139"/>
    </row>
    <row r="3611" spans="16:16" x14ac:dyDescent="0.2">
      <c r="P3611" s="139"/>
    </row>
    <row r="3612" spans="16:16" x14ac:dyDescent="0.2">
      <c r="P3612" s="139"/>
    </row>
    <row r="3613" spans="16:16" x14ac:dyDescent="0.2">
      <c r="P3613" s="139"/>
    </row>
    <row r="3614" spans="16:16" x14ac:dyDescent="0.2">
      <c r="P3614" s="139"/>
    </row>
    <row r="3615" spans="16:16" x14ac:dyDescent="0.2">
      <c r="P3615" s="139"/>
    </row>
    <row r="3616" spans="16:16" x14ac:dyDescent="0.2">
      <c r="P3616" s="139"/>
    </row>
    <row r="3617" spans="16:16" x14ac:dyDescent="0.2">
      <c r="P3617" s="139"/>
    </row>
    <row r="3618" spans="16:16" x14ac:dyDescent="0.2">
      <c r="P3618" s="139"/>
    </row>
    <row r="3619" spans="16:16" x14ac:dyDescent="0.2">
      <c r="P3619" s="139"/>
    </row>
    <row r="3620" spans="16:16" x14ac:dyDescent="0.2">
      <c r="P3620" s="139"/>
    </row>
    <row r="3621" spans="16:16" x14ac:dyDescent="0.2">
      <c r="P3621" s="139"/>
    </row>
    <row r="3622" spans="16:16" x14ac:dyDescent="0.2">
      <c r="P3622" s="139"/>
    </row>
    <row r="3623" spans="16:16" x14ac:dyDescent="0.2">
      <c r="P3623" s="139"/>
    </row>
    <row r="3624" spans="16:16" x14ac:dyDescent="0.2">
      <c r="P3624" s="139"/>
    </row>
    <row r="3625" spans="16:16" x14ac:dyDescent="0.2">
      <c r="P3625" s="139"/>
    </row>
    <row r="3626" spans="16:16" x14ac:dyDescent="0.2">
      <c r="P3626" s="139"/>
    </row>
    <row r="3627" spans="16:16" x14ac:dyDescent="0.2">
      <c r="P3627" s="139"/>
    </row>
    <row r="3628" spans="16:16" x14ac:dyDescent="0.2">
      <c r="P3628" s="139"/>
    </row>
    <row r="3629" spans="16:16" x14ac:dyDescent="0.2">
      <c r="P3629" s="139"/>
    </row>
    <row r="3630" spans="16:16" x14ac:dyDescent="0.2">
      <c r="P3630" s="139"/>
    </row>
    <row r="3631" spans="16:16" x14ac:dyDescent="0.2">
      <c r="P3631" s="139"/>
    </row>
    <row r="3632" spans="16:16" x14ac:dyDescent="0.2">
      <c r="P3632" s="139"/>
    </row>
    <row r="3633" spans="16:16" x14ac:dyDescent="0.2">
      <c r="P3633" s="139"/>
    </row>
    <row r="3634" spans="16:16" x14ac:dyDescent="0.2">
      <c r="P3634" s="139"/>
    </row>
    <row r="3635" spans="16:16" x14ac:dyDescent="0.2">
      <c r="P3635" s="139"/>
    </row>
    <row r="3636" spans="16:16" x14ac:dyDescent="0.2">
      <c r="P3636" s="139"/>
    </row>
    <row r="3637" spans="16:16" x14ac:dyDescent="0.2">
      <c r="P3637" s="139"/>
    </row>
    <row r="3638" spans="16:16" x14ac:dyDescent="0.2">
      <c r="P3638" s="139"/>
    </row>
    <row r="3639" spans="16:16" x14ac:dyDescent="0.2">
      <c r="P3639" s="139"/>
    </row>
    <row r="3640" spans="16:16" x14ac:dyDescent="0.2">
      <c r="P3640" s="139"/>
    </row>
    <row r="3641" spans="16:16" x14ac:dyDescent="0.2">
      <c r="P3641" s="139"/>
    </row>
    <row r="3642" spans="16:16" x14ac:dyDescent="0.2">
      <c r="P3642" s="139"/>
    </row>
    <row r="3643" spans="16:16" x14ac:dyDescent="0.2">
      <c r="P3643" s="139"/>
    </row>
    <row r="3644" spans="16:16" x14ac:dyDescent="0.2">
      <c r="P3644" s="139"/>
    </row>
    <row r="3645" spans="16:16" x14ac:dyDescent="0.2">
      <c r="P3645" s="139"/>
    </row>
    <row r="3646" spans="16:16" x14ac:dyDescent="0.2">
      <c r="P3646" s="139"/>
    </row>
    <row r="3647" spans="16:16" x14ac:dyDescent="0.2">
      <c r="P3647" s="139"/>
    </row>
    <row r="3648" spans="16:16" x14ac:dyDescent="0.2">
      <c r="P3648" s="139"/>
    </row>
    <row r="3649" spans="16:16" x14ac:dyDescent="0.2">
      <c r="P3649" s="139"/>
    </row>
    <row r="3650" spans="16:16" x14ac:dyDescent="0.2">
      <c r="P3650" s="139"/>
    </row>
    <row r="3651" spans="16:16" x14ac:dyDescent="0.2">
      <c r="P3651" s="139"/>
    </row>
    <row r="3652" spans="16:16" x14ac:dyDescent="0.2">
      <c r="P3652" s="139"/>
    </row>
    <row r="3653" spans="16:16" x14ac:dyDescent="0.2">
      <c r="P3653" s="139"/>
    </row>
    <row r="3654" spans="16:16" x14ac:dyDescent="0.2">
      <c r="P3654" s="139"/>
    </row>
    <row r="3655" spans="16:16" x14ac:dyDescent="0.2">
      <c r="P3655" s="139"/>
    </row>
    <row r="3656" spans="16:16" x14ac:dyDescent="0.2">
      <c r="P3656" s="139"/>
    </row>
    <row r="3657" spans="16:16" x14ac:dyDescent="0.2">
      <c r="P3657" s="139"/>
    </row>
    <row r="3658" spans="16:16" x14ac:dyDescent="0.2">
      <c r="P3658" s="139"/>
    </row>
    <row r="3659" spans="16:16" x14ac:dyDescent="0.2">
      <c r="P3659" s="139"/>
    </row>
    <row r="3660" spans="16:16" x14ac:dyDescent="0.2">
      <c r="P3660" s="139"/>
    </row>
    <row r="3661" spans="16:16" x14ac:dyDescent="0.2">
      <c r="P3661" s="139"/>
    </row>
    <row r="3662" spans="16:16" x14ac:dyDescent="0.2">
      <c r="P3662" s="139"/>
    </row>
    <row r="3663" spans="16:16" x14ac:dyDescent="0.2">
      <c r="P3663" s="139"/>
    </row>
    <row r="3664" spans="16:16" x14ac:dyDescent="0.2">
      <c r="P3664" s="139"/>
    </row>
    <row r="3665" spans="16:16" x14ac:dyDescent="0.2">
      <c r="P3665" s="139"/>
    </row>
    <row r="3666" spans="16:16" x14ac:dyDescent="0.2">
      <c r="P3666" s="139"/>
    </row>
    <row r="3667" spans="16:16" x14ac:dyDescent="0.2">
      <c r="P3667" s="139"/>
    </row>
    <row r="3668" spans="16:16" x14ac:dyDescent="0.2">
      <c r="P3668" s="139"/>
    </row>
    <row r="3669" spans="16:16" x14ac:dyDescent="0.2">
      <c r="P3669" s="139"/>
    </row>
    <row r="3670" spans="16:16" x14ac:dyDescent="0.2">
      <c r="P3670" s="139"/>
    </row>
    <row r="3671" spans="16:16" x14ac:dyDescent="0.2">
      <c r="P3671" s="139"/>
    </row>
    <row r="3672" spans="16:16" x14ac:dyDescent="0.2">
      <c r="P3672" s="139"/>
    </row>
    <row r="3673" spans="16:16" x14ac:dyDescent="0.2">
      <c r="P3673" s="139"/>
    </row>
    <row r="3674" spans="16:16" x14ac:dyDescent="0.2">
      <c r="P3674" s="139"/>
    </row>
    <row r="3675" spans="16:16" x14ac:dyDescent="0.2">
      <c r="P3675" s="139"/>
    </row>
    <row r="3676" spans="16:16" x14ac:dyDescent="0.2">
      <c r="P3676" s="139"/>
    </row>
    <row r="3677" spans="16:16" x14ac:dyDescent="0.2">
      <c r="P3677" s="139"/>
    </row>
    <row r="3678" spans="16:16" x14ac:dyDescent="0.2">
      <c r="P3678" s="139"/>
    </row>
    <row r="3679" spans="16:16" x14ac:dyDescent="0.2">
      <c r="P3679" s="139"/>
    </row>
    <row r="3680" spans="16:16" x14ac:dyDescent="0.2">
      <c r="P3680" s="139"/>
    </row>
    <row r="3681" spans="16:16" x14ac:dyDescent="0.2">
      <c r="P3681" s="139"/>
    </row>
    <row r="3682" spans="16:16" x14ac:dyDescent="0.2">
      <c r="P3682" s="139"/>
    </row>
    <row r="3683" spans="16:16" x14ac:dyDescent="0.2">
      <c r="P3683" s="139"/>
    </row>
    <row r="3684" spans="16:16" x14ac:dyDescent="0.2">
      <c r="P3684" s="139"/>
    </row>
    <row r="3685" spans="16:16" x14ac:dyDescent="0.2">
      <c r="P3685" s="139"/>
    </row>
    <row r="3686" spans="16:16" x14ac:dyDescent="0.2">
      <c r="P3686" s="139"/>
    </row>
    <row r="3687" spans="16:16" x14ac:dyDescent="0.2">
      <c r="P3687" s="139"/>
    </row>
    <row r="3688" spans="16:16" x14ac:dyDescent="0.2">
      <c r="P3688" s="139"/>
    </row>
    <row r="3689" spans="16:16" x14ac:dyDescent="0.2">
      <c r="P3689" s="139"/>
    </row>
    <row r="3690" spans="16:16" x14ac:dyDescent="0.2">
      <c r="P3690" s="139"/>
    </row>
    <row r="3691" spans="16:16" x14ac:dyDescent="0.2">
      <c r="P3691" s="139"/>
    </row>
    <row r="3692" spans="16:16" x14ac:dyDescent="0.2">
      <c r="P3692" s="139"/>
    </row>
    <row r="3693" spans="16:16" x14ac:dyDescent="0.2">
      <c r="P3693" s="139"/>
    </row>
    <row r="3694" spans="16:16" x14ac:dyDescent="0.2">
      <c r="P3694" s="139"/>
    </row>
    <row r="3695" spans="16:16" x14ac:dyDescent="0.2">
      <c r="P3695" s="139"/>
    </row>
    <row r="3696" spans="16:16" x14ac:dyDescent="0.2">
      <c r="P3696" s="139"/>
    </row>
    <row r="3697" spans="16:16" x14ac:dyDescent="0.2">
      <c r="P3697" s="139"/>
    </row>
    <row r="3698" spans="16:16" x14ac:dyDescent="0.2">
      <c r="P3698" s="139"/>
    </row>
    <row r="3699" spans="16:16" x14ac:dyDescent="0.2">
      <c r="P3699" s="139"/>
    </row>
    <row r="3700" spans="16:16" x14ac:dyDescent="0.2">
      <c r="P3700" s="139"/>
    </row>
    <row r="3701" spans="16:16" x14ac:dyDescent="0.2">
      <c r="P3701" s="139"/>
    </row>
    <row r="3702" spans="16:16" x14ac:dyDescent="0.2">
      <c r="P3702" s="139"/>
    </row>
    <row r="3703" spans="16:16" x14ac:dyDescent="0.2">
      <c r="P3703" s="139"/>
    </row>
    <row r="3704" spans="16:16" x14ac:dyDescent="0.2">
      <c r="P3704" s="139"/>
    </row>
    <row r="3705" spans="16:16" x14ac:dyDescent="0.2">
      <c r="P3705" s="139"/>
    </row>
    <row r="3706" spans="16:16" x14ac:dyDescent="0.2">
      <c r="P3706" s="139"/>
    </row>
    <row r="3707" spans="16:16" x14ac:dyDescent="0.2">
      <c r="P3707" s="139"/>
    </row>
    <row r="3708" spans="16:16" x14ac:dyDescent="0.2">
      <c r="P3708" s="139"/>
    </row>
    <row r="3709" spans="16:16" x14ac:dyDescent="0.2">
      <c r="P3709" s="139"/>
    </row>
    <row r="3710" spans="16:16" x14ac:dyDescent="0.2">
      <c r="P3710" s="139"/>
    </row>
    <row r="3711" spans="16:16" x14ac:dyDescent="0.2">
      <c r="P3711" s="139"/>
    </row>
    <row r="3712" spans="16:16" x14ac:dyDescent="0.2">
      <c r="P3712" s="139"/>
    </row>
    <row r="3713" spans="16:16" x14ac:dyDescent="0.2">
      <c r="P3713" s="139"/>
    </row>
    <row r="3714" spans="16:16" x14ac:dyDescent="0.2">
      <c r="P3714" s="139"/>
    </row>
    <row r="3715" spans="16:16" x14ac:dyDescent="0.2">
      <c r="P3715" s="139"/>
    </row>
    <row r="3716" spans="16:16" x14ac:dyDescent="0.2">
      <c r="P3716" s="139"/>
    </row>
    <row r="3717" spans="16:16" x14ac:dyDescent="0.2">
      <c r="P3717" s="139"/>
    </row>
    <row r="3718" spans="16:16" x14ac:dyDescent="0.2">
      <c r="P3718" s="139"/>
    </row>
    <row r="3719" spans="16:16" x14ac:dyDescent="0.2">
      <c r="P3719" s="139"/>
    </row>
    <row r="3720" spans="16:16" x14ac:dyDescent="0.2">
      <c r="P3720" s="139"/>
    </row>
    <row r="3721" spans="16:16" x14ac:dyDescent="0.2">
      <c r="P3721" s="139"/>
    </row>
    <row r="3722" spans="16:16" x14ac:dyDescent="0.2">
      <c r="P3722" s="139"/>
    </row>
    <row r="3723" spans="16:16" x14ac:dyDescent="0.2">
      <c r="P3723" s="139"/>
    </row>
    <row r="3724" spans="16:16" x14ac:dyDescent="0.2">
      <c r="P3724" s="139"/>
    </row>
    <row r="3725" spans="16:16" x14ac:dyDescent="0.2">
      <c r="P3725" s="139"/>
    </row>
    <row r="3726" spans="16:16" x14ac:dyDescent="0.2">
      <c r="P3726" s="139"/>
    </row>
    <row r="3727" spans="16:16" x14ac:dyDescent="0.2">
      <c r="P3727" s="139"/>
    </row>
    <row r="3728" spans="16:16" x14ac:dyDescent="0.2">
      <c r="P3728" s="139"/>
    </row>
    <row r="3729" spans="16:16" x14ac:dyDescent="0.2">
      <c r="P3729" s="139"/>
    </row>
    <row r="3730" spans="16:16" x14ac:dyDescent="0.2">
      <c r="P3730" s="139"/>
    </row>
    <row r="3731" spans="16:16" x14ac:dyDescent="0.2">
      <c r="P3731" s="139"/>
    </row>
    <row r="3732" spans="16:16" x14ac:dyDescent="0.2">
      <c r="P3732" s="139"/>
    </row>
    <row r="3733" spans="16:16" x14ac:dyDescent="0.2">
      <c r="P3733" s="139"/>
    </row>
    <row r="3734" spans="16:16" x14ac:dyDescent="0.2">
      <c r="P3734" s="139"/>
    </row>
    <row r="3735" spans="16:16" x14ac:dyDescent="0.2">
      <c r="P3735" s="139"/>
    </row>
    <row r="3736" spans="16:16" x14ac:dyDescent="0.2">
      <c r="P3736" s="139"/>
    </row>
    <row r="3737" spans="16:16" x14ac:dyDescent="0.2">
      <c r="P3737" s="139"/>
    </row>
    <row r="3738" spans="16:16" x14ac:dyDescent="0.2">
      <c r="P3738" s="139"/>
    </row>
    <row r="3739" spans="16:16" x14ac:dyDescent="0.2">
      <c r="P3739" s="139"/>
    </row>
    <row r="3740" spans="16:16" x14ac:dyDescent="0.2">
      <c r="P3740" s="139"/>
    </row>
    <row r="3741" spans="16:16" x14ac:dyDescent="0.2">
      <c r="P3741" s="139"/>
    </row>
    <row r="3742" spans="16:16" x14ac:dyDescent="0.2">
      <c r="P3742" s="139"/>
    </row>
    <row r="3743" spans="16:16" x14ac:dyDescent="0.2">
      <c r="P3743" s="139"/>
    </row>
    <row r="3744" spans="16:16" x14ac:dyDescent="0.2">
      <c r="P3744" s="139"/>
    </row>
    <row r="3745" spans="16:16" x14ac:dyDescent="0.2">
      <c r="P3745" s="139"/>
    </row>
    <row r="3746" spans="16:16" x14ac:dyDescent="0.2">
      <c r="P3746" s="139"/>
    </row>
    <row r="3747" spans="16:16" x14ac:dyDescent="0.2">
      <c r="P3747" s="139"/>
    </row>
    <row r="3748" spans="16:16" x14ac:dyDescent="0.2">
      <c r="P3748" s="139"/>
    </row>
    <row r="3749" spans="16:16" x14ac:dyDescent="0.2">
      <c r="P3749" s="139"/>
    </row>
    <row r="3750" spans="16:16" x14ac:dyDescent="0.2">
      <c r="P3750" s="139"/>
    </row>
    <row r="3751" spans="16:16" x14ac:dyDescent="0.2">
      <c r="P3751" s="139"/>
    </row>
    <row r="3752" spans="16:16" x14ac:dyDescent="0.2">
      <c r="P3752" s="139"/>
    </row>
    <row r="3753" spans="16:16" x14ac:dyDescent="0.2">
      <c r="P3753" s="139"/>
    </row>
    <row r="3754" spans="16:16" x14ac:dyDescent="0.2">
      <c r="P3754" s="139"/>
    </row>
    <row r="3755" spans="16:16" x14ac:dyDescent="0.2">
      <c r="P3755" s="139"/>
    </row>
    <row r="3756" spans="16:16" x14ac:dyDescent="0.2">
      <c r="P3756" s="139"/>
    </row>
    <row r="3757" spans="16:16" x14ac:dyDescent="0.2">
      <c r="P3757" s="139"/>
    </row>
    <row r="3758" spans="16:16" x14ac:dyDescent="0.2">
      <c r="P3758" s="139"/>
    </row>
    <row r="3759" spans="16:16" x14ac:dyDescent="0.2">
      <c r="P3759" s="139"/>
    </row>
    <row r="3760" spans="16:16" x14ac:dyDescent="0.2">
      <c r="P3760" s="139"/>
    </row>
    <row r="3761" spans="16:16" x14ac:dyDescent="0.2">
      <c r="P3761" s="139"/>
    </row>
    <row r="3762" spans="16:16" x14ac:dyDescent="0.2">
      <c r="P3762" s="139"/>
    </row>
    <row r="3763" spans="16:16" x14ac:dyDescent="0.2">
      <c r="P3763" s="139"/>
    </row>
    <row r="3764" spans="16:16" x14ac:dyDescent="0.2">
      <c r="P3764" s="139"/>
    </row>
    <row r="3765" spans="16:16" x14ac:dyDescent="0.2">
      <c r="P3765" s="139"/>
    </row>
    <row r="3766" spans="16:16" x14ac:dyDescent="0.2">
      <c r="P3766" s="139"/>
    </row>
    <row r="3767" spans="16:16" x14ac:dyDescent="0.2">
      <c r="P3767" s="139"/>
    </row>
    <row r="3768" spans="16:16" x14ac:dyDescent="0.2">
      <c r="P3768" s="139"/>
    </row>
    <row r="3769" spans="16:16" x14ac:dyDescent="0.2">
      <c r="P3769" s="139"/>
    </row>
    <row r="3770" spans="16:16" x14ac:dyDescent="0.2">
      <c r="P3770" s="139"/>
    </row>
    <row r="3771" spans="16:16" x14ac:dyDescent="0.2">
      <c r="P3771" s="139"/>
    </row>
    <row r="3772" spans="16:16" x14ac:dyDescent="0.2">
      <c r="P3772" s="139"/>
    </row>
    <row r="3773" spans="16:16" x14ac:dyDescent="0.2">
      <c r="P3773" s="139"/>
    </row>
    <row r="3774" spans="16:16" x14ac:dyDescent="0.2">
      <c r="P3774" s="139"/>
    </row>
    <row r="3775" spans="16:16" x14ac:dyDescent="0.2">
      <c r="P3775" s="139"/>
    </row>
    <row r="3776" spans="16:16" x14ac:dyDescent="0.2">
      <c r="P3776" s="139"/>
    </row>
    <row r="3777" spans="16:16" x14ac:dyDescent="0.2">
      <c r="P3777" s="139"/>
    </row>
    <row r="3778" spans="16:16" x14ac:dyDescent="0.2">
      <c r="P3778" s="139"/>
    </row>
    <row r="3779" spans="16:16" x14ac:dyDescent="0.2">
      <c r="P3779" s="139"/>
    </row>
    <row r="3780" spans="16:16" x14ac:dyDescent="0.2">
      <c r="P3780" s="139"/>
    </row>
    <row r="3781" spans="16:16" x14ac:dyDescent="0.2">
      <c r="P3781" s="139"/>
    </row>
    <row r="3782" spans="16:16" x14ac:dyDescent="0.2">
      <c r="P3782" s="139"/>
    </row>
    <row r="3783" spans="16:16" x14ac:dyDescent="0.2">
      <c r="P3783" s="139"/>
    </row>
    <row r="3784" spans="16:16" x14ac:dyDescent="0.2">
      <c r="P3784" s="139"/>
    </row>
    <row r="3785" spans="16:16" x14ac:dyDescent="0.2">
      <c r="P3785" s="139"/>
    </row>
    <row r="3786" spans="16:16" x14ac:dyDescent="0.2">
      <c r="P3786" s="139"/>
    </row>
    <row r="3787" spans="16:16" x14ac:dyDescent="0.2">
      <c r="P3787" s="139"/>
    </row>
    <row r="3788" spans="16:16" x14ac:dyDescent="0.2">
      <c r="P3788" s="139"/>
    </row>
    <row r="3789" spans="16:16" x14ac:dyDescent="0.2">
      <c r="P3789" s="139"/>
    </row>
    <row r="3790" spans="16:16" x14ac:dyDescent="0.2">
      <c r="P3790" s="139"/>
    </row>
    <row r="3791" spans="16:16" x14ac:dyDescent="0.2">
      <c r="P3791" s="139"/>
    </row>
    <row r="3792" spans="16:16" x14ac:dyDescent="0.2">
      <c r="P3792" s="139"/>
    </row>
    <row r="3793" spans="16:16" x14ac:dyDescent="0.2">
      <c r="P3793" s="139"/>
    </row>
    <row r="3794" spans="16:16" x14ac:dyDescent="0.2">
      <c r="P3794" s="139"/>
    </row>
    <row r="3795" spans="16:16" x14ac:dyDescent="0.2">
      <c r="P3795" s="139"/>
    </row>
    <row r="3796" spans="16:16" x14ac:dyDescent="0.2">
      <c r="P3796" s="139"/>
    </row>
    <row r="3797" spans="16:16" x14ac:dyDescent="0.2">
      <c r="P3797" s="139"/>
    </row>
    <row r="3798" spans="16:16" x14ac:dyDescent="0.2">
      <c r="P3798" s="139"/>
    </row>
    <row r="3799" spans="16:16" x14ac:dyDescent="0.2">
      <c r="P3799" s="139"/>
    </row>
    <row r="3800" spans="16:16" x14ac:dyDescent="0.2">
      <c r="P3800" s="139"/>
    </row>
    <row r="3801" spans="16:16" x14ac:dyDescent="0.2">
      <c r="P3801" s="139"/>
    </row>
    <row r="3802" spans="16:16" x14ac:dyDescent="0.2">
      <c r="P3802" s="139"/>
    </row>
    <row r="3803" spans="16:16" x14ac:dyDescent="0.2">
      <c r="P3803" s="139"/>
    </row>
    <row r="3804" spans="16:16" x14ac:dyDescent="0.2">
      <c r="P3804" s="139"/>
    </row>
    <row r="3805" spans="16:16" x14ac:dyDescent="0.2">
      <c r="P3805" s="139"/>
    </row>
    <row r="3806" spans="16:16" x14ac:dyDescent="0.2">
      <c r="P3806" s="139"/>
    </row>
    <row r="3807" spans="16:16" x14ac:dyDescent="0.2">
      <c r="P3807" s="139"/>
    </row>
    <row r="3808" spans="16:16" x14ac:dyDescent="0.2">
      <c r="P3808" s="139"/>
    </row>
    <row r="3809" spans="16:16" x14ac:dyDescent="0.2">
      <c r="P3809" s="139"/>
    </row>
    <row r="3810" spans="16:16" x14ac:dyDescent="0.2">
      <c r="P3810" s="139"/>
    </row>
    <row r="3811" spans="16:16" x14ac:dyDescent="0.2">
      <c r="P3811" s="139"/>
    </row>
    <row r="3812" spans="16:16" x14ac:dyDescent="0.2">
      <c r="P3812" s="139"/>
    </row>
    <row r="3813" spans="16:16" x14ac:dyDescent="0.2">
      <c r="P3813" s="139"/>
    </row>
    <row r="3814" spans="16:16" x14ac:dyDescent="0.2">
      <c r="P3814" s="139"/>
    </row>
    <row r="3815" spans="16:16" x14ac:dyDescent="0.2">
      <c r="P3815" s="139"/>
    </row>
    <row r="3816" spans="16:16" x14ac:dyDescent="0.2">
      <c r="P3816" s="139"/>
    </row>
    <row r="3817" spans="16:16" x14ac:dyDescent="0.2">
      <c r="P3817" s="139"/>
    </row>
    <row r="3818" spans="16:16" x14ac:dyDescent="0.2">
      <c r="P3818" s="139"/>
    </row>
    <row r="3819" spans="16:16" x14ac:dyDescent="0.2">
      <c r="P3819" s="139"/>
    </row>
    <row r="3820" spans="16:16" x14ac:dyDescent="0.2">
      <c r="P3820" s="139"/>
    </row>
    <row r="3821" spans="16:16" x14ac:dyDescent="0.2">
      <c r="P3821" s="139"/>
    </row>
    <row r="3822" spans="16:16" x14ac:dyDescent="0.2">
      <c r="P3822" s="139"/>
    </row>
    <row r="3823" spans="16:16" x14ac:dyDescent="0.2">
      <c r="P3823" s="139"/>
    </row>
    <row r="3824" spans="16:16" x14ac:dyDescent="0.2">
      <c r="P3824" s="139"/>
    </row>
    <row r="3825" spans="16:16" x14ac:dyDescent="0.2">
      <c r="P3825" s="139"/>
    </row>
    <row r="3826" spans="16:16" x14ac:dyDescent="0.2">
      <c r="P3826" s="139"/>
    </row>
    <row r="3827" spans="16:16" x14ac:dyDescent="0.2">
      <c r="P3827" s="139"/>
    </row>
    <row r="3828" spans="16:16" x14ac:dyDescent="0.2">
      <c r="P3828" s="139"/>
    </row>
    <row r="3829" spans="16:16" x14ac:dyDescent="0.2">
      <c r="P3829" s="139"/>
    </row>
    <row r="3830" spans="16:16" x14ac:dyDescent="0.2">
      <c r="P3830" s="139"/>
    </row>
    <row r="3831" spans="16:16" x14ac:dyDescent="0.2">
      <c r="P3831" s="139"/>
    </row>
    <row r="3832" spans="16:16" x14ac:dyDescent="0.2">
      <c r="P3832" s="139"/>
    </row>
    <row r="3833" spans="16:16" x14ac:dyDescent="0.2">
      <c r="P3833" s="139"/>
    </row>
    <row r="3834" spans="16:16" x14ac:dyDescent="0.2">
      <c r="P3834" s="139"/>
    </row>
    <row r="3835" spans="16:16" x14ac:dyDescent="0.2">
      <c r="P3835" s="139"/>
    </row>
    <row r="3836" spans="16:16" x14ac:dyDescent="0.2">
      <c r="P3836" s="139"/>
    </row>
    <row r="3837" spans="16:16" x14ac:dyDescent="0.2">
      <c r="P3837" s="139"/>
    </row>
    <row r="3838" spans="16:16" x14ac:dyDescent="0.2">
      <c r="P3838" s="139"/>
    </row>
    <row r="3839" spans="16:16" x14ac:dyDescent="0.2">
      <c r="P3839" s="139"/>
    </row>
    <row r="3840" spans="16:16" x14ac:dyDescent="0.2">
      <c r="P3840" s="139"/>
    </row>
    <row r="3841" spans="16:16" x14ac:dyDescent="0.2">
      <c r="P3841" s="139"/>
    </row>
    <row r="3842" spans="16:16" x14ac:dyDescent="0.2">
      <c r="P3842" s="139"/>
    </row>
    <row r="3843" spans="16:16" x14ac:dyDescent="0.2">
      <c r="P3843" s="139"/>
    </row>
    <row r="3844" spans="16:16" x14ac:dyDescent="0.2">
      <c r="P3844" s="139"/>
    </row>
    <row r="3845" spans="16:16" x14ac:dyDescent="0.2">
      <c r="P3845" s="139"/>
    </row>
    <row r="3846" spans="16:16" x14ac:dyDescent="0.2">
      <c r="P3846" s="139"/>
    </row>
    <row r="3847" spans="16:16" x14ac:dyDescent="0.2">
      <c r="P3847" s="139"/>
    </row>
    <row r="3848" spans="16:16" x14ac:dyDescent="0.2">
      <c r="P3848" s="139"/>
    </row>
    <row r="3849" spans="16:16" x14ac:dyDescent="0.2">
      <c r="P3849" s="139"/>
    </row>
    <row r="3850" spans="16:16" x14ac:dyDescent="0.2">
      <c r="P3850" s="139"/>
    </row>
    <row r="3851" spans="16:16" x14ac:dyDescent="0.2">
      <c r="P3851" s="139"/>
    </row>
    <row r="3852" spans="16:16" x14ac:dyDescent="0.2">
      <c r="P3852" s="139"/>
    </row>
    <row r="3853" spans="16:16" x14ac:dyDescent="0.2">
      <c r="P3853" s="139"/>
    </row>
    <row r="3854" spans="16:16" x14ac:dyDescent="0.2">
      <c r="P3854" s="139"/>
    </row>
    <row r="3855" spans="16:16" x14ac:dyDescent="0.2">
      <c r="P3855" s="139"/>
    </row>
    <row r="3856" spans="16:16" x14ac:dyDescent="0.2">
      <c r="P3856" s="139"/>
    </row>
    <row r="3857" spans="16:16" x14ac:dyDescent="0.2">
      <c r="P3857" s="139"/>
    </row>
    <row r="3858" spans="16:16" x14ac:dyDescent="0.2">
      <c r="P3858" s="139"/>
    </row>
    <row r="3859" spans="16:16" x14ac:dyDescent="0.2">
      <c r="P3859" s="139"/>
    </row>
    <row r="3860" spans="16:16" x14ac:dyDescent="0.2">
      <c r="P3860" s="139"/>
    </row>
    <row r="3861" spans="16:16" x14ac:dyDescent="0.2">
      <c r="P3861" s="139"/>
    </row>
    <row r="3862" spans="16:16" x14ac:dyDescent="0.2">
      <c r="P3862" s="139"/>
    </row>
    <row r="3863" spans="16:16" x14ac:dyDescent="0.2">
      <c r="P3863" s="139"/>
    </row>
    <row r="3864" spans="16:16" x14ac:dyDescent="0.2">
      <c r="P3864" s="139"/>
    </row>
    <row r="3865" spans="16:16" x14ac:dyDescent="0.2">
      <c r="P3865" s="139"/>
    </row>
    <row r="3866" spans="16:16" x14ac:dyDescent="0.2">
      <c r="P3866" s="139"/>
    </row>
    <row r="3867" spans="16:16" x14ac:dyDescent="0.2">
      <c r="P3867" s="139"/>
    </row>
    <row r="3868" spans="16:16" x14ac:dyDescent="0.2">
      <c r="P3868" s="139"/>
    </row>
    <row r="3869" spans="16:16" x14ac:dyDescent="0.2">
      <c r="P3869" s="139"/>
    </row>
    <row r="3870" spans="16:16" x14ac:dyDescent="0.2">
      <c r="P3870" s="139"/>
    </row>
    <row r="3871" spans="16:16" x14ac:dyDescent="0.2">
      <c r="P3871" s="139"/>
    </row>
    <row r="3872" spans="16:16" x14ac:dyDescent="0.2">
      <c r="P3872" s="139"/>
    </row>
    <row r="3873" spans="16:16" x14ac:dyDescent="0.2">
      <c r="P3873" s="139"/>
    </row>
    <row r="3874" spans="16:16" x14ac:dyDescent="0.2">
      <c r="P3874" s="139"/>
    </row>
    <row r="3875" spans="16:16" x14ac:dyDescent="0.2">
      <c r="P3875" s="139"/>
    </row>
    <row r="3876" spans="16:16" x14ac:dyDescent="0.2">
      <c r="P3876" s="139"/>
    </row>
    <row r="3877" spans="16:16" x14ac:dyDescent="0.2">
      <c r="P3877" s="139"/>
    </row>
    <row r="3878" spans="16:16" x14ac:dyDescent="0.2">
      <c r="P3878" s="139"/>
    </row>
    <row r="3879" spans="16:16" x14ac:dyDescent="0.2">
      <c r="P3879" s="139"/>
    </row>
    <row r="3880" spans="16:16" x14ac:dyDescent="0.2">
      <c r="P3880" s="139"/>
    </row>
    <row r="3881" spans="16:16" x14ac:dyDescent="0.2">
      <c r="P3881" s="139"/>
    </row>
    <row r="3882" spans="16:16" x14ac:dyDescent="0.2">
      <c r="P3882" s="139"/>
    </row>
    <row r="3883" spans="16:16" x14ac:dyDescent="0.2">
      <c r="P3883" s="139"/>
    </row>
    <row r="3884" spans="16:16" x14ac:dyDescent="0.2">
      <c r="P3884" s="139"/>
    </row>
    <row r="3885" spans="16:16" x14ac:dyDescent="0.2">
      <c r="P3885" s="139"/>
    </row>
    <row r="3886" spans="16:16" x14ac:dyDescent="0.2">
      <c r="P3886" s="139"/>
    </row>
    <row r="3887" spans="16:16" x14ac:dyDescent="0.2">
      <c r="P3887" s="139"/>
    </row>
    <row r="3888" spans="16:16" x14ac:dyDescent="0.2">
      <c r="P3888" s="139"/>
    </row>
    <row r="3889" spans="16:16" x14ac:dyDescent="0.2">
      <c r="P3889" s="139"/>
    </row>
    <row r="3890" spans="16:16" x14ac:dyDescent="0.2">
      <c r="P3890" s="139"/>
    </row>
    <row r="3891" spans="16:16" x14ac:dyDescent="0.2">
      <c r="P3891" s="139"/>
    </row>
    <row r="3892" spans="16:16" x14ac:dyDescent="0.2">
      <c r="P3892" s="139"/>
    </row>
    <row r="3893" spans="16:16" x14ac:dyDescent="0.2">
      <c r="P3893" s="139"/>
    </row>
    <row r="3894" spans="16:16" x14ac:dyDescent="0.2">
      <c r="P3894" s="139"/>
    </row>
    <row r="3895" spans="16:16" x14ac:dyDescent="0.2">
      <c r="P3895" s="139"/>
    </row>
    <row r="3896" spans="16:16" x14ac:dyDescent="0.2">
      <c r="P3896" s="139"/>
    </row>
    <row r="3897" spans="16:16" x14ac:dyDescent="0.2">
      <c r="P3897" s="139"/>
    </row>
    <row r="3898" spans="16:16" x14ac:dyDescent="0.2">
      <c r="P3898" s="139"/>
    </row>
    <row r="3899" spans="16:16" x14ac:dyDescent="0.2">
      <c r="P3899" s="139"/>
    </row>
    <row r="3900" spans="16:16" x14ac:dyDescent="0.2">
      <c r="P3900" s="139"/>
    </row>
    <row r="3901" spans="16:16" x14ac:dyDescent="0.2">
      <c r="P3901" s="139"/>
    </row>
    <row r="3902" spans="16:16" x14ac:dyDescent="0.2">
      <c r="P3902" s="139"/>
    </row>
    <row r="3903" spans="16:16" x14ac:dyDescent="0.2">
      <c r="P3903" s="139"/>
    </row>
    <row r="3904" spans="16:16" x14ac:dyDescent="0.2">
      <c r="P3904" s="139"/>
    </row>
    <row r="3905" spans="16:16" x14ac:dyDescent="0.2">
      <c r="P3905" s="139"/>
    </row>
    <row r="3906" spans="16:16" x14ac:dyDescent="0.2">
      <c r="P3906" s="139"/>
    </row>
    <row r="3907" spans="16:16" x14ac:dyDescent="0.2">
      <c r="P3907" s="139"/>
    </row>
    <row r="3908" spans="16:16" x14ac:dyDescent="0.2">
      <c r="P3908" s="139"/>
    </row>
    <row r="3909" spans="16:16" x14ac:dyDescent="0.2">
      <c r="P3909" s="139"/>
    </row>
    <row r="3910" spans="16:16" x14ac:dyDescent="0.2">
      <c r="P3910" s="139"/>
    </row>
    <row r="3911" spans="16:16" x14ac:dyDescent="0.2">
      <c r="P3911" s="139"/>
    </row>
    <row r="3912" spans="16:16" x14ac:dyDescent="0.2">
      <c r="P3912" s="139"/>
    </row>
    <row r="3913" spans="16:16" x14ac:dyDescent="0.2">
      <c r="P3913" s="139"/>
    </row>
    <row r="3914" spans="16:16" x14ac:dyDescent="0.2">
      <c r="P3914" s="139"/>
    </row>
    <row r="3915" spans="16:16" x14ac:dyDescent="0.2">
      <c r="P3915" s="139"/>
    </row>
    <row r="3916" spans="16:16" x14ac:dyDescent="0.2">
      <c r="P3916" s="139"/>
    </row>
    <row r="3917" spans="16:16" x14ac:dyDescent="0.2">
      <c r="P3917" s="139"/>
    </row>
    <row r="3918" spans="16:16" x14ac:dyDescent="0.2">
      <c r="P3918" s="139"/>
    </row>
    <row r="3919" spans="16:16" x14ac:dyDescent="0.2">
      <c r="P3919" s="139"/>
    </row>
    <row r="3920" spans="16:16" x14ac:dyDescent="0.2">
      <c r="P3920" s="139"/>
    </row>
    <row r="3921" spans="16:16" x14ac:dyDescent="0.2">
      <c r="P3921" s="139"/>
    </row>
    <row r="3922" spans="16:16" x14ac:dyDescent="0.2">
      <c r="P3922" s="139"/>
    </row>
    <row r="3923" spans="16:16" x14ac:dyDescent="0.2">
      <c r="P3923" s="139"/>
    </row>
    <row r="3924" spans="16:16" x14ac:dyDescent="0.2">
      <c r="P3924" s="139"/>
    </row>
    <row r="3925" spans="16:16" x14ac:dyDescent="0.2">
      <c r="P3925" s="139"/>
    </row>
    <row r="3926" spans="16:16" x14ac:dyDescent="0.2">
      <c r="P3926" s="139"/>
    </row>
    <row r="3927" spans="16:16" x14ac:dyDescent="0.2">
      <c r="P3927" s="139"/>
    </row>
    <row r="3928" spans="16:16" x14ac:dyDescent="0.2">
      <c r="P3928" s="139"/>
    </row>
    <row r="3929" spans="16:16" x14ac:dyDescent="0.2">
      <c r="P3929" s="139"/>
    </row>
    <row r="3930" spans="16:16" x14ac:dyDescent="0.2">
      <c r="P3930" s="139"/>
    </row>
    <row r="3931" spans="16:16" x14ac:dyDescent="0.2">
      <c r="P3931" s="139"/>
    </row>
    <row r="3932" spans="16:16" x14ac:dyDescent="0.2">
      <c r="P3932" s="139"/>
    </row>
    <row r="3933" spans="16:16" x14ac:dyDescent="0.2">
      <c r="P3933" s="139"/>
    </row>
    <row r="3934" spans="16:16" x14ac:dyDescent="0.2">
      <c r="P3934" s="139"/>
    </row>
    <row r="3935" spans="16:16" x14ac:dyDescent="0.2">
      <c r="P3935" s="139"/>
    </row>
    <row r="3936" spans="16:16" x14ac:dyDescent="0.2">
      <c r="P3936" s="139"/>
    </row>
    <row r="3937" spans="16:16" x14ac:dyDescent="0.2">
      <c r="P3937" s="139"/>
    </row>
    <row r="3938" spans="16:16" x14ac:dyDescent="0.2">
      <c r="P3938" s="139"/>
    </row>
    <row r="3939" spans="16:16" x14ac:dyDescent="0.2">
      <c r="P3939" s="139"/>
    </row>
    <row r="3940" spans="16:16" x14ac:dyDescent="0.2">
      <c r="P3940" s="139"/>
    </row>
    <row r="3941" spans="16:16" x14ac:dyDescent="0.2">
      <c r="P3941" s="139"/>
    </row>
    <row r="3942" spans="16:16" x14ac:dyDescent="0.2">
      <c r="P3942" s="139"/>
    </row>
    <row r="3943" spans="16:16" x14ac:dyDescent="0.2">
      <c r="P3943" s="139"/>
    </row>
    <row r="3944" spans="16:16" x14ac:dyDescent="0.2">
      <c r="P3944" s="139"/>
    </row>
    <row r="3945" spans="16:16" x14ac:dyDescent="0.2">
      <c r="P3945" s="139"/>
    </row>
    <row r="3946" spans="16:16" x14ac:dyDescent="0.2">
      <c r="P3946" s="139"/>
    </row>
    <row r="3947" spans="16:16" x14ac:dyDescent="0.2">
      <c r="P3947" s="139"/>
    </row>
    <row r="3948" spans="16:16" x14ac:dyDescent="0.2">
      <c r="P3948" s="139"/>
    </row>
    <row r="3949" spans="16:16" x14ac:dyDescent="0.2">
      <c r="P3949" s="139"/>
    </row>
    <row r="3950" spans="16:16" x14ac:dyDescent="0.2">
      <c r="P3950" s="139"/>
    </row>
    <row r="3951" spans="16:16" x14ac:dyDescent="0.2">
      <c r="P3951" s="139"/>
    </row>
    <row r="3952" spans="16:16" x14ac:dyDescent="0.2">
      <c r="P3952" s="139"/>
    </row>
    <row r="3953" spans="16:16" x14ac:dyDescent="0.2">
      <c r="P3953" s="139"/>
    </row>
    <row r="3954" spans="16:16" x14ac:dyDescent="0.2">
      <c r="P3954" s="139"/>
    </row>
    <row r="3955" spans="16:16" x14ac:dyDescent="0.2">
      <c r="P3955" s="139"/>
    </row>
    <row r="3956" spans="16:16" x14ac:dyDescent="0.2">
      <c r="P3956" s="139"/>
    </row>
    <row r="3957" spans="16:16" x14ac:dyDescent="0.2">
      <c r="P3957" s="139"/>
    </row>
    <row r="3958" spans="16:16" x14ac:dyDescent="0.2">
      <c r="P3958" s="139"/>
    </row>
    <row r="3959" spans="16:16" x14ac:dyDescent="0.2">
      <c r="P3959" s="139"/>
    </row>
    <row r="3960" spans="16:16" x14ac:dyDescent="0.2">
      <c r="P3960" s="139"/>
    </row>
    <row r="3961" spans="16:16" x14ac:dyDescent="0.2">
      <c r="P3961" s="139"/>
    </row>
    <row r="3962" spans="16:16" x14ac:dyDescent="0.2">
      <c r="P3962" s="139"/>
    </row>
    <row r="3963" spans="16:16" x14ac:dyDescent="0.2">
      <c r="P3963" s="139"/>
    </row>
    <row r="3964" spans="16:16" x14ac:dyDescent="0.2">
      <c r="P3964" s="139"/>
    </row>
    <row r="3965" spans="16:16" x14ac:dyDescent="0.2">
      <c r="P3965" s="139"/>
    </row>
    <row r="3966" spans="16:16" x14ac:dyDescent="0.2">
      <c r="P3966" s="139"/>
    </row>
    <row r="3967" spans="16:16" x14ac:dyDescent="0.2">
      <c r="P3967" s="139"/>
    </row>
    <row r="3968" spans="16:16" x14ac:dyDescent="0.2">
      <c r="P3968" s="139"/>
    </row>
    <row r="3969" spans="16:16" x14ac:dyDescent="0.2">
      <c r="P3969" s="139"/>
    </row>
    <row r="3970" spans="16:16" x14ac:dyDescent="0.2">
      <c r="P3970" s="139"/>
    </row>
    <row r="3971" spans="16:16" x14ac:dyDescent="0.2">
      <c r="P3971" s="139"/>
    </row>
    <row r="3972" spans="16:16" x14ac:dyDescent="0.2">
      <c r="P3972" s="139"/>
    </row>
    <row r="3973" spans="16:16" x14ac:dyDescent="0.2">
      <c r="P3973" s="139"/>
    </row>
    <row r="3974" spans="16:16" x14ac:dyDescent="0.2">
      <c r="P3974" s="139"/>
    </row>
    <row r="3975" spans="16:16" x14ac:dyDescent="0.2">
      <c r="P3975" s="139"/>
    </row>
    <row r="3976" spans="16:16" x14ac:dyDescent="0.2">
      <c r="P3976" s="139"/>
    </row>
    <row r="3977" spans="16:16" x14ac:dyDescent="0.2">
      <c r="P3977" s="139"/>
    </row>
    <row r="3978" spans="16:16" x14ac:dyDescent="0.2">
      <c r="P3978" s="139"/>
    </row>
    <row r="3979" spans="16:16" x14ac:dyDescent="0.2">
      <c r="P3979" s="139"/>
    </row>
    <row r="3980" spans="16:16" x14ac:dyDescent="0.2">
      <c r="P3980" s="139"/>
    </row>
    <row r="3981" spans="16:16" x14ac:dyDescent="0.2">
      <c r="P3981" s="139"/>
    </row>
    <row r="3982" spans="16:16" x14ac:dyDescent="0.2">
      <c r="P3982" s="139"/>
    </row>
    <row r="3983" spans="16:16" x14ac:dyDescent="0.2">
      <c r="P3983" s="139"/>
    </row>
    <row r="3984" spans="16:16" x14ac:dyDescent="0.2">
      <c r="P3984" s="139"/>
    </row>
    <row r="3985" spans="16:16" x14ac:dyDescent="0.2">
      <c r="P3985" s="139"/>
    </row>
    <row r="3986" spans="16:16" x14ac:dyDescent="0.2">
      <c r="P3986" s="139"/>
    </row>
    <row r="3987" spans="16:16" x14ac:dyDescent="0.2">
      <c r="P3987" s="139"/>
    </row>
    <row r="3988" spans="16:16" x14ac:dyDescent="0.2">
      <c r="P3988" s="139"/>
    </row>
    <row r="3989" spans="16:16" x14ac:dyDescent="0.2">
      <c r="P3989" s="139"/>
    </row>
    <row r="3990" spans="16:16" x14ac:dyDescent="0.2">
      <c r="P3990" s="139"/>
    </row>
    <row r="3991" spans="16:16" x14ac:dyDescent="0.2">
      <c r="P3991" s="139"/>
    </row>
    <row r="3992" spans="16:16" x14ac:dyDescent="0.2">
      <c r="P3992" s="139"/>
    </row>
    <row r="3993" spans="16:16" x14ac:dyDescent="0.2">
      <c r="P3993" s="139"/>
    </row>
    <row r="3994" spans="16:16" x14ac:dyDescent="0.2">
      <c r="P3994" s="139"/>
    </row>
    <row r="3995" spans="16:16" x14ac:dyDescent="0.2">
      <c r="P3995" s="139"/>
    </row>
    <row r="3996" spans="16:16" x14ac:dyDescent="0.2">
      <c r="P3996" s="139"/>
    </row>
    <row r="3997" spans="16:16" x14ac:dyDescent="0.2">
      <c r="P3997" s="139"/>
    </row>
    <row r="3998" spans="16:16" x14ac:dyDescent="0.2">
      <c r="P3998" s="139"/>
    </row>
    <row r="3999" spans="16:16" x14ac:dyDescent="0.2">
      <c r="P3999" s="139"/>
    </row>
    <row r="4000" spans="16:16" x14ac:dyDescent="0.2">
      <c r="P4000" s="139"/>
    </row>
    <row r="4001" spans="16:16" x14ac:dyDescent="0.2">
      <c r="P4001" s="139"/>
    </row>
    <row r="4002" spans="16:16" x14ac:dyDescent="0.2">
      <c r="P4002" s="139"/>
    </row>
    <row r="4003" spans="16:16" x14ac:dyDescent="0.2">
      <c r="P4003" s="139"/>
    </row>
    <row r="4004" spans="16:16" x14ac:dyDescent="0.2">
      <c r="P4004" s="139"/>
    </row>
    <row r="4005" spans="16:16" x14ac:dyDescent="0.2">
      <c r="P4005" s="139"/>
    </row>
    <row r="4006" spans="16:16" x14ac:dyDescent="0.2">
      <c r="P4006" s="139"/>
    </row>
    <row r="4007" spans="16:16" x14ac:dyDescent="0.2">
      <c r="P4007" s="139"/>
    </row>
    <row r="4008" spans="16:16" x14ac:dyDescent="0.2">
      <c r="P4008" s="139"/>
    </row>
    <row r="4009" spans="16:16" x14ac:dyDescent="0.2">
      <c r="P4009" s="139"/>
    </row>
    <row r="4010" spans="16:16" x14ac:dyDescent="0.2">
      <c r="P4010" s="139"/>
    </row>
    <row r="4011" spans="16:16" x14ac:dyDescent="0.2">
      <c r="P4011" s="139"/>
    </row>
    <row r="4012" spans="16:16" x14ac:dyDescent="0.2">
      <c r="P4012" s="139"/>
    </row>
    <row r="4013" spans="16:16" x14ac:dyDescent="0.2">
      <c r="P4013" s="139"/>
    </row>
    <row r="4014" spans="16:16" x14ac:dyDescent="0.2">
      <c r="P4014" s="139"/>
    </row>
    <row r="4015" spans="16:16" x14ac:dyDescent="0.2">
      <c r="P4015" s="139"/>
    </row>
    <row r="4016" spans="16:16" x14ac:dyDescent="0.2">
      <c r="P4016" s="139"/>
    </row>
    <row r="4017" spans="16:16" x14ac:dyDescent="0.2">
      <c r="P4017" s="139"/>
    </row>
    <row r="4018" spans="16:16" x14ac:dyDescent="0.2">
      <c r="P4018" s="139"/>
    </row>
    <row r="4019" spans="16:16" x14ac:dyDescent="0.2">
      <c r="P4019" s="139"/>
    </row>
    <row r="4020" spans="16:16" x14ac:dyDescent="0.2">
      <c r="P4020" s="139"/>
    </row>
    <row r="4021" spans="16:16" x14ac:dyDescent="0.2">
      <c r="P4021" s="139"/>
    </row>
    <row r="4022" spans="16:16" x14ac:dyDescent="0.2">
      <c r="P4022" s="139"/>
    </row>
    <row r="4023" spans="16:16" x14ac:dyDescent="0.2">
      <c r="P4023" s="139"/>
    </row>
    <row r="4024" spans="16:16" x14ac:dyDescent="0.2">
      <c r="P4024" s="139"/>
    </row>
    <row r="4025" spans="16:16" x14ac:dyDescent="0.2">
      <c r="P4025" s="139"/>
    </row>
    <row r="4026" spans="16:16" x14ac:dyDescent="0.2">
      <c r="P4026" s="139"/>
    </row>
    <row r="4027" spans="16:16" x14ac:dyDescent="0.2">
      <c r="P4027" s="139"/>
    </row>
    <row r="4028" spans="16:16" x14ac:dyDescent="0.2">
      <c r="P4028" s="139"/>
    </row>
    <row r="4029" spans="16:16" x14ac:dyDescent="0.2">
      <c r="P4029" s="139"/>
    </row>
    <row r="4030" spans="16:16" x14ac:dyDescent="0.2">
      <c r="P4030" s="139"/>
    </row>
    <row r="4031" spans="16:16" x14ac:dyDescent="0.2">
      <c r="P4031" s="139"/>
    </row>
    <row r="4032" spans="16:16" x14ac:dyDescent="0.2">
      <c r="P4032" s="139"/>
    </row>
    <row r="4033" spans="16:16" x14ac:dyDescent="0.2">
      <c r="P4033" s="139"/>
    </row>
    <row r="4034" spans="16:16" x14ac:dyDescent="0.2">
      <c r="P4034" s="139"/>
    </row>
    <row r="4035" spans="16:16" x14ac:dyDescent="0.2">
      <c r="P4035" s="139"/>
    </row>
    <row r="4036" spans="16:16" x14ac:dyDescent="0.2">
      <c r="P4036" s="139"/>
    </row>
    <row r="4037" spans="16:16" x14ac:dyDescent="0.2">
      <c r="P4037" s="139"/>
    </row>
    <row r="4038" spans="16:16" x14ac:dyDescent="0.2">
      <c r="P4038" s="139"/>
    </row>
    <row r="4039" spans="16:16" x14ac:dyDescent="0.2">
      <c r="P4039" s="139"/>
    </row>
    <row r="4040" spans="16:16" x14ac:dyDescent="0.2">
      <c r="P4040" s="139"/>
    </row>
    <row r="4041" spans="16:16" x14ac:dyDescent="0.2">
      <c r="P4041" s="139"/>
    </row>
    <row r="4042" spans="16:16" x14ac:dyDescent="0.2">
      <c r="P4042" s="139"/>
    </row>
    <row r="4043" spans="16:16" x14ac:dyDescent="0.2">
      <c r="P4043" s="139"/>
    </row>
    <row r="4044" spans="16:16" x14ac:dyDescent="0.2">
      <c r="P4044" s="139"/>
    </row>
    <row r="4045" spans="16:16" x14ac:dyDescent="0.2">
      <c r="P4045" s="139"/>
    </row>
    <row r="4046" spans="16:16" x14ac:dyDescent="0.2">
      <c r="P4046" s="139"/>
    </row>
    <row r="4047" spans="16:16" x14ac:dyDescent="0.2">
      <c r="P4047" s="139"/>
    </row>
    <row r="4048" spans="16:16" x14ac:dyDescent="0.2">
      <c r="P4048" s="139"/>
    </row>
    <row r="4049" spans="16:16" x14ac:dyDescent="0.2">
      <c r="P4049" s="139"/>
    </row>
    <row r="4050" spans="16:16" x14ac:dyDescent="0.2">
      <c r="P4050" s="139"/>
    </row>
    <row r="4051" spans="16:16" x14ac:dyDescent="0.2">
      <c r="P4051" s="139"/>
    </row>
    <row r="4052" spans="16:16" x14ac:dyDescent="0.2">
      <c r="P4052" s="139"/>
    </row>
    <row r="4053" spans="16:16" x14ac:dyDescent="0.2">
      <c r="P4053" s="139"/>
    </row>
    <row r="4054" spans="16:16" x14ac:dyDescent="0.2">
      <c r="P4054" s="139"/>
    </row>
    <row r="4055" spans="16:16" x14ac:dyDescent="0.2">
      <c r="P4055" s="139"/>
    </row>
    <row r="4056" spans="16:16" x14ac:dyDescent="0.2">
      <c r="P4056" s="139"/>
    </row>
    <row r="4057" spans="16:16" x14ac:dyDescent="0.2">
      <c r="P4057" s="139"/>
    </row>
    <row r="4058" spans="16:16" x14ac:dyDescent="0.2">
      <c r="P4058" s="139"/>
    </row>
    <row r="4059" spans="16:16" x14ac:dyDescent="0.2">
      <c r="P4059" s="139"/>
    </row>
    <row r="4060" spans="16:16" x14ac:dyDescent="0.2">
      <c r="P4060" s="139"/>
    </row>
    <row r="4061" spans="16:16" x14ac:dyDescent="0.2">
      <c r="P4061" s="139"/>
    </row>
    <row r="4062" spans="16:16" x14ac:dyDescent="0.2">
      <c r="P4062" s="139"/>
    </row>
    <row r="4063" spans="16:16" x14ac:dyDescent="0.2">
      <c r="P4063" s="139"/>
    </row>
    <row r="4064" spans="16:16" x14ac:dyDescent="0.2">
      <c r="P4064" s="139"/>
    </row>
    <row r="4065" spans="16:16" x14ac:dyDescent="0.2">
      <c r="P4065" s="139"/>
    </row>
    <row r="4066" spans="16:16" x14ac:dyDescent="0.2">
      <c r="P4066" s="139"/>
    </row>
    <row r="4067" spans="16:16" x14ac:dyDescent="0.2">
      <c r="P4067" s="139"/>
    </row>
    <row r="4068" spans="16:16" x14ac:dyDescent="0.2">
      <c r="P4068" s="139"/>
    </row>
    <row r="4069" spans="16:16" x14ac:dyDescent="0.2">
      <c r="P4069" s="139"/>
    </row>
    <row r="4070" spans="16:16" x14ac:dyDescent="0.2">
      <c r="P4070" s="139"/>
    </row>
    <row r="4071" spans="16:16" x14ac:dyDescent="0.2">
      <c r="P4071" s="139"/>
    </row>
    <row r="4072" spans="16:16" x14ac:dyDescent="0.2">
      <c r="P4072" s="139"/>
    </row>
    <row r="4073" spans="16:16" x14ac:dyDescent="0.2">
      <c r="P4073" s="139"/>
    </row>
    <row r="4074" spans="16:16" x14ac:dyDescent="0.2">
      <c r="P4074" s="139"/>
    </row>
    <row r="4075" spans="16:16" x14ac:dyDescent="0.2">
      <c r="P4075" s="139"/>
    </row>
    <row r="4076" spans="16:16" x14ac:dyDescent="0.2">
      <c r="P4076" s="139"/>
    </row>
    <row r="4077" spans="16:16" x14ac:dyDescent="0.2">
      <c r="P4077" s="139"/>
    </row>
    <row r="4078" spans="16:16" x14ac:dyDescent="0.2">
      <c r="P4078" s="139"/>
    </row>
    <row r="4079" spans="16:16" x14ac:dyDescent="0.2">
      <c r="P4079" s="139"/>
    </row>
    <row r="4080" spans="16:16" x14ac:dyDescent="0.2">
      <c r="P4080" s="139"/>
    </row>
    <row r="4081" spans="16:16" x14ac:dyDescent="0.2">
      <c r="P4081" s="139"/>
    </row>
    <row r="4082" spans="16:16" x14ac:dyDescent="0.2">
      <c r="P4082" s="139"/>
    </row>
    <row r="4083" spans="16:16" x14ac:dyDescent="0.2">
      <c r="P4083" s="139"/>
    </row>
    <row r="4084" spans="16:16" x14ac:dyDescent="0.2">
      <c r="P4084" s="139"/>
    </row>
    <row r="4085" spans="16:16" x14ac:dyDescent="0.2">
      <c r="P4085" s="139"/>
    </row>
    <row r="4086" spans="16:16" x14ac:dyDescent="0.2">
      <c r="P4086" s="139"/>
    </row>
    <row r="4087" spans="16:16" x14ac:dyDescent="0.2">
      <c r="P4087" s="139"/>
    </row>
    <row r="4088" spans="16:16" x14ac:dyDescent="0.2">
      <c r="P4088" s="139"/>
    </row>
    <row r="4089" spans="16:16" x14ac:dyDescent="0.2">
      <c r="P4089" s="139"/>
    </row>
    <row r="4090" spans="16:16" x14ac:dyDescent="0.2">
      <c r="P4090" s="139"/>
    </row>
    <row r="4091" spans="16:16" x14ac:dyDescent="0.2">
      <c r="P4091" s="139"/>
    </row>
    <row r="4092" spans="16:16" x14ac:dyDescent="0.2">
      <c r="P4092" s="139"/>
    </row>
    <row r="4093" spans="16:16" x14ac:dyDescent="0.2">
      <c r="P4093" s="139"/>
    </row>
    <row r="4094" spans="16:16" x14ac:dyDescent="0.2">
      <c r="P4094" s="139"/>
    </row>
    <row r="4095" spans="16:16" x14ac:dyDescent="0.2">
      <c r="P4095" s="139"/>
    </row>
    <row r="4096" spans="16:16" x14ac:dyDescent="0.2">
      <c r="P4096" s="139"/>
    </row>
    <row r="4097" spans="16:16" x14ac:dyDescent="0.2">
      <c r="P4097" s="139"/>
    </row>
    <row r="4098" spans="16:16" x14ac:dyDescent="0.2">
      <c r="P4098" s="139"/>
    </row>
    <row r="4099" spans="16:16" x14ac:dyDescent="0.2">
      <c r="P4099" s="139"/>
    </row>
    <row r="4100" spans="16:16" x14ac:dyDescent="0.2">
      <c r="P4100" s="139"/>
    </row>
    <row r="4101" spans="16:16" x14ac:dyDescent="0.2">
      <c r="P4101" s="139"/>
    </row>
    <row r="4102" spans="16:16" x14ac:dyDescent="0.2">
      <c r="P4102" s="139"/>
    </row>
    <row r="4103" spans="16:16" x14ac:dyDescent="0.2">
      <c r="P4103" s="139"/>
    </row>
    <row r="4104" spans="16:16" x14ac:dyDescent="0.2">
      <c r="P4104" s="139"/>
    </row>
    <row r="4105" spans="16:16" x14ac:dyDescent="0.2">
      <c r="P4105" s="139"/>
    </row>
    <row r="4106" spans="16:16" x14ac:dyDescent="0.2">
      <c r="P4106" s="139"/>
    </row>
    <row r="4107" spans="16:16" x14ac:dyDescent="0.2">
      <c r="P4107" s="139"/>
    </row>
    <row r="4108" spans="16:16" x14ac:dyDescent="0.2">
      <c r="P4108" s="139"/>
    </row>
    <row r="4109" spans="16:16" x14ac:dyDescent="0.2">
      <c r="P4109" s="139"/>
    </row>
    <row r="4110" spans="16:16" x14ac:dyDescent="0.2">
      <c r="P4110" s="139"/>
    </row>
    <row r="4111" spans="16:16" x14ac:dyDescent="0.2">
      <c r="P4111" s="139"/>
    </row>
    <row r="4112" spans="16:16" x14ac:dyDescent="0.2">
      <c r="P4112" s="139"/>
    </row>
    <row r="4113" spans="16:16" x14ac:dyDescent="0.2">
      <c r="P4113" s="139"/>
    </row>
    <row r="4114" spans="16:16" x14ac:dyDescent="0.2">
      <c r="P4114" s="139"/>
    </row>
    <row r="4115" spans="16:16" x14ac:dyDescent="0.2">
      <c r="P4115" s="139"/>
    </row>
    <row r="4116" spans="16:16" x14ac:dyDescent="0.2">
      <c r="P4116" s="139"/>
    </row>
    <row r="4117" spans="16:16" x14ac:dyDescent="0.2">
      <c r="P4117" s="139"/>
    </row>
    <row r="4118" spans="16:16" x14ac:dyDescent="0.2">
      <c r="P4118" s="139"/>
    </row>
    <row r="4119" spans="16:16" x14ac:dyDescent="0.2">
      <c r="P4119" s="139"/>
    </row>
    <row r="4120" spans="16:16" x14ac:dyDescent="0.2">
      <c r="P4120" s="139"/>
    </row>
    <row r="4121" spans="16:16" x14ac:dyDescent="0.2">
      <c r="P4121" s="139"/>
    </row>
    <row r="4122" spans="16:16" x14ac:dyDescent="0.2">
      <c r="P4122" s="139"/>
    </row>
    <row r="4123" spans="16:16" x14ac:dyDescent="0.2">
      <c r="P4123" s="139"/>
    </row>
    <row r="4124" spans="16:16" x14ac:dyDescent="0.2">
      <c r="P4124" s="139"/>
    </row>
    <row r="4125" spans="16:16" x14ac:dyDescent="0.2">
      <c r="P4125" s="139"/>
    </row>
    <row r="4126" spans="16:16" x14ac:dyDescent="0.2">
      <c r="P4126" s="139"/>
    </row>
    <row r="4127" spans="16:16" x14ac:dyDescent="0.2">
      <c r="P4127" s="139"/>
    </row>
    <row r="4128" spans="16:16" x14ac:dyDescent="0.2">
      <c r="P4128" s="139"/>
    </row>
    <row r="4129" spans="16:16" x14ac:dyDescent="0.2">
      <c r="P4129" s="139"/>
    </row>
    <row r="4130" spans="16:16" x14ac:dyDescent="0.2">
      <c r="P4130" s="139"/>
    </row>
    <row r="4131" spans="16:16" x14ac:dyDescent="0.2">
      <c r="P4131" s="139"/>
    </row>
    <row r="4132" spans="16:16" x14ac:dyDescent="0.2">
      <c r="P4132" s="139"/>
    </row>
    <row r="4133" spans="16:16" x14ac:dyDescent="0.2">
      <c r="P4133" s="139"/>
    </row>
    <row r="4134" spans="16:16" x14ac:dyDescent="0.2">
      <c r="P4134" s="139"/>
    </row>
    <row r="4135" spans="16:16" x14ac:dyDescent="0.2">
      <c r="P4135" s="139"/>
    </row>
    <row r="4136" spans="16:16" x14ac:dyDescent="0.2">
      <c r="P4136" s="139"/>
    </row>
    <row r="4137" spans="16:16" x14ac:dyDescent="0.2">
      <c r="P4137" s="139"/>
    </row>
    <row r="4138" spans="16:16" x14ac:dyDescent="0.2">
      <c r="P4138" s="139"/>
    </row>
    <row r="4139" spans="16:16" x14ac:dyDescent="0.2">
      <c r="P4139" s="139"/>
    </row>
    <row r="4140" spans="16:16" x14ac:dyDescent="0.2">
      <c r="P4140" s="139"/>
    </row>
    <row r="4141" spans="16:16" x14ac:dyDescent="0.2">
      <c r="P4141" s="139"/>
    </row>
    <row r="4142" spans="16:16" x14ac:dyDescent="0.2">
      <c r="P4142" s="139"/>
    </row>
    <row r="4143" spans="16:16" x14ac:dyDescent="0.2">
      <c r="P4143" s="139"/>
    </row>
    <row r="4144" spans="16:16" x14ac:dyDescent="0.2">
      <c r="P4144" s="139"/>
    </row>
    <row r="4145" spans="16:16" x14ac:dyDescent="0.2">
      <c r="P4145" s="139"/>
    </row>
    <row r="4146" spans="16:16" x14ac:dyDescent="0.2">
      <c r="P4146" s="139"/>
    </row>
    <row r="4147" spans="16:16" x14ac:dyDescent="0.2">
      <c r="P4147" s="139"/>
    </row>
    <row r="4148" spans="16:16" x14ac:dyDescent="0.2">
      <c r="P4148" s="139"/>
    </row>
    <row r="4149" spans="16:16" x14ac:dyDescent="0.2">
      <c r="P4149" s="139"/>
    </row>
    <row r="4150" spans="16:16" x14ac:dyDescent="0.2">
      <c r="P4150" s="139"/>
    </row>
    <row r="4151" spans="16:16" x14ac:dyDescent="0.2">
      <c r="P4151" s="139"/>
    </row>
    <row r="4152" spans="16:16" x14ac:dyDescent="0.2">
      <c r="P4152" s="139"/>
    </row>
    <row r="4153" spans="16:16" x14ac:dyDescent="0.2">
      <c r="P4153" s="139"/>
    </row>
    <row r="4154" spans="16:16" x14ac:dyDescent="0.2">
      <c r="P4154" s="139"/>
    </row>
    <row r="4155" spans="16:16" x14ac:dyDescent="0.2">
      <c r="P4155" s="139"/>
    </row>
    <row r="4156" spans="16:16" x14ac:dyDescent="0.2">
      <c r="P4156" s="139"/>
    </row>
    <row r="4157" spans="16:16" x14ac:dyDescent="0.2">
      <c r="P4157" s="139"/>
    </row>
    <row r="4158" spans="16:16" x14ac:dyDescent="0.2">
      <c r="P4158" s="139"/>
    </row>
    <row r="4159" spans="16:16" x14ac:dyDescent="0.2">
      <c r="P4159" s="139"/>
    </row>
    <row r="4160" spans="16:16" x14ac:dyDescent="0.2">
      <c r="P4160" s="139"/>
    </row>
    <row r="4161" spans="16:16" x14ac:dyDescent="0.2">
      <c r="P4161" s="139"/>
    </row>
    <row r="4162" spans="16:16" x14ac:dyDescent="0.2">
      <c r="P4162" s="139"/>
    </row>
    <row r="4163" spans="16:16" x14ac:dyDescent="0.2">
      <c r="P4163" s="139"/>
    </row>
    <row r="4164" spans="16:16" x14ac:dyDescent="0.2">
      <c r="P4164" s="139"/>
    </row>
    <row r="4165" spans="16:16" x14ac:dyDescent="0.2">
      <c r="P4165" s="139"/>
    </row>
    <row r="4166" spans="16:16" x14ac:dyDescent="0.2">
      <c r="P4166" s="139"/>
    </row>
    <row r="4167" spans="16:16" x14ac:dyDescent="0.2">
      <c r="P4167" s="139"/>
    </row>
    <row r="4168" spans="16:16" x14ac:dyDescent="0.2">
      <c r="P4168" s="139"/>
    </row>
    <row r="4169" spans="16:16" x14ac:dyDescent="0.2">
      <c r="P4169" s="139"/>
    </row>
    <row r="4170" spans="16:16" x14ac:dyDescent="0.2">
      <c r="P4170" s="139"/>
    </row>
    <row r="4171" spans="16:16" x14ac:dyDescent="0.2">
      <c r="P4171" s="139"/>
    </row>
    <row r="4172" spans="16:16" x14ac:dyDescent="0.2">
      <c r="P4172" s="139"/>
    </row>
    <row r="4173" spans="16:16" x14ac:dyDescent="0.2">
      <c r="P4173" s="139"/>
    </row>
    <row r="4174" spans="16:16" x14ac:dyDescent="0.2">
      <c r="P4174" s="139"/>
    </row>
    <row r="4175" spans="16:16" x14ac:dyDescent="0.2">
      <c r="P4175" s="139"/>
    </row>
    <row r="4176" spans="16:16" x14ac:dyDescent="0.2">
      <c r="P4176" s="139"/>
    </row>
    <row r="4177" spans="16:16" x14ac:dyDescent="0.2">
      <c r="P4177" s="139"/>
    </row>
    <row r="4178" spans="16:16" x14ac:dyDescent="0.2">
      <c r="P4178" s="139"/>
    </row>
    <row r="4179" spans="16:16" x14ac:dyDescent="0.2">
      <c r="P4179" s="139"/>
    </row>
    <row r="4180" spans="16:16" x14ac:dyDescent="0.2">
      <c r="P4180" s="139"/>
    </row>
    <row r="4181" spans="16:16" x14ac:dyDescent="0.2">
      <c r="P4181" s="139"/>
    </row>
    <row r="4182" spans="16:16" x14ac:dyDescent="0.2">
      <c r="P4182" s="139"/>
    </row>
    <row r="4183" spans="16:16" x14ac:dyDescent="0.2">
      <c r="P4183" s="139"/>
    </row>
    <row r="4184" spans="16:16" x14ac:dyDescent="0.2">
      <c r="P4184" s="139"/>
    </row>
    <row r="4185" spans="16:16" x14ac:dyDescent="0.2">
      <c r="P4185" s="139"/>
    </row>
    <row r="4186" spans="16:16" x14ac:dyDescent="0.2">
      <c r="P4186" s="139"/>
    </row>
    <row r="4187" spans="16:16" x14ac:dyDescent="0.2">
      <c r="P4187" s="139"/>
    </row>
    <row r="4188" spans="16:16" x14ac:dyDescent="0.2">
      <c r="P4188" s="139"/>
    </row>
    <row r="4189" spans="16:16" x14ac:dyDescent="0.2">
      <c r="P4189" s="139"/>
    </row>
    <row r="4190" spans="16:16" x14ac:dyDescent="0.2">
      <c r="P4190" s="139"/>
    </row>
    <row r="4191" spans="16:16" x14ac:dyDescent="0.2">
      <c r="P4191" s="139"/>
    </row>
    <row r="4192" spans="16:16" x14ac:dyDescent="0.2">
      <c r="P4192" s="139"/>
    </row>
    <row r="4193" spans="16:16" x14ac:dyDescent="0.2">
      <c r="P4193" s="139"/>
    </row>
    <row r="4194" spans="16:16" x14ac:dyDescent="0.2">
      <c r="P4194" s="139"/>
    </row>
    <row r="4195" spans="16:16" x14ac:dyDescent="0.2">
      <c r="P4195" s="139"/>
    </row>
    <row r="4196" spans="16:16" x14ac:dyDescent="0.2">
      <c r="P4196" s="139"/>
    </row>
    <row r="4197" spans="16:16" x14ac:dyDescent="0.2">
      <c r="P4197" s="139"/>
    </row>
    <row r="4198" spans="16:16" x14ac:dyDescent="0.2">
      <c r="P4198" s="139"/>
    </row>
    <row r="4199" spans="16:16" x14ac:dyDescent="0.2">
      <c r="P4199" s="139"/>
    </row>
    <row r="4200" spans="16:16" x14ac:dyDescent="0.2">
      <c r="P4200" s="139"/>
    </row>
    <row r="4201" spans="16:16" x14ac:dyDescent="0.2">
      <c r="P4201" s="139"/>
    </row>
    <row r="4202" spans="16:16" x14ac:dyDescent="0.2">
      <c r="P4202" s="139"/>
    </row>
    <row r="4203" spans="16:16" x14ac:dyDescent="0.2">
      <c r="P4203" s="139"/>
    </row>
    <row r="4204" spans="16:16" x14ac:dyDescent="0.2">
      <c r="P4204" s="139"/>
    </row>
    <row r="4205" spans="16:16" x14ac:dyDescent="0.2">
      <c r="P4205" s="139"/>
    </row>
    <row r="4206" spans="16:16" x14ac:dyDescent="0.2">
      <c r="P4206" s="139"/>
    </row>
    <row r="4207" spans="16:16" x14ac:dyDescent="0.2">
      <c r="P4207" s="139"/>
    </row>
    <row r="4208" spans="16:16" x14ac:dyDescent="0.2">
      <c r="P4208" s="139"/>
    </row>
    <row r="4209" spans="16:16" x14ac:dyDescent="0.2">
      <c r="P4209" s="139"/>
    </row>
    <row r="4210" spans="16:16" x14ac:dyDescent="0.2">
      <c r="P4210" s="139"/>
    </row>
    <row r="4211" spans="16:16" x14ac:dyDescent="0.2">
      <c r="P4211" s="139"/>
    </row>
    <row r="4212" spans="16:16" x14ac:dyDescent="0.2">
      <c r="P4212" s="139"/>
    </row>
    <row r="4213" spans="16:16" x14ac:dyDescent="0.2">
      <c r="P4213" s="139"/>
    </row>
    <row r="4214" spans="16:16" x14ac:dyDescent="0.2">
      <c r="P4214" s="139"/>
    </row>
    <row r="4215" spans="16:16" x14ac:dyDescent="0.2">
      <c r="P4215" s="139"/>
    </row>
    <row r="4216" spans="16:16" x14ac:dyDescent="0.2">
      <c r="P4216" s="139"/>
    </row>
    <row r="4217" spans="16:16" x14ac:dyDescent="0.2">
      <c r="P4217" s="139"/>
    </row>
    <row r="4218" spans="16:16" x14ac:dyDescent="0.2">
      <c r="P4218" s="139"/>
    </row>
    <row r="4219" spans="16:16" x14ac:dyDescent="0.2">
      <c r="P4219" s="139"/>
    </row>
    <row r="4220" spans="16:16" x14ac:dyDescent="0.2">
      <c r="P4220" s="139"/>
    </row>
    <row r="4221" spans="16:16" x14ac:dyDescent="0.2">
      <c r="P4221" s="139"/>
    </row>
    <row r="4222" spans="16:16" x14ac:dyDescent="0.2">
      <c r="P4222" s="139"/>
    </row>
    <row r="4223" spans="16:16" x14ac:dyDescent="0.2">
      <c r="P4223" s="139"/>
    </row>
    <row r="4224" spans="16:16" x14ac:dyDescent="0.2">
      <c r="P4224" s="139"/>
    </row>
    <row r="4225" spans="16:16" x14ac:dyDescent="0.2">
      <c r="P4225" s="139"/>
    </row>
    <row r="4226" spans="16:16" x14ac:dyDescent="0.2">
      <c r="P4226" s="139"/>
    </row>
    <row r="4227" spans="16:16" x14ac:dyDescent="0.2">
      <c r="P4227" s="139"/>
    </row>
    <row r="4228" spans="16:16" x14ac:dyDescent="0.2">
      <c r="P4228" s="139"/>
    </row>
    <row r="4229" spans="16:16" x14ac:dyDescent="0.2">
      <c r="P4229" s="139"/>
    </row>
    <row r="4230" spans="16:16" x14ac:dyDescent="0.2">
      <c r="P4230" s="139"/>
    </row>
    <row r="4231" spans="16:16" x14ac:dyDescent="0.2">
      <c r="P4231" s="139"/>
    </row>
    <row r="4232" spans="16:16" x14ac:dyDescent="0.2">
      <c r="P4232" s="139"/>
    </row>
    <row r="4233" spans="16:16" x14ac:dyDescent="0.2">
      <c r="P4233" s="139"/>
    </row>
    <row r="4234" spans="16:16" x14ac:dyDescent="0.2">
      <c r="P4234" s="139"/>
    </row>
    <row r="4235" spans="16:16" x14ac:dyDescent="0.2">
      <c r="P4235" s="139"/>
    </row>
    <row r="4236" spans="16:16" x14ac:dyDescent="0.2">
      <c r="P4236" s="139"/>
    </row>
    <row r="4237" spans="16:16" x14ac:dyDescent="0.2">
      <c r="P4237" s="139"/>
    </row>
    <row r="4238" spans="16:16" x14ac:dyDescent="0.2">
      <c r="P4238" s="139"/>
    </row>
    <row r="4239" spans="16:16" x14ac:dyDescent="0.2">
      <c r="P4239" s="139"/>
    </row>
    <row r="4240" spans="16:16" x14ac:dyDescent="0.2">
      <c r="P4240" s="139"/>
    </row>
    <row r="4241" spans="16:16" x14ac:dyDescent="0.2">
      <c r="P4241" s="139"/>
    </row>
    <row r="4242" spans="16:16" x14ac:dyDescent="0.2">
      <c r="P4242" s="139"/>
    </row>
    <row r="4243" spans="16:16" x14ac:dyDescent="0.2">
      <c r="P4243" s="139"/>
    </row>
    <row r="4244" spans="16:16" x14ac:dyDescent="0.2">
      <c r="P4244" s="139"/>
    </row>
    <row r="4245" spans="16:16" x14ac:dyDescent="0.2">
      <c r="P4245" s="139"/>
    </row>
    <row r="4246" spans="16:16" x14ac:dyDescent="0.2">
      <c r="P4246" s="139"/>
    </row>
    <row r="4247" spans="16:16" x14ac:dyDescent="0.2">
      <c r="P4247" s="139"/>
    </row>
    <row r="4248" spans="16:16" x14ac:dyDescent="0.2">
      <c r="P4248" s="139"/>
    </row>
    <row r="4249" spans="16:16" x14ac:dyDescent="0.2">
      <c r="P4249" s="139"/>
    </row>
    <row r="4250" spans="16:16" x14ac:dyDescent="0.2">
      <c r="P4250" s="139"/>
    </row>
    <row r="4251" spans="16:16" x14ac:dyDescent="0.2">
      <c r="P4251" s="139"/>
    </row>
    <row r="4252" spans="16:16" x14ac:dyDescent="0.2">
      <c r="P4252" s="139"/>
    </row>
    <row r="4253" spans="16:16" x14ac:dyDescent="0.2">
      <c r="P4253" s="139"/>
    </row>
    <row r="4254" spans="16:16" x14ac:dyDescent="0.2">
      <c r="P4254" s="139"/>
    </row>
    <row r="4255" spans="16:16" x14ac:dyDescent="0.2">
      <c r="P4255" s="139"/>
    </row>
    <row r="4256" spans="16:16" x14ac:dyDescent="0.2">
      <c r="P4256" s="139"/>
    </row>
    <row r="4257" spans="16:16" x14ac:dyDescent="0.2">
      <c r="P4257" s="139"/>
    </row>
    <row r="4258" spans="16:16" x14ac:dyDescent="0.2">
      <c r="P4258" s="139"/>
    </row>
    <row r="4259" spans="16:16" x14ac:dyDescent="0.2">
      <c r="P4259" s="139"/>
    </row>
    <row r="4260" spans="16:16" x14ac:dyDescent="0.2">
      <c r="P4260" s="139"/>
    </row>
    <row r="4261" spans="16:16" x14ac:dyDescent="0.2">
      <c r="P4261" s="139"/>
    </row>
    <row r="4262" spans="16:16" x14ac:dyDescent="0.2">
      <c r="P4262" s="139"/>
    </row>
    <row r="4263" spans="16:16" x14ac:dyDescent="0.2">
      <c r="P4263" s="139"/>
    </row>
    <row r="4264" spans="16:16" x14ac:dyDescent="0.2">
      <c r="P4264" s="139"/>
    </row>
    <row r="4265" spans="16:16" x14ac:dyDescent="0.2">
      <c r="P4265" s="139"/>
    </row>
    <row r="4266" spans="16:16" x14ac:dyDescent="0.2">
      <c r="P4266" s="139"/>
    </row>
    <row r="4267" spans="16:16" x14ac:dyDescent="0.2">
      <c r="P4267" s="139"/>
    </row>
    <row r="4268" spans="16:16" x14ac:dyDescent="0.2">
      <c r="P4268" s="139"/>
    </row>
    <row r="4269" spans="16:16" x14ac:dyDescent="0.2">
      <c r="P4269" s="139"/>
    </row>
    <row r="4270" spans="16:16" x14ac:dyDescent="0.2">
      <c r="P4270" s="139"/>
    </row>
    <row r="4271" spans="16:16" x14ac:dyDescent="0.2">
      <c r="P4271" s="139"/>
    </row>
    <row r="4272" spans="16:16" x14ac:dyDescent="0.2">
      <c r="P4272" s="139"/>
    </row>
    <row r="4273" spans="16:16" x14ac:dyDescent="0.2">
      <c r="P4273" s="139"/>
    </row>
    <row r="4274" spans="16:16" x14ac:dyDescent="0.2">
      <c r="P4274" s="139"/>
    </row>
    <row r="4275" spans="16:16" x14ac:dyDescent="0.2">
      <c r="P4275" s="139"/>
    </row>
    <row r="4276" spans="16:16" x14ac:dyDescent="0.2">
      <c r="P4276" s="139"/>
    </row>
    <row r="4277" spans="16:16" x14ac:dyDescent="0.2">
      <c r="P4277" s="139"/>
    </row>
    <row r="4278" spans="16:16" x14ac:dyDescent="0.2">
      <c r="P4278" s="139"/>
    </row>
    <row r="4279" spans="16:16" x14ac:dyDescent="0.2">
      <c r="P4279" s="139"/>
    </row>
    <row r="4280" spans="16:16" x14ac:dyDescent="0.2">
      <c r="P4280" s="139"/>
    </row>
    <row r="4281" spans="16:16" x14ac:dyDescent="0.2">
      <c r="P4281" s="139"/>
    </row>
    <row r="4282" spans="16:16" x14ac:dyDescent="0.2">
      <c r="P4282" s="139"/>
    </row>
    <row r="4283" spans="16:16" x14ac:dyDescent="0.2">
      <c r="P4283" s="139"/>
    </row>
    <row r="4284" spans="16:16" x14ac:dyDescent="0.2">
      <c r="P4284" s="139"/>
    </row>
    <row r="4285" spans="16:16" x14ac:dyDescent="0.2">
      <c r="P4285" s="139"/>
    </row>
    <row r="4286" spans="16:16" x14ac:dyDescent="0.2">
      <c r="P4286" s="139"/>
    </row>
    <row r="4287" spans="16:16" x14ac:dyDescent="0.2">
      <c r="P4287" s="139"/>
    </row>
    <row r="4288" spans="16:16" x14ac:dyDescent="0.2">
      <c r="P4288" s="139"/>
    </row>
    <row r="4289" spans="16:16" x14ac:dyDescent="0.2">
      <c r="P4289" s="139"/>
    </row>
    <row r="4290" spans="16:16" x14ac:dyDescent="0.2">
      <c r="P4290" s="139"/>
    </row>
    <row r="4291" spans="16:16" x14ac:dyDescent="0.2">
      <c r="P4291" s="139"/>
    </row>
    <row r="4292" spans="16:16" x14ac:dyDescent="0.2">
      <c r="P4292" s="139"/>
    </row>
    <row r="4293" spans="16:16" x14ac:dyDescent="0.2">
      <c r="P4293" s="139"/>
    </row>
    <row r="4294" spans="16:16" x14ac:dyDescent="0.2">
      <c r="P4294" s="139"/>
    </row>
    <row r="4295" spans="16:16" x14ac:dyDescent="0.2">
      <c r="P4295" s="139"/>
    </row>
    <row r="4296" spans="16:16" x14ac:dyDescent="0.2">
      <c r="P4296" s="139"/>
    </row>
    <row r="4297" spans="16:16" x14ac:dyDescent="0.2">
      <c r="P4297" s="139"/>
    </row>
    <row r="4298" spans="16:16" x14ac:dyDescent="0.2">
      <c r="P4298" s="139"/>
    </row>
    <row r="4299" spans="16:16" x14ac:dyDescent="0.2">
      <c r="P4299" s="139"/>
    </row>
    <row r="4300" spans="16:16" x14ac:dyDescent="0.2">
      <c r="P4300" s="139"/>
    </row>
    <row r="4301" spans="16:16" x14ac:dyDescent="0.2">
      <c r="P4301" s="139"/>
    </row>
    <row r="4302" spans="16:16" x14ac:dyDescent="0.2">
      <c r="P4302" s="139"/>
    </row>
    <row r="4303" spans="16:16" x14ac:dyDescent="0.2">
      <c r="P4303" s="139"/>
    </row>
    <row r="4304" spans="16:16" x14ac:dyDescent="0.2">
      <c r="P4304" s="139"/>
    </row>
    <row r="4305" spans="16:16" x14ac:dyDescent="0.2">
      <c r="P4305" s="139"/>
    </row>
    <row r="4306" spans="16:16" x14ac:dyDescent="0.2">
      <c r="P4306" s="139"/>
    </row>
    <row r="4307" spans="16:16" x14ac:dyDescent="0.2">
      <c r="P4307" s="139"/>
    </row>
    <row r="4308" spans="16:16" x14ac:dyDescent="0.2">
      <c r="P4308" s="139"/>
    </row>
    <row r="4309" spans="16:16" x14ac:dyDescent="0.2">
      <c r="P4309" s="139"/>
    </row>
    <row r="4310" spans="16:16" x14ac:dyDescent="0.2">
      <c r="P4310" s="139"/>
    </row>
    <row r="4311" spans="16:16" x14ac:dyDescent="0.2">
      <c r="P4311" s="139"/>
    </row>
    <row r="4312" spans="16:16" x14ac:dyDescent="0.2">
      <c r="P4312" s="139"/>
    </row>
    <row r="4313" spans="16:16" x14ac:dyDescent="0.2">
      <c r="P4313" s="139"/>
    </row>
    <row r="4314" spans="16:16" x14ac:dyDescent="0.2">
      <c r="P4314" s="139"/>
    </row>
    <row r="4315" spans="16:16" x14ac:dyDescent="0.2">
      <c r="P4315" s="139"/>
    </row>
    <row r="4316" spans="16:16" x14ac:dyDescent="0.2">
      <c r="P4316" s="139"/>
    </row>
    <row r="4317" spans="16:16" x14ac:dyDescent="0.2">
      <c r="P4317" s="139"/>
    </row>
    <row r="4318" spans="16:16" x14ac:dyDescent="0.2">
      <c r="P4318" s="139"/>
    </row>
    <row r="4319" spans="16:16" x14ac:dyDescent="0.2">
      <c r="P4319" s="139"/>
    </row>
    <row r="4320" spans="16:16" x14ac:dyDescent="0.2">
      <c r="P4320" s="139"/>
    </row>
    <row r="4321" spans="16:16" x14ac:dyDescent="0.2">
      <c r="P4321" s="139"/>
    </row>
    <row r="4322" spans="16:16" x14ac:dyDescent="0.2">
      <c r="P4322" s="139"/>
    </row>
    <row r="4323" spans="16:16" x14ac:dyDescent="0.2">
      <c r="P4323" s="139"/>
    </row>
    <row r="4324" spans="16:16" x14ac:dyDescent="0.2">
      <c r="P4324" s="139"/>
    </row>
    <row r="4325" spans="16:16" x14ac:dyDescent="0.2">
      <c r="P4325" s="139"/>
    </row>
    <row r="4326" spans="16:16" x14ac:dyDescent="0.2">
      <c r="P4326" s="139"/>
    </row>
    <row r="4327" spans="16:16" x14ac:dyDescent="0.2">
      <c r="P4327" s="139"/>
    </row>
    <row r="4328" spans="16:16" x14ac:dyDescent="0.2">
      <c r="P4328" s="139"/>
    </row>
    <row r="4329" spans="16:16" x14ac:dyDescent="0.2">
      <c r="P4329" s="139"/>
    </row>
    <row r="4330" spans="16:16" x14ac:dyDescent="0.2">
      <c r="P4330" s="139"/>
    </row>
    <row r="4331" spans="16:16" x14ac:dyDescent="0.2">
      <c r="P4331" s="139"/>
    </row>
    <row r="4332" spans="16:16" x14ac:dyDescent="0.2">
      <c r="P4332" s="139"/>
    </row>
    <row r="4333" spans="16:16" x14ac:dyDescent="0.2">
      <c r="P4333" s="139"/>
    </row>
    <row r="4334" spans="16:16" x14ac:dyDescent="0.2">
      <c r="P4334" s="139"/>
    </row>
    <row r="4335" spans="16:16" x14ac:dyDescent="0.2">
      <c r="P4335" s="139"/>
    </row>
    <row r="4336" spans="16:16" x14ac:dyDescent="0.2">
      <c r="P4336" s="139"/>
    </row>
    <row r="4337" spans="16:16" x14ac:dyDescent="0.2">
      <c r="P4337" s="139"/>
    </row>
    <row r="4338" spans="16:16" x14ac:dyDescent="0.2">
      <c r="P4338" s="139"/>
    </row>
    <row r="4339" spans="16:16" x14ac:dyDescent="0.2">
      <c r="P4339" s="139"/>
    </row>
    <row r="4340" spans="16:16" x14ac:dyDescent="0.2">
      <c r="P4340" s="139"/>
    </row>
    <row r="4341" spans="16:16" x14ac:dyDescent="0.2">
      <c r="P4341" s="139"/>
    </row>
    <row r="4342" spans="16:16" x14ac:dyDescent="0.2">
      <c r="P4342" s="139"/>
    </row>
    <row r="4343" spans="16:16" x14ac:dyDescent="0.2">
      <c r="P4343" s="139"/>
    </row>
    <row r="4344" spans="16:16" x14ac:dyDescent="0.2">
      <c r="P4344" s="139"/>
    </row>
    <row r="4345" spans="16:16" x14ac:dyDescent="0.2">
      <c r="P4345" s="139"/>
    </row>
    <row r="4346" spans="16:16" x14ac:dyDescent="0.2">
      <c r="P4346" s="139"/>
    </row>
    <row r="4347" spans="16:16" x14ac:dyDescent="0.2">
      <c r="P4347" s="139"/>
    </row>
    <row r="4348" spans="16:16" x14ac:dyDescent="0.2">
      <c r="P4348" s="139"/>
    </row>
    <row r="4349" spans="16:16" x14ac:dyDescent="0.2">
      <c r="P4349" s="139"/>
    </row>
    <row r="4350" spans="16:16" x14ac:dyDescent="0.2">
      <c r="P4350" s="139"/>
    </row>
    <row r="4351" spans="16:16" x14ac:dyDescent="0.2">
      <c r="P4351" s="139"/>
    </row>
    <row r="4352" spans="16:16" x14ac:dyDescent="0.2">
      <c r="P4352" s="139"/>
    </row>
    <row r="4353" spans="16:16" x14ac:dyDescent="0.2">
      <c r="P4353" s="139"/>
    </row>
    <row r="4354" spans="16:16" x14ac:dyDescent="0.2">
      <c r="P4354" s="139"/>
    </row>
    <row r="4355" spans="16:16" x14ac:dyDescent="0.2">
      <c r="P4355" s="139"/>
    </row>
    <row r="4356" spans="16:16" x14ac:dyDescent="0.2">
      <c r="P4356" s="139"/>
    </row>
    <row r="4357" spans="16:16" x14ac:dyDescent="0.2">
      <c r="P4357" s="139"/>
    </row>
    <row r="4358" spans="16:16" x14ac:dyDescent="0.2">
      <c r="P4358" s="139"/>
    </row>
    <row r="4359" spans="16:16" x14ac:dyDescent="0.2">
      <c r="P4359" s="139"/>
    </row>
    <row r="4360" spans="16:16" x14ac:dyDescent="0.2">
      <c r="P4360" s="139"/>
    </row>
    <row r="4361" spans="16:16" x14ac:dyDescent="0.2">
      <c r="P4361" s="139"/>
    </row>
    <row r="4362" spans="16:16" x14ac:dyDescent="0.2">
      <c r="P4362" s="139"/>
    </row>
    <row r="4363" spans="16:16" x14ac:dyDescent="0.2">
      <c r="P4363" s="139"/>
    </row>
    <row r="4364" spans="16:16" x14ac:dyDescent="0.2">
      <c r="P4364" s="139"/>
    </row>
    <row r="4365" spans="16:16" x14ac:dyDescent="0.2">
      <c r="P4365" s="139"/>
    </row>
    <row r="4366" spans="16:16" x14ac:dyDescent="0.2">
      <c r="P4366" s="139"/>
    </row>
    <row r="4367" spans="16:16" x14ac:dyDescent="0.2">
      <c r="P4367" s="139"/>
    </row>
    <row r="4368" spans="16:16" x14ac:dyDescent="0.2">
      <c r="P4368" s="139"/>
    </row>
    <row r="4369" spans="16:16" x14ac:dyDescent="0.2">
      <c r="P4369" s="139"/>
    </row>
    <row r="4370" spans="16:16" x14ac:dyDescent="0.2">
      <c r="P4370" s="139"/>
    </row>
    <row r="4371" spans="16:16" x14ac:dyDescent="0.2">
      <c r="P4371" s="139"/>
    </row>
    <row r="4372" spans="16:16" x14ac:dyDescent="0.2">
      <c r="P4372" s="139"/>
    </row>
    <row r="4373" spans="16:16" x14ac:dyDescent="0.2">
      <c r="P4373" s="139"/>
    </row>
    <row r="4374" spans="16:16" x14ac:dyDescent="0.2">
      <c r="P4374" s="139"/>
    </row>
    <row r="4375" spans="16:16" x14ac:dyDescent="0.2">
      <c r="P4375" s="139"/>
    </row>
    <row r="4376" spans="16:16" x14ac:dyDescent="0.2">
      <c r="P4376" s="139"/>
    </row>
    <row r="4377" spans="16:16" x14ac:dyDescent="0.2">
      <c r="P4377" s="139"/>
    </row>
    <row r="4378" spans="16:16" x14ac:dyDescent="0.2">
      <c r="P4378" s="139"/>
    </row>
    <row r="4379" spans="16:16" x14ac:dyDescent="0.2">
      <c r="P4379" s="139"/>
    </row>
    <row r="4380" spans="16:16" x14ac:dyDescent="0.2">
      <c r="P4380" s="139"/>
    </row>
    <row r="4381" spans="16:16" x14ac:dyDescent="0.2">
      <c r="P4381" s="139"/>
    </row>
    <row r="4382" spans="16:16" x14ac:dyDescent="0.2">
      <c r="P4382" s="139"/>
    </row>
    <row r="4383" spans="16:16" x14ac:dyDescent="0.2">
      <c r="P4383" s="139"/>
    </row>
    <row r="4384" spans="16:16" x14ac:dyDescent="0.2">
      <c r="P4384" s="139"/>
    </row>
    <row r="4385" spans="16:16" x14ac:dyDescent="0.2">
      <c r="P4385" s="139"/>
    </row>
    <row r="4386" spans="16:16" x14ac:dyDescent="0.2">
      <c r="P4386" s="139"/>
    </row>
    <row r="4387" spans="16:16" x14ac:dyDescent="0.2">
      <c r="P4387" s="139"/>
    </row>
    <row r="4388" spans="16:16" x14ac:dyDescent="0.2">
      <c r="P4388" s="139"/>
    </row>
    <row r="4389" spans="16:16" x14ac:dyDescent="0.2">
      <c r="P4389" s="139"/>
    </row>
    <row r="4390" spans="16:16" x14ac:dyDescent="0.2">
      <c r="P4390" s="139"/>
    </row>
    <row r="4391" spans="16:16" x14ac:dyDescent="0.2">
      <c r="P4391" s="139"/>
    </row>
    <row r="4392" spans="16:16" x14ac:dyDescent="0.2">
      <c r="P4392" s="139"/>
    </row>
    <row r="4393" spans="16:16" x14ac:dyDescent="0.2">
      <c r="P4393" s="139"/>
    </row>
    <row r="4394" spans="16:16" x14ac:dyDescent="0.2">
      <c r="P4394" s="139"/>
    </row>
    <row r="4395" spans="16:16" x14ac:dyDescent="0.2">
      <c r="P4395" s="139"/>
    </row>
    <row r="4396" spans="16:16" x14ac:dyDescent="0.2">
      <c r="P4396" s="139"/>
    </row>
    <row r="4397" spans="16:16" x14ac:dyDescent="0.2">
      <c r="P4397" s="139"/>
    </row>
    <row r="4398" spans="16:16" x14ac:dyDescent="0.2">
      <c r="P4398" s="139"/>
    </row>
    <row r="4399" spans="16:16" x14ac:dyDescent="0.2">
      <c r="P4399" s="139"/>
    </row>
    <row r="4400" spans="16:16" x14ac:dyDescent="0.2">
      <c r="P4400" s="139"/>
    </row>
    <row r="4401" spans="16:16" x14ac:dyDescent="0.2">
      <c r="P4401" s="139"/>
    </row>
    <row r="4402" spans="16:16" x14ac:dyDescent="0.2">
      <c r="P4402" s="139"/>
    </row>
    <row r="4403" spans="16:16" x14ac:dyDescent="0.2">
      <c r="P4403" s="139"/>
    </row>
    <row r="4404" spans="16:16" x14ac:dyDescent="0.2">
      <c r="P4404" s="139"/>
    </row>
    <row r="4405" spans="16:16" x14ac:dyDescent="0.2">
      <c r="P4405" s="139"/>
    </row>
    <row r="4406" spans="16:16" x14ac:dyDescent="0.2">
      <c r="P4406" s="139"/>
    </row>
    <row r="4407" spans="16:16" x14ac:dyDescent="0.2">
      <c r="P4407" s="139"/>
    </row>
    <row r="4408" spans="16:16" x14ac:dyDescent="0.2">
      <c r="P4408" s="139"/>
    </row>
    <row r="4409" spans="16:16" x14ac:dyDescent="0.2">
      <c r="P4409" s="139"/>
    </row>
    <row r="4410" spans="16:16" x14ac:dyDescent="0.2">
      <c r="P4410" s="139"/>
    </row>
    <row r="4411" spans="16:16" x14ac:dyDescent="0.2">
      <c r="P4411" s="139"/>
    </row>
    <row r="4412" spans="16:16" x14ac:dyDescent="0.2">
      <c r="P4412" s="139"/>
    </row>
    <row r="4413" spans="16:16" x14ac:dyDescent="0.2">
      <c r="P4413" s="139"/>
    </row>
    <row r="4414" spans="16:16" x14ac:dyDescent="0.2">
      <c r="P4414" s="139"/>
    </row>
    <row r="4415" spans="16:16" x14ac:dyDescent="0.2">
      <c r="P4415" s="139"/>
    </row>
    <row r="4416" spans="16:16" x14ac:dyDescent="0.2">
      <c r="P4416" s="139"/>
    </row>
    <row r="4417" spans="16:16" x14ac:dyDescent="0.2">
      <c r="P4417" s="139"/>
    </row>
    <row r="4418" spans="16:16" x14ac:dyDescent="0.2">
      <c r="P4418" s="139"/>
    </row>
    <row r="4419" spans="16:16" x14ac:dyDescent="0.2">
      <c r="P4419" s="139"/>
    </row>
    <row r="4420" spans="16:16" x14ac:dyDescent="0.2">
      <c r="P4420" s="139"/>
    </row>
    <row r="4421" spans="16:16" x14ac:dyDescent="0.2">
      <c r="P4421" s="139"/>
    </row>
    <row r="4422" spans="16:16" x14ac:dyDescent="0.2">
      <c r="P4422" s="139"/>
    </row>
    <row r="4423" spans="16:16" x14ac:dyDescent="0.2">
      <c r="P4423" s="139"/>
    </row>
    <row r="4424" spans="16:16" x14ac:dyDescent="0.2">
      <c r="P4424" s="139"/>
    </row>
    <row r="4425" spans="16:16" x14ac:dyDescent="0.2">
      <c r="P4425" s="139"/>
    </row>
    <row r="4426" spans="16:16" x14ac:dyDescent="0.2">
      <c r="P4426" s="139"/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9" tint="0.79998168889431442"/>
  </sheetPr>
  <dimension ref="A1:I38"/>
  <sheetViews>
    <sheetView workbookViewId="0">
      <selection activeCell="E21" sqref="E21"/>
    </sheetView>
  </sheetViews>
  <sheetFormatPr baseColWidth="10" defaultColWidth="8.83203125" defaultRowHeight="15" x14ac:dyDescent="0.2"/>
  <cols>
    <col min="1" max="1" width="20.33203125" style="139" customWidth="1"/>
    <col min="2" max="2" width="18.83203125" customWidth="1"/>
    <col min="3" max="3" width="12.6640625" customWidth="1"/>
    <col min="4" max="4" width="18.1640625" customWidth="1"/>
    <col min="5" max="5" width="15" customWidth="1"/>
    <col min="6" max="6" width="12.6640625" customWidth="1"/>
  </cols>
  <sheetData>
    <row r="1" spans="1:9" s="161" customFormat="1" x14ac:dyDescent="0.2"/>
    <row r="2" spans="1:9" x14ac:dyDescent="0.2">
      <c r="A2" s="59" t="s">
        <v>145</v>
      </c>
    </row>
    <row r="3" spans="1:9" x14ac:dyDescent="0.2">
      <c r="C3" s="191" t="s">
        <v>68</v>
      </c>
      <c r="D3" s="191" t="s">
        <v>69</v>
      </c>
      <c r="E3" s="191" t="s">
        <v>70</v>
      </c>
      <c r="F3" s="191" t="s">
        <v>71</v>
      </c>
    </row>
    <row r="4" spans="1:9" x14ac:dyDescent="0.2">
      <c r="A4" s="6" t="s">
        <v>58</v>
      </c>
      <c r="B4" s="6" t="s">
        <v>17</v>
      </c>
      <c r="C4" s="6">
        <v>4.9160000000000004</v>
      </c>
      <c r="D4" s="6">
        <v>7.6769999999999996</v>
      </c>
      <c r="E4" s="6">
        <f>D4-1</f>
        <v>6.6769999999999996</v>
      </c>
      <c r="F4" s="6">
        <f>C4/E4</f>
        <v>0.73625879886176437</v>
      </c>
    </row>
    <row r="5" spans="1:9" x14ac:dyDescent="0.2">
      <c r="A5" s="6"/>
      <c r="B5" s="6" t="s">
        <v>18</v>
      </c>
      <c r="C5" s="6">
        <v>7.1749999999999998</v>
      </c>
      <c r="D5" s="6">
        <v>8.593</v>
      </c>
      <c r="E5" s="6">
        <f t="shared" ref="E5:E17" si="0">D5-1</f>
        <v>7.593</v>
      </c>
      <c r="F5" s="6">
        <f t="shared" ref="F5:F17" si="1">C5/E5</f>
        <v>0.94494929540366124</v>
      </c>
    </row>
    <row r="6" spans="1:9" x14ac:dyDescent="0.2">
      <c r="A6" s="6"/>
      <c r="B6" s="6" t="s">
        <v>19</v>
      </c>
      <c r="C6" s="6">
        <v>6.7930000000000001</v>
      </c>
      <c r="D6" s="6">
        <v>7.585</v>
      </c>
      <c r="E6" s="6">
        <f t="shared" si="0"/>
        <v>6.585</v>
      </c>
      <c r="F6" s="6">
        <f t="shared" si="1"/>
        <v>1.031586940015186</v>
      </c>
    </row>
    <row r="7" spans="1:9" x14ac:dyDescent="0.2">
      <c r="A7" s="6"/>
      <c r="B7" s="6" t="s">
        <v>46</v>
      </c>
      <c r="C7" s="21">
        <v>6.5590000000000002</v>
      </c>
      <c r="D7" s="21">
        <v>7.74</v>
      </c>
      <c r="E7" s="6">
        <f t="shared" si="0"/>
        <v>6.74</v>
      </c>
      <c r="F7" s="6">
        <f t="shared" si="1"/>
        <v>0.97314540059347177</v>
      </c>
    </row>
    <row r="8" spans="1:9" x14ac:dyDescent="0.2">
      <c r="A8" s="6"/>
      <c r="B8" s="6" t="s">
        <v>20</v>
      </c>
      <c r="C8" s="21">
        <v>6.4219999999999997</v>
      </c>
      <c r="D8" s="21">
        <v>6.62</v>
      </c>
      <c r="E8" s="6">
        <f t="shared" si="0"/>
        <v>5.62</v>
      </c>
      <c r="F8" s="6">
        <f t="shared" si="1"/>
        <v>1.1427046263345195</v>
      </c>
    </row>
    <row r="9" spans="1:9" x14ac:dyDescent="0.2">
      <c r="A9" s="31"/>
      <c r="B9" s="31" t="s">
        <v>21</v>
      </c>
      <c r="C9" s="31">
        <v>5.7380000000000004</v>
      </c>
      <c r="D9" s="31">
        <v>6.2969999999999997</v>
      </c>
      <c r="E9" s="31">
        <f t="shared" si="0"/>
        <v>5.2969999999999997</v>
      </c>
      <c r="F9" s="31">
        <f t="shared" si="1"/>
        <v>1.0832546724561074</v>
      </c>
    </row>
    <row r="10" spans="1:9" x14ac:dyDescent="0.2">
      <c r="A10" s="143" t="s">
        <v>59</v>
      </c>
      <c r="B10" s="143" t="s">
        <v>17</v>
      </c>
      <c r="C10" s="21">
        <v>1.0349999999999999</v>
      </c>
      <c r="D10" s="21">
        <v>8.6780000000000008</v>
      </c>
      <c r="E10" s="6">
        <f t="shared" si="0"/>
        <v>7.6780000000000008</v>
      </c>
      <c r="F10" s="6">
        <f t="shared" si="1"/>
        <v>0.13480072935660325</v>
      </c>
    </row>
    <row r="11" spans="1:9" x14ac:dyDescent="0.2">
      <c r="A11" s="6"/>
      <c r="B11" s="6" t="s">
        <v>18</v>
      </c>
      <c r="C11" s="21">
        <v>3.1320000000000001</v>
      </c>
      <c r="D11" s="21">
        <v>14.797000000000001</v>
      </c>
      <c r="E11" s="6">
        <f t="shared" si="0"/>
        <v>13.797000000000001</v>
      </c>
      <c r="F11" s="6">
        <f t="shared" si="1"/>
        <v>0.22700587084148727</v>
      </c>
    </row>
    <row r="12" spans="1:9" x14ac:dyDescent="0.2">
      <c r="A12" s="6"/>
      <c r="B12" s="6" t="s">
        <v>19</v>
      </c>
      <c r="C12" s="21">
        <v>3.238</v>
      </c>
      <c r="D12" s="21">
        <v>13.742000000000001</v>
      </c>
      <c r="E12" s="6">
        <f t="shared" si="0"/>
        <v>12.742000000000001</v>
      </c>
      <c r="F12" s="6">
        <f t="shared" si="1"/>
        <v>0.25412023230262121</v>
      </c>
    </row>
    <row r="13" spans="1:9" x14ac:dyDescent="0.2">
      <c r="A13" s="6"/>
      <c r="B13" s="6" t="s">
        <v>46</v>
      </c>
      <c r="C13" s="21">
        <v>2.698</v>
      </c>
      <c r="D13" s="21">
        <v>10.641999999999999</v>
      </c>
      <c r="E13" s="6">
        <f t="shared" si="0"/>
        <v>9.6419999999999995</v>
      </c>
      <c r="F13" s="6">
        <f t="shared" si="1"/>
        <v>0.27981746525617091</v>
      </c>
    </row>
    <row r="14" spans="1:9" x14ac:dyDescent="0.2">
      <c r="A14" s="6"/>
      <c r="B14" s="6" t="s">
        <v>20</v>
      </c>
      <c r="C14" s="21">
        <v>2.3530000000000002</v>
      </c>
      <c r="D14" s="21">
        <v>6.5039999999999996</v>
      </c>
      <c r="E14" s="6">
        <f t="shared" si="0"/>
        <v>5.5039999999999996</v>
      </c>
      <c r="F14" s="6">
        <f t="shared" si="1"/>
        <v>0.42750726744186052</v>
      </c>
      <c r="I14" s="62"/>
    </row>
    <row r="15" spans="1:9" x14ac:dyDescent="0.2">
      <c r="A15" s="31"/>
      <c r="B15" s="31" t="s">
        <v>21</v>
      </c>
      <c r="C15" s="31">
        <v>3.1680000000000001</v>
      </c>
      <c r="D15" s="31">
        <v>7.085</v>
      </c>
      <c r="E15" s="31">
        <f t="shared" si="0"/>
        <v>6.085</v>
      </c>
      <c r="F15" s="31">
        <f t="shared" si="1"/>
        <v>0.52062448644207071</v>
      </c>
    </row>
    <row r="16" spans="1:9" x14ac:dyDescent="0.2">
      <c r="A16" s="144" t="s">
        <v>14</v>
      </c>
      <c r="B16" s="145"/>
      <c r="C16" s="144">
        <v>8.6170000000000009</v>
      </c>
      <c r="D16" s="144">
        <v>10.741</v>
      </c>
      <c r="E16" s="146">
        <f t="shared" si="0"/>
        <v>9.7409999999999997</v>
      </c>
      <c r="F16" s="146">
        <f t="shared" si="1"/>
        <v>0.88461143619751581</v>
      </c>
    </row>
    <row r="17" spans="1:6" x14ac:dyDescent="0.2">
      <c r="A17" s="146" t="s">
        <v>67</v>
      </c>
      <c r="B17" s="31"/>
      <c r="C17" s="31">
        <v>4.1139999999999999</v>
      </c>
      <c r="D17" s="146">
        <v>7.2430000000000003</v>
      </c>
      <c r="E17" s="146">
        <f t="shared" si="0"/>
        <v>6.2430000000000003</v>
      </c>
      <c r="F17" s="146">
        <f t="shared" si="1"/>
        <v>0.65897805542207266</v>
      </c>
    </row>
    <row r="19" spans="1:6" x14ac:dyDescent="0.2">
      <c r="A19" s="193" t="s">
        <v>146</v>
      </c>
      <c r="B19" s="194"/>
      <c r="C19" s="194"/>
      <c r="D19" s="194"/>
      <c r="E19" s="62"/>
      <c r="F19" s="62"/>
    </row>
    <row r="20" spans="1:6" x14ac:dyDescent="0.2">
      <c r="A20" s="194"/>
      <c r="B20" s="194"/>
      <c r="C20" s="195" t="s">
        <v>68</v>
      </c>
      <c r="D20" s="195" t="s">
        <v>69</v>
      </c>
      <c r="E20" s="217" t="s">
        <v>70</v>
      </c>
      <c r="F20" s="217" t="s">
        <v>71</v>
      </c>
    </row>
    <row r="21" spans="1:6" x14ac:dyDescent="0.2">
      <c r="A21" s="196" t="s">
        <v>12</v>
      </c>
      <c r="B21" s="197" t="s">
        <v>47</v>
      </c>
      <c r="C21" s="194">
        <v>0.74811459999999996</v>
      </c>
      <c r="D21" s="194">
        <v>6.1919082000000003</v>
      </c>
      <c r="E21" s="62">
        <f>D21-1</f>
        <v>5.1919082000000003</v>
      </c>
      <c r="F21" s="21">
        <f>C21/E21</f>
        <v>0.14409241673417875</v>
      </c>
    </row>
    <row r="22" spans="1:6" x14ac:dyDescent="0.2">
      <c r="A22" s="196"/>
      <c r="B22" s="197" t="s">
        <v>147</v>
      </c>
      <c r="C22" s="194">
        <v>3.3014353999999999</v>
      </c>
      <c r="D22" s="194">
        <v>8.0447938000000008</v>
      </c>
      <c r="E22" s="62">
        <f t="shared" ref="E22:E37" si="2">D22-1</f>
        <v>7.0447938000000008</v>
      </c>
      <c r="F22" s="21">
        <f t="shared" ref="F22:F37" si="3">C22/E22</f>
        <v>0.46863478104923378</v>
      </c>
    </row>
    <row r="23" spans="1:6" x14ac:dyDescent="0.2">
      <c r="A23" s="196"/>
      <c r="B23" s="197" t="s">
        <v>148</v>
      </c>
      <c r="C23" s="194">
        <v>3.6965517000000001</v>
      </c>
      <c r="D23" s="194">
        <v>11.266952</v>
      </c>
      <c r="E23" s="62">
        <f t="shared" si="2"/>
        <v>10.266952</v>
      </c>
      <c r="F23" s="21">
        <f t="shared" si="3"/>
        <v>0.36004373060281181</v>
      </c>
    </row>
    <row r="24" spans="1:6" x14ac:dyDescent="0.2">
      <c r="A24" s="196"/>
      <c r="B24" s="197" t="s">
        <v>149</v>
      </c>
      <c r="C24" s="194">
        <v>4.6569342999999996</v>
      </c>
      <c r="D24" s="194">
        <v>15.769316</v>
      </c>
      <c r="E24" s="62">
        <f t="shared" si="2"/>
        <v>14.769316</v>
      </c>
      <c r="F24" s="21">
        <f t="shared" si="3"/>
        <v>0.31531144028606334</v>
      </c>
    </row>
    <row r="25" spans="1:6" x14ac:dyDescent="0.2">
      <c r="A25" s="198"/>
      <c r="B25" s="199" t="s">
        <v>150</v>
      </c>
      <c r="C25" s="198">
        <v>3.65</v>
      </c>
      <c r="D25" s="198">
        <v>14.826674000000001</v>
      </c>
      <c r="E25" s="63">
        <f t="shared" si="2"/>
        <v>13.826674000000001</v>
      </c>
      <c r="F25" s="63">
        <f t="shared" si="3"/>
        <v>0.26398250222721675</v>
      </c>
    </row>
    <row r="26" spans="1:6" x14ac:dyDescent="0.2">
      <c r="A26" s="196" t="s">
        <v>58</v>
      </c>
      <c r="B26" s="197" t="s">
        <v>47</v>
      </c>
      <c r="C26" s="194">
        <v>3.3161290000000001</v>
      </c>
      <c r="D26" s="194">
        <v>7.9288249999999998</v>
      </c>
      <c r="E26" s="21">
        <f t="shared" si="2"/>
        <v>6.9288249999999998</v>
      </c>
      <c r="F26" s="21">
        <f t="shared" si="3"/>
        <v>0.47859904096293387</v>
      </c>
    </row>
    <row r="27" spans="1:6" x14ac:dyDescent="0.2">
      <c r="A27" s="194"/>
      <c r="B27" s="197" t="s">
        <v>147</v>
      </c>
      <c r="C27" s="194">
        <v>5.2763533000000002</v>
      </c>
      <c r="D27" s="194">
        <v>9.0753450000000004</v>
      </c>
      <c r="E27" s="21">
        <f t="shared" si="2"/>
        <v>8.0753450000000004</v>
      </c>
      <c r="F27" s="21">
        <f t="shared" si="3"/>
        <v>0.65339044957212356</v>
      </c>
    </row>
    <row r="28" spans="1:6" x14ac:dyDescent="0.2">
      <c r="A28" s="194"/>
      <c r="B28" s="197" t="s">
        <v>148</v>
      </c>
      <c r="C28" s="194">
        <v>4.9152317999999999</v>
      </c>
      <c r="D28" s="194">
        <v>10.922663999999999</v>
      </c>
      <c r="E28" s="21">
        <f t="shared" si="2"/>
        <v>9.9226639999999993</v>
      </c>
      <c r="F28" s="21">
        <f t="shared" si="3"/>
        <v>0.49535405008171196</v>
      </c>
    </row>
    <row r="29" spans="1:6" x14ac:dyDescent="0.2">
      <c r="A29" s="194"/>
      <c r="B29" s="197" t="s">
        <v>149</v>
      </c>
      <c r="C29" s="194">
        <v>4.2605421999999997</v>
      </c>
      <c r="D29" s="194">
        <v>11.058357000000001</v>
      </c>
      <c r="E29" s="21">
        <f t="shared" si="2"/>
        <v>10.058357000000001</v>
      </c>
      <c r="F29" s="21">
        <f t="shared" si="3"/>
        <v>0.42358232065137469</v>
      </c>
    </row>
    <row r="30" spans="1:6" x14ac:dyDescent="0.2">
      <c r="A30" s="198"/>
      <c r="B30" s="199" t="s">
        <v>150</v>
      </c>
      <c r="C30" s="198">
        <v>4.5008881000000001</v>
      </c>
      <c r="D30" s="196">
        <v>10.589632</v>
      </c>
      <c r="E30" s="21">
        <f t="shared" si="2"/>
        <v>9.5896319999999999</v>
      </c>
      <c r="F30" s="21">
        <f t="shared" si="3"/>
        <v>0.46934940777706591</v>
      </c>
    </row>
    <row r="31" spans="1:6" x14ac:dyDescent="0.2">
      <c r="A31" s="200" t="s">
        <v>59</v>
      </c>
      <c r="B31" s="197" t="s">
        <v>47</v>
      </c>
      <c r="C31" s="194">
        <v>2.9280575999999998</v>
      </c>
      <c r="D31" s="200">
        <v>9.9867682999999996</v>
      </c>
      <c r="E31" s="205">
        <f t="shared" si="2"/>
        <v>8.9867682999999996</v>
      </c>
      <c r="F31" s="205">
        <f t="shared" si="3"/>
        <v>0.3258187484370772</v>
      </c>
    </row>
    <row r="32" spans="1:6" x14ac:dyDescent="0.2">
      <c r="A32" s="194"/>
      <c r="B32" s="197" t="s">
        <v>147</v>
      </c>
      <c r="C32" s="194">
        <v>4.5319148</v>
      </c>
      <c r="D32" s="194">
        <v>11.587996</v>
      </c>
      <c r="E32" s="21">
        <f t="shared" si="2"/>
        <v>10.587996</v>
      </c>
      <c r="F32" s="21">
        <f t="shared" si="3"/>
        <v>0.42802384889454054</v>
      </c>
    </row>
    <row r="33" spans="1:6" x14ac:dyDescent="0.2">
      <c r="A33" s="194"/>
      <c r="B33" s="197" t="s">
        <v>148</v>
      </c>
      <c r="C33" s="194">
        <v>4.6458332999999996</v>
      </c>
      <c r="D33" s="194">
        <v>13.159528</v>
      </c>
      <c r="E33" s="21">
        <f t="shared" si="2"/>
        <v>12.159528</v>
      </c>
      <c r="F33" s="21">
        <f t="shared" si="3"/>
        <v>0.38207349002362589</v>
      </c>
    </row>
    <row r="34" spans="1:6" x14ac:dyDescent="0.2">
      <c r="A34" s="194"/>
      <c r="B34" s="197" t="s">
        <v>149</v>
      </c>
      <c r="C34" s="194">
        <v>4.3235294</v>
      </c>
      <c r="D34" s="196">
        <v>12.772637</v>
      </c>
      <c r="E34" s="21">
        <f t="shared" si="2"/>
        <v>11.772637</v>
      </c>
      <c r="F34" s="21">
        <f t="shared" si="3"/>
        <v>0.3672524176189243</v>
      </c>
    </row>
    <row r="35" spans="1:6" x14ac:dyDescent="0.2">
      <c r="A35" s="198"/>
      <c r="B35" s="199" t="s">
        <v>150</v>
      </c>
      <c r="C35" s="198">
        <v>5.2302631999999996</v>
      </c>
      <c r="D35" s="198">
        <v>15.366980999999999</v>
      </c>
      <c r="E35" s="63">
        <f t="shared" si="2"/>
        <v>14.366980999999999</v>
      </c>
      <c r="F35" s="63">
        <f t="shared" si="3"/>
        <v>0.36404747803313725</v>
      </c>
    </row>
    <row r="36" spans="1:6" x14ac:dyDescent="0.2">
      <c r="A36" s="201" t="s">
        <v>14</v>
      </c>
      <c r="B36" s="202"/>
      <c r="C36" s="202">
        <v>4.1065573999999998</v>
      </c>
      <c r="D36" s="202">
        <v>9.9917279000000008</v>
      </c>
      <c r="E36" s="63">
        <f t="shared" si="2"/>
        <v>8.9917279000000008</v>
      </c>
      <c r="F36" s="63">
        <f t="shared" si="3"/>
        <v>0.45670392227949863</v>
      </c>
    </row>
    <row r="37" spans="1:6" x14ac:dyDescent="0.2">
      <c r="A37" s="202" t="s">
        <v>67</v>
      </c>
      <c r="B37" s="202"/>
      <c r="C37" s="202">
        <v>0.59166669999999999</v>
      </c>
      <c r="D37" s="202">
        <v>13.390245999999999</v>
      </c>
      <c r="E37" s="63">
        <f t="shared" si="2"/>
        <v>12.390245999999999</v>
      </c>
      <c r="F37" s="63">
        <f t="shared" si="3"/>
        <v>4.7752619278099886E-2</v>
      </c>
    </row>
    <row r="38" spans="1:6" x14ac:dyDescent="0.2">
      <c r="A38" s="194"/>
      <c r="B38" s="194"/>
      <c r="C38" s="194"/>
      <c r="D38" s="194"/>
      <c r="E38" s="62"/>
      <c r="F38" s="6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Parameters</vt:lpstr>
      <vt:lpstr>Outcomes</vt:lpstr>
      <vt:lpstr>Analysis</vt:lpstr>
      <vt:lpstr>Visualization</vt:lpstr>
      <vt:lpstr>Support</vt:lpstr>
      <vt:lpstr>Gamma.Poisson.Calc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Yaesoubi</dc:creator>
  <cp:lastModifiedBy>Microsoft Office User</cp:lastModifiedBy>
  <dcterms:created xsi:type="dcterms:W3CDTF">2017-04-29T00:18:41Z</dcterms:created>
  <dcterms:modified xsi:type="dcterms:W3CDTF">2017-07-06T02:10:29Z</dcterms:modified>
</cp:coreProperties>
</file>