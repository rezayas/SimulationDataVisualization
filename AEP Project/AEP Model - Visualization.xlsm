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87\Box Sync\Projects\2016 Alcohol-Exposed Pregnancy\FAS Project (Shared)\VBA Model\"/>
    </mc:Choice>
  </mc:AlternateContent>
  <bookViews>
    <workbookView xWindow="0" yWindow="0" windowWidth="28800" windowHeight="11010" tabRatio="710" activeTab="4"/>
  </bookViews>
  <sheets>
    <sheet name="Settings" sheetId="2" r:id="rId1"/>
    <sheet name="Parameters" sheetId="1" r:id="rId2"/>
    <sheet name="Age group transition" sheetId="8" r:id="rId3"/>
    <sheet name="Outcomes" sheetId="3" r:id="rId4"/>
    <sheet name="Scenario Analysis" sheetId="4" r:id="rId5"/>
    <sheet name="Debugging" sheetId="9" r:id="rId6"/>
    <sheet name="Support" sheetId="6" r:id="rId7"/>
    <sheet name="Gamma.Poisson.Calc" sheetId="7" r:id="rId8"/>
  </sheets>
  <functionGroups builtInGroupCount="18"/>
  <definedNames>
    <definedName name="aep_prev_increas_contra">Outcomes!#REF!</definedName>
    <definedName name="alpha">Settings!$D$9</definedName>
    <definedName name="averageNumOfSexualEncounters">Parameters!$J$101</definedName>
    <definedName name="baseAEPAccess">'Scenario Analysis'!$X$9</definedName>
    <definedName name="baseAEPComplience">'Scenario Analysis'!$H$9</definedName>
    <definedName name="baseAEPRiskAccess">'Scenario Analysis'!$N$9</definedName>
    <definedName name="baseAEPRiskComplience">'Scenario Analysis'!$B$9</definedName>
    <definedName name="CDCComplianceLevel">Settings!$D$10</definedName>
    <definedName name="contraceptionData">Parameters!$C$30:$H$37</definedName>
    <definedName name="deltaT">Settings!$D$4</definedName>
    <definedName name="effAdjustingFactor">Parameters!$F$15</definedName>
    <definedName name="monthlyDrinks_alpha">Parameters!$B$46:$I$50</definedName>
    <definedName name="monthlyDrinks_beta">Parameters!$B$55:$I$60</definedName>
    <definedName name="monthlySexes_alpha">Parameters!$B$74:$I$80</definedName>
    <definedName name="monthlySexes_beta">Parameters!$B$84:$I$90</definedName>
    <definedName name="Nonagespecific_AEPest">Outcomes!$AU$8</definedName>
    <definedName name="percent_contraceptionDecrease">Settings!$D$12</definedName>
    <definedName name="percent_contraceptionIncrease">Settings!$D$11</definedName>
    <definedName name="popAgeDistribution">Parameters!$B$5:$D$11</definedName>
    <definedName name="popSize">Settings!$D$7</definedName>
    <definedName name="ProbHavingAbortion">Parameters!$F$14</definedName>
    <definedName name="probPregnancyAfterSex">Parameters!$I$5:$J$11</definedName>
    <definedName name="probSuccessPregnancy">Parameters!$J$12</definedName>
    <definedName name="projectionPeriod">Settings!$D$6</definedName>
    <definedName name="propMiscarriage">Parameters!$L$5:$M$11</definedName>
    <definedName name="rangeCDCCompliance">Settings!$O$5:$O$9</definedName>
    <definedName name="rangeContraceptiveChange">Settings!$P$5:$P$9</definedName>
    <definedName name="ratioSterile">'Age group transition'!$C$1</definedName>
    <definedName name="replications">Settings!$D$8</definedName>
    <definedName name="sexualBehaviorGroups">Parameters!$C$19:$K$24</definedName>
    <definedName name="sim_AEPCause">Outcomes!$BK$14</definedName>
    <definedName name="sim_AEPper1000">Outcomes!$AX$14</definedName>
    <definedName name="sim_AEPPrevalence">Outcomes!$BH$14</definedName>
    <definedName name="sim_AEPPrevalenceByAge">Outcomes!$BA$14</definedName>
    <definedName name="sim_AEPRisk">Outcomes!$AN$14</definedName>
    <definedName name="sim_AEPRiskTotal">Outcomes!$AU$14</definedName>
    <definedName name="sim_ageSexDistribution">Outcomes!$CT$12</definedName>
    <definedName name="sim_percentageDrankByAge">Outcomes!$BZ$14</definedName>
    <definedName name="sim_percentageDrankLastMonth">Outcomes!$BR$14</definedName>
    <definedName name="sim_percentageHadSex">Outcomes!$CJ$14</definedName>
    <definedName name="sim_percentagePregnant">Outcomes!$AD$14</definedName>
    <definedName name="sim_proportionInBehaviorGroups">Outcomes!$V$14</definedName>
    <definedName name="sim_totalPregnancies">Outcomes!$AW$14</definedName>
    <definedName name="simAnnualBirthRates">Outcomes!$B$14</definedName>
    <definedName name="simUnintendedPreg">Outcomes!$K$14</definedName>
    <definedName name="testCell">Support!$R$3</definedName>
    <definedName name="tProb10to14">'Age group transition'!$E$5:$J$10</definedName>
    <definedName name="tProb15to19">'Age group transition'!$E$15:$J$20</definedName>
    <definedName name="tProb20to24">'Age group transition'!$E$25:$J$30</definedName>
    <definedName name="tProb25to29">'Age group transition'!$E$35:$J$40</definedName>
    <definedName name="tProb30to34">'Age group transition'!$E$45:$J$50</definedName>
    <definedName name="tProb35to39">'Age group transition'!$E$55:$J$60</definedName>
    <definedName name="tProb40to44">'Age group transition'!$E$65:$J$70</definedName>
    <definedName name="warmUpPeriod">Settings!$D$5</definedName>
    <definedName name="weeklyFreqOfSexualActivity">Parameters!#REF!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10" i="3" l="1"/>
  <c r="AX9" i="3"/>
  <c r="AX8" i="3"/>
  <c r="AX11" i="3" l="1"/>
  <c r="AX12" i="3"/>
  <c r="AF6" i="4"/>
  <c r="AE6" i="4"/>
  <c r="AD6" i="4"/>
  <c r="AC6" i="4"/>
  <c r="AB6" i="4"/>
  <c r="AA6" i="4"/>
  <c r="Z6" i="4"/>
  <c r="Y6" i="4"/>
  <c r="X6" i="4"/>
  <c r="AF5" i="4"/>
  <c r="AE5" i="4"/>
  <c r="AD5" i="4"/>
  <c r="AC5" i="4"/>
  <c r="AB5" i="4"/>
  <c r="AA5" i="4"/>
  <c r="Z5" i="4"/>
  <c r="Y5" i="4"/>
  <c r="X5" i="4"/>
  <c r="AF4" i="4"/>
  <c r="AE4" i="4"/>
  <c r="AD4" i="4"/>
  <c r="AC4" i="4"/>
  <c r="AB4" i="4"/>
  <c r="AA4" i="4"/>
  <c r="Z4" i="4"/>
  <c r="Y4" i="4"/>
  <c r="X4" i="4"/>
  <c r="V6" i="4"/>
  <c r="U6" i="4"/>
  <c r="T6" i="4"/>
  <c r="T8" i="4" s="1"/>
  <c r="S6" i="4"/>
  <c r="R6" i="4"/>
  <c r="V5" i="4"/>
  <c r="U5" i="4"/>
  <c r="T5" i="4"/>
  <c r="S5" i="4"/>
  <c r="R5" i="4"/>
  <c r="V4" i="4"/>
  <c r="U4" i="4"/>
  <c r="T4" i="4"/>
  <c r="S4" i="4"/>
  <c r="R4" i="4"/>
  <c r="Q6" i="4"/>
  <c r="P6" i="4"/>
  <c r="O6" i="4"/>
  <c r="N6" i="4"/>
  <c r="Q5" i="4"/>
  <c r="P5" i="4"/>
  <c r="O5" i="4"/>
  <c r="N5" i="4"/>
  <c r="Q4" i="4"/>
  <c r="P4" i="4"/>
  <c r="O4" i="4"/>
  <c r="N4" i="4"/>
  <c r="X7" i="4" l="1"/>
  <c r="V8" i="4"/>
  <c r="Z7" i="4"/>
  <c r="Y7" i="4"/>
  <c r="AA7" i="4"/>
  <c r="V7" i="4"/>
  <c r="AB7" i="4"/>
  <c r="Z8" i="4"/>
  <c r="Y8" i="4"/>
  <c r="R7" i="4"/>
  <c r="AC7" i="4"/>
  <c r="AA8" i="4"/>
  <c r="AD7" i="4"/>
  <c r="AB8" i="4"/>
  <c r="AE7" i="4"/>
  <c r="AC8" i="4"/>
  <c r="AF7" i="4"/>
  <c r="AD8" i="4"/>
  <c r="AE8" i="4"/>
  <c r="R8" i="4"/>
  <c r="AF8" i="4"/>
  <c r="S8" i="4"/>
  <c r="X8" i="4"/>
  <c r="S7" i="4"/>
  <c r="U7" i="4"/>
  <c r="T7" i="4"/>
  <c r="U8" i="4"/>
  <c r="O7" i="4"/>
  <c r="O8" i="4"/>
  <c r="N8" i="4"/>
  <c r="Q8" i="4"/>
  <c r="N7" i="4"/>
  <c r="P7" i="4"/>
  <c r="P8" i="4"/>
  <c r="Q7" i="4"/>
  <c r="L6" i="4"/>
  <c r="K6" i="4"/>
  <c r="J6" i="4"/>
  <c r="I6" i="4"/>
  <c r="H6" i="4"/>
  <c r="L5" i="4"/>
  <c r="K5" i="4"/>
  <c r="J5" i="4"/>
  <c r="I5" i="4"/>
  <c r="H5" i="4"/>
  <c r="F6" i="4"/>
  <c r="E6" i="4"/>
  <c r="D6" i="4"/>
  <c r="C6" i="4"/>
  <c r="F5" i="4"/>
  <c r="E5" i="4"/>
  <c r="D5" i="4"/>
  <c r="C5" i="4"/>
  <c r="B6" i="4"/>
  <c r="B5" i="4"/>
  <c r="E11" i="1"/>
  <c r="E10" i="1"/>
  <c r="E9" i="1"/>
  <c r="E8" i="1"/>
  <c r="E7" i="1"/>
  <c r="E6" i="1"/>
  <c r="D22" i="1"/>
  <c r="D21" i="1"/>
  <c r="L4" i="4"/>
  <c r="K4" i="4"/>
  <c r="J4" i="4"/>
  <c r="I4" i="4"/>
  <c r="H4" i="4"/>
  <c r="F4" i="4"/>
  <c r="E4" i="4"/>
  <c r="D4" i="4"/>
  <c r="C4" i="4"/>
  <c r="B4" i="4"/>
  <c r="J8" i="4" l="1"/>
  <c r="H7" i="4"/>
  <c r="E8" i="4"/>
  <c r="C7" i="4"/>
  <c r="B8" i="4"/>
  <c r="L7" i="4"/>
  <c r="B7" i="4"/>
  <c r="L8" i="4"/>
  <c r="E7" i="4"/>
  <c r="I7" i="4"/>
  <c r="D7" i="4"/>
  <c r="C8" i="4"/>
  <c r="I8" i="4"/>
  <c r="F7" i="4"/>
  <c r="D8" i="4"/>
  <c r="F8" i="4"/>
  <c r="J7" i="4"/>
  <c r="K7" i="4"/>
  <c r="H8" i="4"/>
  <c r="K8" i="4"/>
  <c r="R70" i="8"/>
  <c r="J70" i="8" s="1"/>
  <c r="Q69" i="8"/>
  <c r="I69" i="8" s="1"/>
  <c r="P68" i="8"/>
  <c r="H68" i="8" s="1"/>
  <c r="O67" i="8"/>
  <c r="G67" i="8" s="1"/>
  <c r="N66" i="8"/>
  <c r="F66" i="8" s="1"/>
  <c r="M65" i="8"/>
  <c r="E65" i="8" s="1"/>
  <c r="N56" i="8"/>
  <c r="F56" i="8" s="1"/>
  <c r="O57" i="8"/>
  <c r="G57" i="8" s="1"/>
  <c r="P58" i="8"/>
  <c r="H58" i="8" s="1"/>
  <c r="Q59" i="8"/>
  <c r="I59" i="8" s="1"/>
  <c r="R60" i="8"/>
  <c r="J60" i="8" s="1"/>
  <c r="M55" i="8"/>
  <c r="E55" i="8" s="1"/>
  <c r="R50" i="8"/>
  <c r="J50" i="8" s="1"/>
  <c r="Q49" i="8"/>
  <c r="I49" i="8" s="1"/>
  <c r="P48" i="8"/>
  <c r="H48" i="8" s="1"/>
  <c r="O47" i="8"/>
  <c r="G47" i="8" s="1"/>
  <c r="N46" i="8"/>
  <c r="F46" i="8" s="1"/>
  <c r="M45" i="8"/>
  <c r="E45" i="8" s="1"/>
  <c r="R40" i="8"/>
  <c r="J40" i="8" s="1"/>
  <c r="Q39" i="8"/>
  <c r="I39" i="8" s="1"/>
  <c r="P38" i="8"/>
  <c r="H38" i="8" s="1"/>
  <c r="O37" i="8"/>
  <c r="G37" i="8" s="1"/>
  <c r="N36" i="8"/>
  <c r="F36" i="8" s="1"/>
  <c r="M35" i="8"/>
  <c r="E35" i="8" s="1"/>
  <c r="R30" i="8"/>
  <c r="J30" i="8" s="1"/>
  <c r="Q29" i="8"/>
  <c r="I29" i="8" s="1"/>
  <c r="P28" i="8"/>
  <c r="H28" i="8" s="1"/>
  <c r="O27" i="8"/>
  <c r="G27" i="8" s="1"/>
  <c r="N26" i="8"/>
  <c r="F26" i="8" s="1"/>
  <c r="M25" i="8"/>
  <c r="E25" i="8" s="1"/>
  <c r="E20" i="1"/>
  <c r="R10" i="8"/>
  <c r="J10" i="8" s="1"/>
  <c r="Q9" i="8"/>
  <c r="I9" i="8" s="1"/>
  <c r="P8" i="8"/>
  <c r="H8" i="8" s="1"/>
  <c r="O7" i="8"/>
  <c r="G7" i="8" s="1"/>
  <c r="N6" i="8"/>
  <c r="F6" i="8" s="1"/>
  <c r="M5" i="8"/>
  <c r="R20" i="8"/>
  <c r="J20" i="8" s="1"/>
  <c r="Q19" i="8"/>
  <c r="I19" i="8" s="1"/>
  <c r="P18" i="8"/>
  <c r="H18" i="8" s="1"/>
  <c r="O17" i="8"/>
  <c r="G17" i="8" s="1"/>
  <c r="N16" i="8"/>
  <c r="F16" i="8" s="1"/>
  <c r="M15" i="8"/>
  <c r="E15" i="8" s="1"/>
  <c r="E63" i="8" a="1"/>
  <c r="E63" i="8" s="1"/>
  <c r="M63" i="8" s="1"/>
  <c r="E53" i="8" a="1"/>
  <c r="F53" i="8" s="1"/>
  <c r="E43" i="8" a="1"/>
  <c r="E43" i="8" s="1"/>
  <c r="U43" i="8" s="1"/>
  <c r="E33" i="8" a="1"/>
  <c r="H33" i="8" s="1"/>
  <c r="E23" i="8" a="1"/>
  <c r="J23" i="8" s="1"/>
  <c r="E13" i="8" a="1"/>
  <c r="E13" i="8" s="1"/>
  <c r="M13" i="8" s="1"/>
  <c r="B10" i="8"/>
  <c r="B20" i="8" s="1"/>
  <c r="B30" i="8" s="1"/>
  <c r="B40" i="8" s="1"/>
  <c r="B50" i="8" s="1"/>
  <c r="B60" i="8" s="1"/>
  <c r="B70" i="8" s="1"/>
  <c r="B9" i="8"/>
  <c r="B63" i="8"/>
  <c r="B53" i="8"/>
  <c r="B43" i="8"/>
  <c r="B33" i="8"/>
  <c r="B23" i="8"/>
  <c r="B8" i="8"/>
  <c r="B7" i="8"/>
  <c r="B17" i="8" s="1"/>
  <c r="B27" i="8" s="1"/>
  <c r="B37" i="8" s="1"/>
  <c r="B47" i="8" s="1"/>
  <c r="B57" i="8" s="1"/>
  <c r="B67" i="8" s="1"/>
  <c r="B6" i="8"/>
  <c r="B16" i="8" s="1"/>
  <c r="B26" i="8" s="1"/>
  <c r="B5" i="8"/>
  <c r="B15" i="8" s="1"/>
  <c r="B25" i="8" s="1"/>
  <c r="B35" i="8" s="1"/>
  <c r="B3" i="8"/>
  <c r="B18" i="8"/>
  <c r="B28" i="8" s="1"/>
  <c r="B38" i="8" s="1"/>
  <c r="B48" i="8" s="1"/>
  <c r="B58" i="8" s="1"/>
  <c r="B68" i="8" s="1"/>
  <c r="B13" i="8"/>
  <c r="G33" i="8" l="1"/>
  <c r="E3" i="8" a="1"/>
  <c r="E3" i="8" s="1"/>
  <c r="U3" i="8" s="1"/>
  <c r="U13" i="8"/>
  <c r="M43" i="8"/>
  <c r="E4" i="8" a="1"/>
  <c r="F4" i="8" s="1"/>
  <c r="B19" i="8"/>
  <c r="B29" i="8" s="1"/>
  <c r="B39" i="8" s="1"/>
  <c r="B49" i="8" s="1"/>
  <c r="B59" i="8" s="1"/>
  <c r="B69" i="8" s="1"/>
  <c r="U63" i="8"/>
  <c r="P63" i="8" s="1"/>
  <c r="N63" i="8"/>
  <c r="O63" i="8"/>
  <c r="Q63" i="8"/>
  <c r="I23" i="8"/>
  <c r="H23" i="8"/>
  <c r="F23" i="8"/>
  <c r="G23" i="8"/>
  <c r="E23" i="8"/>
  <c r="J63" i="8"/>
  <c r="I63" i="8"/>
  <c r="H63" i="8"/>
  <c r="G63" i="8"/>
  <c r="F63" i="8"/>
  <c r="E53" i="8"/>
  <c r="J53" i="8"/>
  <c r="I53" i="8"/>
  <c r="H53" i="8"/>
  <c r="G53" i="8"/>
  <c r="J43" i="8"/>
  <c r="R43" i="8" s="1"/>
  <c r="I43" i="8"/>
  <c r="Q43" i="8" s="1"/>
  <c r="H43" i="8"/>
  <c r="P43" i="8" s="1"/>
  <c r="G43" i="8"/>
  <c r="O43" i="8" s="1"/>
  <c r="F43" i="8"/>
  <c r="N43" i="8" s="1"/>
  <c r="F33" i="8"/>
  <c r="E33" i="8"/>
  <c r="J33" i="8"/>
  <c r="I33" i="8"/>
  <c r="J13" i="8"/>
  <c r="I13" i="8"/>
  <c r="H13" i="8"/>
  <c r="P13" i="8" s="1"/>
  <c r="G13" i="8"/>
  <c r="O13" i="8" s="1"/>
  <c r="F13" i="8"/>
  <c r="N13" i="8" s="1"/>
  <c r="N15" i="8" s="1"/>
  <c r="F15" i="8" s="1"/>
  <c r="I3" i="8"/>
  <c r="H3" i="8"/>
  <c r="G3" i="8"/>
  <c r="F3" i="8"/>
  <c r="B45" i="8"/>
  <c r="B36" i="8"/>
  <c r="B46" i="8" s="1"/>
  <c r="B56" i="8" s="1"/>
  <c r="B66" i="8" s="1"/>
  <c r="E5" i="8"/>
  <c r="E100" i="1"/>
  <c r="E99" i="1"/>
  <c r="E98" i="1"/>
  <c r="E97" i="1"/>
  <c r="E96" i="1"/>
  <c r="E95" i="1"/>
  <c r="CS13" i="3"/>
  <c r="CS12" i="3"/>
  <c r="BR4" i="3" a="1"/>
  <c r="BR4" i="3" s="1"/>
  <c r="BR5" i="3" a="1"/>
  <c r="BR5" i="3" s="1"/>
  <c r="G39" i="6"/>
  <c r="H39" i="6" s="1"/>
  <c r="I40" i="6"/>
  <c r="BR3" i="3" a="1"/>
  <c r="BR3" i="3" s="1"/>
  <c r="C4" i="6"/>
  <c r="BR6" i="3" l="1"/>
  <c r="BR7" i="3"/>
  <c r="M3" i="8"/>
  <c r="N3" i="8"/>
  <c r="R63" i="8"/>
  <c r="S63" i="8" s="1"/>
  <c r="O3" i="8"/>
  <c r="P3" i="8"/>
  <c r="E24" i="8" a="1"/>
  <c r="J24" i="8" s="1"/>
  <c r="R24" i="8" s="1"/>
  <c r="Q3" i="8"/>
  <c r="E14" i="8" a="1"/>
  <c r="J14" i="8" s="1"/>
  <c r="R14" i="8" s="1"/>
  <c r="J3" i="8"/>
  <c r="K3" i="8" s="1"/>
  <c r="M18" i="8"/>
  <c r="E18" i="8" s="1"/>
  <c r="S43" i="8"/>
  <c r="E24" i="8"/>
  <c r="M24" i="8" s="1"/>
  <c r="P16" i="8"/>
  <c r="H16" i="8" s="1"/>
  <c r="E4" i="8"/>
  <c r="M4" i="8" s="1"/>
  <c r="I4" i="8"/>
  <c r="Q4" i="8" s="1"/>
  <c r="G4" i="8"/>
  <c r="O4" i="8" s="1"/>
  <c r="J4" i="8"/>
  <c r="R4" i="8" s="1"/>
  <c r="R13" i="8"/>
  <c r="R15" i="8" s="1"/>
  <c r="J15" i="8" s="1"/>
  <c r="Q13" i="8"/>
  <c r="Q15" i="8" s="1"/>
  <c r="I15" i="8" s="1"/>
  <c r="U23" i="8"/>
  <c r="R23" i="8" s="1"/>
  <c r="M23" i="8"/>
  <c r="U53" i="8"/>
  <c r="M53" i="8"/>
  <c r="H4" i="8"/>
  <c r="P4" i="8" s="1"/>
  <c r="R3" i="8"/>
  <c r="S3" i="8" s="1"/>
  <c r="F24" i="8"/>
  <c r="N24" i="8" s="1"/>
  <c r="U33" i="8"/>
  <c r="M33" i="8"/>
  <c r="N17" i="8"/>
  <c r="F17" i="8" s="1"/>
  <c r="M68" i="8"/>
  <c r="E68" i="8" s="1"/>
  <c r="P67" i="8"/>
  <c r="H67" i="8" s="1"/>
  <c r="P69" i="8"/>
  <c r="H69" i="8" s="1"/>
  <c r="P65" i="8"/>
  <c r="H65" i="8" s="1"/>
  <c r="Q68" i="8"/>
  <c r="I68" i="8" s="1"/>
  <c r="Q67" i="8"/>
  <c r="I67" i="8" s="1"/>
  <c r="Q70" i="8"/>
  <c r="I70" i="8" s="1"/>
  <c r="Q65" i="8"/>
  <c r="I65" i="8" s="1"/>
  <c r="M69" i="8"/>
  <c r="E69" i="8" s="1"/>
  <c r="R69" i="8"/>
  <c r="J69" i="8" s="1"/>
  <c r="N19" i="8"/>
  <c r="F19" i="8" s="1"/>
  <c r="K43" i="8"/>
  <c r="N18" i="8"/>
  <c r="F18" i="8" s="1"/>
  <c r="K13" i="8"/>
  <c r="M47" i="8"/>
  <c r="O49" i="8"/>
  <c r="G49" i="8" s="1"/>
  <c r="O46" i="8"/>
  <c r="G46" i="8" s="1"/>
  <c r="O48" i="8"/>
  <c r="G48" i="8" s="1"/>
  <c r="O45" i="8"/>
  <c r="G45" i="8" s="1"/>
  <c r="O50" i="8"/>
  <c r="G50" i="8" s="1"/>
  <c r="O16" i="8"/>
  <c r="G16" i="8" s="1"/>
  <c r="P49" i="8"/>
  <c r="H49" i="8" s="1"/>
  <c r="P46" i="8"/>
  <c r="H46" i="8" s="1"/>
  <c r="P45" i="8"/>
  <c r="H45" i="8" s="1"/>
  <c r="M48" i="8"/>
  <c r="P50" i="8"/>
  <c r="H50" i="8" s="1"/>
  <c r="P47" i="8"/>
  <c r="H47" i="8" s="1"/>
  <c r="M16" i="8"/>
  <c r="E16" i="8" s="1"/>
  <c r="P70" i="8"/>
  <c r="H70" i="8" s="1"/>
  <c r="R65" i="8"/>
  <c r="J65" i="8" s="1"/>
  <c r="M70" i="8"/>
  <c r="E70" i="8" s="1"/>
  <c r="Q46" i="8"/>
  <c r="I46" i="8" s="1"/>
  <c r="M49" i="8"/>
  <c r="Q48" i="8"/>
  <c r="I48" i="8" s="1"/>
  <c r="Q45" i="8"/>
  <c r="I45" i="8" s="1"/>
  <c r="Q47" i="8"/>
  <c r="I47" i="8" s="1"/>
  <c r="Q50" i="8"/>
  <c r="I50" i="8" s="1"/>
  <c r="R16" i="8"/>
  <c r="J16" i="8" s="1"/>
  <c r="R46" i="8"/>
  <c r="J46" i="8" s="1"/>
  <c r="R48" i="8"/>
  <c r="J48" i="8" s="1"/>
  <c r="R49" i="8"/>
  <c r="J49" i="8" s="1"/>
  <c r="R45" i="8"/>
  <c r="J45" i="8" s="1"/>
  <c r="M50" i="8"/>
  <c r="R47" i="8"/>
  <c r="J47" i="8" s="1"/>
  <c r="R68" i="8"/>
  <c r="J68" i="8" s="1"/>
  <c r="E34" i="8" a="1"/>
  <c r="K33" i="8"/>
  <c r="B55" i="8"/>
  <c r="E54" i="8" s="1" a="1"/>
  <c r="E44" i="8" a="1"/>
  <c r="O20" i="8"/>
  <c r="G20" i="8" s="1"/>
  <c r="O15" i="8"/>
  <c r="G15" i="8" s="1"/>
  <c r="O19" i="8"/>
  <c r="G19" i="8" s="1"/>
  <c r="O18" i="8"/>
  <c r="G18" i="8" s="1"/>
  <c r="P20" i="8"/>
  <c r="H20" i="8" s="1"/>
  <c r="P17" i="8"/>
  <c r="H17" i="8" s="1"/>
  <c r="P15" i="8"/>
  <c r="H15" i="8" s="1"/>
  <c r="K53" i="8"/>
  <c r="K63" i="8"/>
  <c r="P66" i="8"/>
  <c r="H66" i="8" s="1"/>
  <c r="M17" i="8"/>
  <c r="E17" i="8" s="1"/>
  <c r="R17" i="8"/>
  <c r="J17" i="8" s="1"/>
  <c r="R18" i="8"/>
  <c r="J18" i="8" s="1"/>
  <c r="O70" i="8"/>
  <c r="G70" i="8" s="1"/>
  <c r="O68" i="8"/>
  <c r="G68" i="8" s="1"/>
  <c r="M67" i="8"/>
  <c r="E67" i="8" s="1"/>
  <c r="O69" i="8"/>
  <c r="G69" i="8" s="1"/>
  <c r="O65" i="8"/>
  <c r="G65" i="8" s="1"/>
  <c r="R67" i="8"/>
  <c r="J67" i="8" s="1"/>
  <c r="K23" i="8"/>
  <c r="M20" i="8"/>
  <c r="E20" i="8" s="1"/>
  <c r="N4" i="8"/>
  <c r="BT4" i="3"/>
  <c r="BW4" i="3"/>
  <c r="BS4" i="3"/>
  <c r="BU4" i="3"/>
  <c r="BV4" i="3"/>
  <c r="BU5" i="3"/>
  <c r="BU7" i="3" s="1"/>
  <c r="BT5" i="3"/>
  <c r="BW5" i="3"/>
  <c r="BW7" i="3" s="1"/>
  <c r="BS5" i="3"/>
  <c r="BS7" i="3" s="1"/>
  <c r="BV5" i="3"/>
  <c r="BV7" i="3" s="1"/>
  <c r="I39" i="6"/>
  <c r="BT3" i="3"/>
  <c r="BU3" i="3"/>
  <c r="BW3" i="3"/>
  <c r="BW6" i="3" s="1"/>
  <c r="BS3" i="3"/>
  <c r="BS6" i="3" s="1"/>
  <c r="BV3" i="3"/>
  <c r="D11" i="1"/>
  <c r="BV6" i="3" l="1"/>
  <c r="BU6" i="3"/>
  <c r="BT6" i="3"/>
  <c r="BT7" i="3"/>
  <c r="G14" i="8"/>
  <c r="O14" i="8" s="1"/>
  <c r="B65" i="8"/>
  <c r="E64" i="8" s="1" a="1"/>
  <c r="I14" i="8"/>
  <c r="Q14" i="8" s="1"/>
  <c r="Q23" i="8"/>
  <c r="I24" i="8"/>
  <c r="Q24" i="8" s="1"/>
  <c r="G24" i="8"/>
  <c r="O24" i="8" s="1"/>
  <c r="N20" i="8"/>
  <c r="F20" i="8" s="1"/>
  <c r="M19" i="8"/>
  <c r="E19" i="8" s="1"/>
  <c r="S13" i="8"/>
  <c r="Q20" i="8"/>
  <c r="I20" i="8" s="1"/>
  <c r="E14" i="8"/>
  <c r="M14" i="8" s="1"/>
  <c r="Q18" i="8"/>
  <c r="I18" i="8" s="1"/>
  <c r="K18" i="8" s="1"/>
  <c r="H14" i="8"/>
  <c r="P14" i="8" s="1"/>
  <c r="Q16" i="8"/>
  <c r="I16" i="8" s="1"/>
  <c r="K16" i="8" s="1"/>
  <c r="H24" i="8"/>
  <c r="P24" i="8" s="1"/>
  <c r="F14" i="8"/>
  <c r="N14" i="8" s="1"/>
  <c r="Q53" i="8"/>
  <c r="N53" i="8"/>
  <c r="N58" i="8" s="1"/>
  <c r="F58" i="8" s="1"/>
  <c r="O23" i="8"/>
  <c r="P53" i="8"/>
  <c r="P23" i="8"/>
  <c r="P30" i="8" s="1"/>
  <c r="H30" i="8" s="1"/>
  <c r="N23" i="8"/>
  <c r="R53" i="8"/>
  <c r="R33" i="8"/>
  <c r="Q33" i="8"/>
  <c r="M39" i="8" s="1"/>
  <c r="N33" i="8"/>
  <c r="P33" i="8"/>
  <c r="Q38" i="8" s="1"/>
  <c r="I38" i="8" s="1"/>
  <c r="O33" i="8"/>
  <c r="O38" i="8" s="1"/>
  <c r="G38" i="8" s="1"/>
  <c r="R19" i="8"/>
  <c r="J19" i="8" s="1"/>
  <c r="P19" i="8"/>
  <c r="H19" i="8" s="1"/>
  <c r="Q17" i="8"/>
  <c r="I17" i="8" s="1"/>
  <c r="K17" i="8" s="1"/>
  <c r="O53" i="8"/>
  <c r="S15" i="8"/>
  <c r="K15" i="8"/>
  <c r="M28" i="8"/>
  <c r="E28" i="8" s="1"/>
  <c r="E49" i="8"/>
  <c r="E47" i="8"/>
  <c r="N65" i="8"/>
  <c r="N68" i="8"/>
  <c r="M66" i="8"/>
  <c r="N70" i="8"/>
  <c r="N67" i="8"/>
  <c r="N69" i="8"/>
  <c r="E50" i="8"/>
  <c r="Q66" i="8"/>
  <c r="I66" i="8" s="1"/>
  <c r="R66" i="8"/>
  <c r="J66" i="8" s="1"/>
  <c r="J44" i="8"/>
  <c r="R44" i="8" s="1"/>
  <c r="F44" i="8"/>
  <c r="N44" i="8" s="1"/>
  <c r="G44" i="8"/>
  <c r="O44" i="8" s="1"/>
  <c r="H44" i="8"/>
  <c r="P44" i="8" s="1"/>
  <c r="I44" i="8"/>
  <c r="Q44" i="8" s="1"/>
  <c r="E44" i="8"/>
  <c r="M44" i="8" s="1"/>
  <c r="E48" i="8"/>
  <c r="N49" i="8"/>
  <c r="F49" i="8" s="1"/>
  <c r="M46" i="8"/>
  <c r="N50" i="8"/>
  <c r="F50" i="8" s="1"/>
  <c r="N48" i="8"/>
  <c r="F48" i="8" s="1"/>
  <c r="N45" i="8"/>
  <c r="N47" i="8"/>
  <c r="F47" i="8" s="1"/>
  <c r="J54" i="8"/>
  <c r="R54" i="8" s="1"/>
  <c r="I54" i="8"/>
  <c r="Q54" i="8" s="1"/>
  <c r="E54" i="8"/>
  <c r="M54" i="8" s="1"/>
  <c r="F54" i="8"/>
  <c r="N54" i="8" s="1"/>
  <c r="H54" i="8"/>
  <c r="P54" i="8" s="1"/>
  <c r="G54" i="8"/>
  <c r="O54" i="8" s="1"/>
  <c r="M30" i="8"/>
  <c r="E30" i="8" s="1"/>
  <c r="M40" i="8"/>
  <c r="O66" i="8"/>
  <c r="G66" i="8" s="1"/>
  <c r="J64" i="8"/>
  <c r="R64" i="8" s="1"/>
  <c r="F64" i="8"/>
  <c r="N64" i="8" s="1"/>
  <c r="G64" i="8"/>
  <c r="O64" i="8" s="1"/>
  <c r="H64" i="8"/>
  <c r="P64" i="8" s="1"/>
  <c r="E64" i="8"/>
  <c r="M64" i="8" s="1"/>
  <c r="I64" i="8"/>
  <c r="Q64" i="8" s="1"/>
  <c r="J34" i="8"/>
  <c r="R34" i="8" s="1"/>
  <c r="G34" i="8"/>
  <c r="O34" i="8" s="1"/>
  <c r="I34" i="8"/>
  <c r="Q34" i="8" s="1"/>
  <c r="F34" i="8"/>
  <c r="N34" i="8" s="1"/>
  <c r="E34" i="8"/>
  <c r="M34" i="8" s="1"/>
  <c r="H34" i="8"/>
  <c r="P34" i="8" s="1"/>
  <c r="R8" i="8"/>
  <c r="J8" i="8" s="1"/>
  <c r="E8" i="7"/>
  <c r="D89" i="1" s="1"/>
  <c r="E27" i="7"/>
  <c r="D55" i="1" s="1"/>
  <c r="E28" i="7"/>
  <c r="E29" i="7"/>
  <c r="E30" i="7"/>
  <c r="E31" i="7"/>
  <c r="D59" i="1" s="1"/>
  <c r="E32" i="7"/>
  <c r="E4" i="7"/>
  <c r="D85" i="1" s="1"/>
  <c r="E5" i="7"/>
  <c r="E6" i="7"/>
  <c r="E7" i="7"/>
  <c r="E9" i="7"/>
  <c r="E47" i="7"/>
  <c r="E43" i="7"/>
  <c r="E37" i="7"/>
  <c r="K20" i="8" l="1"/>
  <c r="O40" i="8"/>
  <c r="G40" i="8" s="1"/>
  <c r="K19" i="8"/>
  <c r="S20" i="8"/>
  <c r="N57" i="8"/>
  <c r="F57" i="8" s="1"/>
  <c r="Q35" i="8"/>
  <c r="I35" i="8" s="1"/>
  <c r="P39" i="8"/>
  <c r="H39" i="8" s="1"/>
  <c r="Q40" i="8"/>
  <c r="I40" i="8" s="1"/>
  <c r="M56" i="8"/>
  <c r="E56" i="8" s="1"/>
  <c r="S23" i="8"/>
  <c r="P56" i="8"/>
  <c r="H56" i="8" s="1"/>
  <c r="S18" i="8"/>
  <c r="S16" i="8"/>
  <c r="N59" i="8"/>
  <c r="F59" i="8" s="1"/>
  <c r="N55" i="8"/>
  <c r="F55" i="8" s="1"/>
  <c r="Q37" i="8"/>
  <c r="I37" i="8" s="1"/>
  <c r="P27" i="8"/>
  <c r="H27" i="8" s="1"/>
  <c r="P25" i="8"/>
  <c r="H25" i="8" s="1"/>
  <c r="P35" i="8"/>
  <c r="H35" i="8" s="1"/>
  <c r="M38" i="8"/>
  <c r="E38" i="8" s="1"/>
  <c r="P37" i="8"/>
  <c r="H37" i="8" s="1"/>
  <c r="S33" i="8"/>
  <c r="O35" i="8"/>
  <c r="G35" i="8" s="1"/>
  <c r="S17" i="8"/>
  <c r="R57" i="8"/>
  <c r="J57" i="8" s="1"/>
  <c r="M60" i="8"/>
  <c r="E60" i="8" s="1"/>
  <c r="R59" i="8"/>
  <c r="J59" i="8" s="1"/>
  <c r="R56" i="8"/>
  <c r="J56" i="8" s="1"/>
  <c r="R55" i="8"/>
  <c r="J55" i="8" s="1"/>
  <c r="R58" i="8"/>
  <c r="J58" i="8" s="1"/>
  <c r="N60" i="8"/>
  <c r="F60" i="8" s="1"/>
  <c r="P60" i="8"/>
  <c r="H60" i="8" s="1"/>
  <c r="P55" i="8"/>
  <c r="H55" i="8" s="1"/>
  <c r="P59" i="8"/>
  <c r="H59" i="8" s="1"/>
  <c r="P57" i="8"/>
  <c r="H57" i="8" s="1"/>
  <c r="O39" i="8"/>
  <c r="G39" i="8" s="1"/>
  <c r="M26" i="8"/>
  <c r="E26" i="8" s="1"/>
  <c r="S19" i="8"/>
  <c r="S53" i="8"/>
  <c r="M37" i="8"/>
  <c r="E37" i="8" s="1"/>
  <c r="Q57" i="8"/>
  <c r="I57" i="8" s="1"/>
  <c r="Q56" i="8"/>
  <c r="I56" i="8" s="1"/>
  <c r="Q60" i="8"/>
  <c r="I60" i="8" s="1"/>
  <c r="Q55" i="8"/>
  <c r="I55" i="8" s="1"/>
  <c r="Q58" i="8"/>
  <c r="I58" i="8" s="1"/>
  <c r="M59" i="8"/>
  <c r="E59" i="8" s="1"/>
  <c r="Q36" i="8"/>
  <c r="I36" i="8" s="1"/>
  <c r="O60" i="8"/>
  <c r="G60" i="8" s="1"/>
  <c r="O55" i="8"/>
  <c r="G55" i="8" s="1"/>
  <c r="O58" i="8"/>
  <c r="G58" i="8" s="1"/>
  <c r="O59" i="8"/>
  <c r="G59" i="8" s="1"/>
  <c r="O56" i="8"/>
  <c r="G56" i="8" s="1"/>
  <c r="M57" i="8"/>
  <c r="E57" i="8" s="1"/>
  <c r="M58" i="8"/>
  <c r="E58" i="8" s="1"/>
  <c r="S49" i="8"/>
  <c r="K49" i="8"/>
  <c r="E40" i="8"/>
  <c r="F70" i="8"/>
  <c r="K70" i="8" s="1"/>
  <c r="S70" i="8"/>
  <c r="E66" i="8"/>
  <c r="K66" i="8" s="1"/>
  <c r="S66" i="8"/>
  <c r="F67" i="8"/>
  <c r="K67" i="8" s="1"/>
  <c r="S67" i="8"/>
  <c r="F68" i="8"/>
  <c r="K68" i="8" s="1"/>
  <c r="S68" i="8"/>
  <c r="F65" i="8"/>
  <c r="K65" i="8" s="1"/>
  <c r="S65" i="8"/>
  <c r="N29" i="8"/>
  <c r="F29" i="8" s="1"/>
  <c r="N25" i="8"/>
  <c r="N30" i="8"/>
  <c r="N27" i="8"/>
  <c r="F27" i="8" s="1"/>
  <c r="N28" i="8"/>
  <c r="Q27" i="8"/>
  <c r="I27" i="8" s="1"/>
  <c r="Q26" i="8"/>
  <c r="I26" i="8" s="1"/>
  <c r="Q25" i="8"/>
  <c r="I25" i="8" s="1"/>
  <c r="Q28" i="8"/>
  <c r="I28" i="8" s="1"/>
  <c r="Q30" i="8"/>
  <c r="I30" i="8" s="1"/>
  <c r="M29" i="8"/>
  <c r="O36" i="8"/>
  <c r="G36" i="8" s="1"/>
  <c r="N38" i="8"/>
  <c r="N35" i="8"/>
  <c r="N37" i="8"/>
  <c r="N39" i="8"/>
  <c r="F39" i="8" s="1"/>
  <c r="N40" i="8"/>
  <c r="F40" i="8" s="1"/>
  <c r="M36" i="8"/>
  <c r="E39" i="8"/>
  <c r="F45" i="8"/>
  <c r="K45" i="8" s="1"/>
  <c r="S45" i="8"/>
  <c r="R35" i="8"/>
  <c r="J35" i="8" s="1"/>
  <c r="R36" i="8"/>
  <c r="J36" i="8" s="1"/>
  <c r="R39" i="8"/>
  <c r="J39" i="8" s="1"/>
  <c r="R37" i="8"/>
  <c r="J37" i="8" s="1"/>
  <c r="R38" i="8"/>
  <c r="J38" i="8" s="1"/>
  <c r="P40" i="8"/>
  <c r="H40" i="8" s="1"/>
  <c r="E46" i="8"/>
  <c r="K46" i="8" s="1"/>
  <c r="S46" i="8"/>
  <c r="S48" i="8"/>
  <c r="S50" i="8"/>
  <c r="P29" i="8"/>
  <c r="H29" i="8" s="1"/>
  <c r="O25" i="8"/>
  <c r="G25" i="8" s="1"/>
  <c r="O28" i="8"/>
  <c r="G28" i="8" s="1"/>
  <c r="O29" i="8"/>
  <c r="G29" i="8" s="1"/>
  <c r="O26" i="8"/>
  <c r="G26" i="8" s="1"/>
  <c r="M27" i="8"/>
  <c r="O30" i="8"/>
  <c r="G30" i="8" s="1"/>
  <c r="P36" i="8"/>
  <c r="H36" i="8" s="1"/>
  <c r="R25" i="8"/>
  <c r="J25" i="8" s="1"/>
  <c r="R26" i="8"/>
  <c r="J26" i="8" s="1"/>
  <c r="R28" i="8"/>
  <c r="J28" i="8" s="1"/>
  <c r="R29" i="8"/>
  <c r="J29" i="8" s="1"/>
  <c r="R27" i="8"/>
  <c r="J27" i="8" s="1"/>
  <c r="K48" i="8"/>
  <c r="K50" i="8"/>
  <c r="S47" i="8"/>
  <c r="F69" i="8"/>
  <c r="K69" i="8" s="1"/>
  <c r="S69" i="8"/>
  <c r="K47" i="8"/>
  <c r="P26" i="8"/>
  <c r="H26" i="8" s="1"/>
  <c r="M6" i="8"/>
  <c r="E6" i="8" s="1"/>
  <c r="M8" i="8"/>
  <c r="E8" i="8" s="1"/>
  <c r="M10" i="8"/>
  <c r="E10" i="8" s="1"/>
  <c r="M7" i="8"/>
  <c r="E7" i="8" s="1"/>
  <c r="M9" i="8"/>
  <c r="N8" i="8"/>
  <c r="F8" i="8" s="1"/>
  <c r="N5" i="8"/>
  <c r="F5" i="8" s="1"/>
  <c r="N10" i="8"/>
  <c r="F10" i="8" s="1"/>
  <c r="N7" i="8"/>
  <c r="F7" i="8" s="1"/>
  <c r="N9" i="8"/>
  <c r="F9" i="8" s="1"/>
  <c r="R6" i="8"/>
  <c r="J6" i="8" s="1"/>
  <c r="Q10" i="8"/>
  <c r="I10" i="8" s="1"/>
  <c r="Q7" i="8"/>
  <c r="I7" i="8" s="1"/>
  <c r="Q6" i="8"/>
  <c r="I6" i="8" s="1"/>
  <c r="Q8" i="8"/>
  <c r="I8" i="8" s="1"/>
  <c r="Q5" i="8"/>
  <c r="I5" i="8" s="1"/>
  <c r="O8" i="8"/>
  <c r="G8" i="8" s="1"/>
  <c r="O5" i="8"/>
  <c r="G5" i="8" s="1"/>
  <c r="O10" i="8"/>
  <c r="G10" i="8" s="1"/>
  <c r="O9" i="8"/>
  <c r="G9" i="8" s="1"/>
  <c r="O6" i="8"/>
  <c r="G6" i="8" s="1"/>
  <c r="R9" i="8"/>
  <c r="J9" i="8" s="1"/>
  <c r="P5" i="8"/>
  <c r="H5" i="8" s="1"/>
  <c r="P10" i="8"/>
  <c r="H10" i="8" s="1"/>
  <c r="P7" i="8"/>
  <c r="H7" i="8" s="1"/>
  <c r="P9" i="8"/>
  <c r="H9" i="8" s="1"/>
  <c r="P6" i="8"/>
  <c r="H6" i="8" s="1"/>
  <c r="R5" i="8"/>
  <c r="J5" i="8" s="1"/>
  <c r="R7" i="8"/>
  <c r="J7" i="8" s="1"/>
  <c r="F32" i="7"/>
  <c r="D50" i="1" s="1"/>
  <c r="D60" i="1"/>
  <c r="F9" i="7"/>
  <c r="D80" i="1" s="1"/>
  <c r="D100" i="1" s="1"/>
  <c r="D90" i="1"/>
  <c r="F30" i="7"/>
  <c r="D48" i="1" s="1"/>
  <c r="D58" i="1"/>
  <c r="F31" i="7"/>
  <c r="D49" i="1" s="1"/>
  <c r="D69" i="1" s="1"/>
  <c r="F37" i="7"/>
  <c r="E49" i="1" s="1"/>
  <c r="E59" i="1"/>
  <c r="F7" i="7"/>
  <c r="D78" i="1" s="1"/>
  <c r="D88" i="1"/>
  <c r="F4" i="7"/>
  <c r="D75" i="1" s="1"/>
  <c r="D95" i="1" s="1"/>
  <c r="F29" i="7"/>
  <c r="D47" i="1" s="1"/>
  <c r="D57" i="1"/>
  <c r="F27" i="7"/>
  <c r="D45" i="1" s="1"/>
  <c r="D65" i="1" s="1"/>
  <c r="F6" i="7"/>
  <c r="D77" i="1" s="1"/>
  <c r="D87" i="1"/>
  <c r="F28" i="7"/>
  <c r="D46" i="1" s="1"/>
  <c r="D56" i="1"/>
  <c r="F43" i="7"/>
  <c r="F49" i="1" s="1"/>
  <c r="F59" i="1"/>
  <c r="F47" i="7"/>
  <c r="G47" i="1" s="1"/>
  <c r="G57" i="1"/>
  <c r="F5" i="7"/>
  <c r="D76" i="1" s="1"/>
  <c r="D86" i="1"/>
  <c r="F8" i="7"/>
  <c r="D79" i="1" s="1"/>
  <c r="D99" i="1" s="1"/>
  <c r="C55" i="6"/>
  <c r="C54" i="6"/>
  <c r="C53" i="6"/>
  <c r="C51" i="6"/>
  <c r="C52" i="6"/>
  <c r="C50" i="6"/>
  <c r="C33" i="6"/>
  <c r="C32" i="6"/>
  <c r="C31" i="6"/>
  <c r="C30" i="6"/>
  <c r="C29" i="6"/>
  <c r="C28" i="6"/>
  <c r="C62" i="6"/>
  <c r="C63" i="6"/>
  <c r="C64" i="6"/>
  <c r="C65" i="6"/>
  <c r="C66" i="6"/>
  <c r="C61" i="6"/>
  <c r="K57" i="8" l="1"/>
  <c r="S57" i="8"/>
  <c r="D66" i="1"/>
  <c r="K56" i="8"/>
  <c r="K58" i="8"/>
  <c r="S56" i="8"/>
  <c r="D68" i="1"/>
  <c r="K60" i="8"/>
  <c r="D70" i="1"/>
  <c r="K59" i="8"/>
  <c r="D97" i="1"/>
  <c r="D67" i="1"/>
  <c r="E69" i="1"/>
  <c r="S58" i="8"/>
  <c r="S59" i="8"/>
  <c r="G67" i="1"/>
  <c r="K55" i="8"/>
  <c r="D96" i="1"/>
  <c r="D98" i="1"/>
  <c r="F69" i="1"/>
  <c r="S60" i="8"/>
  <c r="S55" i="8"/>
  <c r="K40" i="8"/>
  <c r="E27" i="8"/>
  <c r="K27" i="8" s="1"/>
  <c r="S27" i="8"/>
  <c r="K39" i="8"/>
  <c r="E29" i="8"/>
  <c r="K29" i="8" s="1"/>
  <c r="S29" i="8"/>
  <c r="F28" i="8"/>
  <c r="K28" i="8" s="1"/>
  <c r="S28" i="8"/>
  <c r="S26" i="8"/>
  <c r="S30" i="8"/>
  <c r="F30" i="8"/>
  <c r="K30" i="8" s="1"/>
  <c r="K26" i="8"/>
  <c r="E36" i="8"/>
  <c r="K36" i="8" s="1"/>
  <c r="S36" i="8"/>
  <c r="F37" i="8"/>
  <c r="K37" i="8" s="1"/>
  <c r="S37" i="8"/>
  <c r="F35" i="8"/>
  <c r="K35" i="8" s="1"/>
  <c r="S35" i="8"/>
  <c r="F25" i="8"/>
  <c r="K25" i="8" s="1"/>
  <c r="S25" i="8"/>
  <c r="S39" i="8"/>
  <c r="F38" i="8"/>
  <c r="K38" i="8" s="1"/>
  <c r="S38" i="8"/>
  <c r="S40" i="8"/>
  <c r="E9" i="8"/>
  <c r="K9" i="8" s="1"/>
  <c r="S9" i="8"/>
  <c r="K10" i="8"/>
  <c r="K8" i="8"/>
  <c r="K7" i="8"/>
  <c r="K6" i="8"/>
  <c r="K5" i="8"/>
  <c r="S10" i="8"/>
  <c r="S7" i="8"/>
  <c r="S6" i="8"/>
  <c r="S8" i="8"/>
  <c r="S5" i="8"/>
  <c r="C9" i="6"/>
  <c r="C8" i="6"/>
  <c r="C7" i="6"/>
  <c r="C6" i="6"/>
  <c r="C5" i="6"/>
  <c r="C21" i="6"/>
  <c r="C20" i="6"/>
  <c r="C19" i="6"/>
  <c r="C18" i="6"/>
  <c r="C17" i="6"/>
  <c r="C16" i="6"/>
  <c r="C44" i="6"/>
  <c r="C43" i="6"/>
  <c r="C42" i="6"/>
  <c r="C41" i="6"/>
  <c r="C40" i="6"/>
  <c r="C39" i="6"/>
  <c r="G12" i="1"/>
  <c r="E45" i="6" l="1"/>
  <c r="F45" i="6"/>
  <c r="G44" i="6"/>
  <c r="I39" i="1"/>
  <c r="G39" i="1"/>
  <c r="F47" i="6" l="1"/>
  <c r="H44" i="6"/>
  <c r="I44" i="6"/>
  <c r="CZ8" i="3"/>
  <c r="CY8" i="3"/>
  <c r="CX8" i="3"/>
  <c r="CW8" i="3"/>
  <c r="CV8" i="3"/>
  <c r="CU8" i="3"/>
  <c r="CZ7" i="3"/>
  <c r="CY7" i="3"/>
  <c r="CX7" i="3"/>
  <c r="CW7" i="3"/>
  <c r="CV7" i="3"/>
  <c r="CU7" i="3"/>
  <c r="CZ6" i="3"/>
  <c r="CY6" i="3"/>
  <c r="CX6" i="3"/>
  <c r="CW6" i="3"/>
  <c r="CV6" i="3"/>
  <c r="CU6" i="3"/>
  <c r="CZ5" i="3"/>
  <c r="CY5" i="3"/>
  <c r="CX5" i="3"/>
  <c r="CW5" i="3"/>
  <c r="CV5" i="3"/>
  <c r="CU5" i="3"/>
  <c r="CZ4" i="3"/>
  <c r="CY4" i="3"/>
  <c r="CX4" i="3"/>
  <c r="CW4" i="3"/>
  <c r="CV4" i="3"/>
  <c r="CU4" i="3"/>
  <c r="CZ3" i="3"/>
  <c r="CY3" i="3"/>
  <c r="CX3" i="3"/>
  <c r="CW3" i="3"/>
  <c r="CV3" i="3"/>
  <c r="CU3" i="3"/>
  <c r="CW9" i="3" l="1"/>
  <c r="CX9" i="3"/>
  <c r="CY9" i="3"/>
  <c r="CZ9" i="3"/>
  <c r="CV9" i="3"/>
  <c r="CU9" i="3"/>
  <c r="B44" i="6"/>
  <c r="B43" i="6"/>
  <c r="B42" i="6"/>
  <c r="B41" i="6"/>
  <c r="B40" i="6"/>
  <c r="B39" i="6"/>
  <c r="D6" i="1"/>
  <c r="BW8" i="3" l="1"/>
  <c r="BW9" i="3"/>
  <c r="BW10" i="3"/>
  <c r="BW12" i="3" l="1"/>
  <c r="BW11" i="3"/>
  <c r="BR2" i="3" a="1"/>
  <c r="BR2" i="3" s="1"/>
  <c r="BU2" i="3" l="1"/>
  <c r="BT2" i="3"/>
  <c r="BW2" i="3"/>
  <c r="BS2" i="3"/>
  <c r="BV2" i="3"/>
  <c r="H37" i="1"/>
  <c r="H36" i="1"/>
  <c r="H35" i="1"/>
  <c r="H34" i="1"/>
  <c r="H33" i="1"/>
  <c r="H32" i="1"/>
  <c r="H31" i="1"/>
  <c r="H30" i="1"/>
  <c r="Q2" i="3" a="1"/>
  <c r="Q2" i="3" s="1"/>
  <c r="K2" i="3" a="1"/>
  <c r="P2" i="3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V2" i="3" a="1"/>
  <c r="W2" i="3" s="1"/>
  <c r="C80" i="6"/>
  <c r="D93" i="1" a="1"/>
  <c r="I93" i="1" s="1"/>
  <c r="D83" i="1" a="1"/>
  <c r="I83" i="1" s="1"/>
  <c r="D73" i="1" a="1"/>
  <c r="I73" i="1" s="1"/>
  <c r="D63" i="1" a="1"/>
  <c r="I63" i="1" s="1"/>
  <c r="D53" i="1" a="1"/>
  <c r="I53" i="1" s="1"/>
  <c r="D43" i="1" a="1"/>
  <c r="H43" i="1" s="1"/>
  <c r="D75" i="6" l="1"/>
  <c r="D79" i="6"/>
  <c r="D77" i="6"/>
  <c r="D76" i="6"/>
  <c r="D73" i="6"/>
  <c r="D74" i="6"/>
  <c r="D78" i="6"/>
  <c r="K3" i="3" a="1"/>
  <c r="L3" i="3" s="1"/>
  <c r="R2" i="3"/>
  <c r="K2" i="3"/>
  <c r="M2" i="3"/>
  <c r="O2" i="3"/>
  <c r="N2" i="3"/>
  <c r="L2" i="3"/>
  <c r="D93" i="1"/>
  <c r="V2" i="3"/>
  <c r="AA2" i="3"/>
  <c r="Z2" i="3"/>
  <c r="Y2" i="3"/>
  <c r="X2" i="3"/>
  <c r="E93" i="1"/>
  <c r="F93" i="1"/>
  <c r="G93" i="1"/>
  <c r="H93" i="1"/>
  <c r="D83" i="1"/>
  <c r="E83" i="1"/>
  <c r="F83" i="1"/>
  <c r="G83" i="1"/>
  <c r="H83" i="1"/>
  <c r="F73" i="1"/>
  <c r="D73" i="1"/>
  <c r="E73" i="1"/>
  <c r="G73" i="1"/>
  <c r="H73" i="1"/>
  <c r="D63" i="1"/>
  <c r="F63" i="1"/>
  <c r="G63" i="1"/>
  <c r="H63" i="1"/>
  <c r="E63" i="1"/>
  <c r="D53" i="1"/>
  <c r="E53" i="1"/>
  <c r="F53" i="1"/>
  <c r="G53" i="1"/>
  <c r="H53" i="1"/>
  <c r="E43" i="1"/>
  <c r="D43" i="1"/>
  <c r="G43" i="1"/>
  <c r="F43" i="1"/>
  <c r="I43" i="1"/>
  <c r="D80" i="6" l="1"/>
  <c r="P3" i="3"/>
  <c r="M3" i="3"/>
  <c r="K3" i="3"/>
  <c r="O3" i="3"/>
  <c r="N3" i="3"/>
  <c r="L20" i="1" l="1"/>
  <c r="L19" i="1" l="1"/>
  <c r="L24" i="1"/>
  <c r="L21" i="1"/>
  <c r="L23" i="1"/>
  <c r="AF8" i="3" l="1"/>
  <c r="AG8" i="3"/>
  <c r="AH8" i="3"/>
  <c r="AI8" i="3"/>
  <c r="AJ8" i="3"/>
  <c r="AE8" i="3"/>
  <c r="D4" i="2" l="1"/>
  <c r="D10" i="6"/>
  <c r="E10" i="6"/>
  <c r="J9" i="6"/>
  <c r="J8" i="6"/>
  <c r="G7" i="6"/>
  <c r="J6" i="6"/>
  <c r="J5" i="6"/>
  <c r="J4" i="6"/>
  <c r="J7" i="6" l="1"/>
  <c r="C10" i="6"/>
  <c r="G10" i="6" s="1"/>
  <c r="I10" i="6" s="1"/>
  <c r="H7" i="6"/>
  <c r="G6" i="6"/>
  <c r="I6" i="6" s="1"/>
  <c r="I7" i="6"/>
  <c r="G4" i="6"/>
  <c r="I4" i="6" s="1"/>
  <c r="G8" i="6"/>
  <c r="H8" i="6" s="1"/>
  <c r="G9" i="6"/>
  <c r="H9" i="6" s="1"/>
  <c r="G5" i="6"/>
  <c r="I5" i="6" s="1"/>
  <c r="H10" i="6" l="1"/>
  <c r="H4" i="6"/>
  <c r="H6" i="6"/>
  <c r="I9" i="6"/>
  <c r="I8" i="6"/>
  <c r="H5" i="6"/>
  <c r="G50" i="6" l="1"/>
  <c r="E45" i="7" l="1"/>
  <c r="G55" i="1" s="1"/>
  <c r="E46" i="7"/>
  <c r="E48" i="7"/>
  <c r="E49" i="7"/>
  <c r="E50" i="7"/>
  <c r="E52" i="7"/>
  <c r="E51" i="7"/>
  <c r="F45" i="7"/>
  <c r="G45" i="1" s="1"/>
  <c r="E39" i="7"/>
  <c r="E40" i="7"/>
  <c r="E41" i="7"/>
  <c r="E42" i="7"/>
  <c r="E44" i="7"/>
  <c r="E34" i="7"/>
  <c r="E35" i="7"/>
  <c r="E36" i="7"/>
  <c r="E38" i="7"/>
  <c r="E33" i="7"/>
  <c r="G65" i="1" l="1"/>
  <c r="F42" i="7"/>
  <c r="F48" i="1" s="1"/>
  <c r="F58" i="1"/>
  <c r="F49" i="7"/>
  <c r="G49" i="1" s="1"/>
  <c r="G59" i="1"/>
  <c r="F36" i="7"/>
  <c r="E48" i="1" s="1"/>
  <c r="E58" i="1"/>
  <c r="F35" i="7"/>
  <c r="E47" i="1" s="1"/>
  <c r="E57" i="1"/>
  <c r="F41" i="7"/>
  <c r="F47" i="1" s="1"/>
  <c r="F57" i="1"/>
  <c r="F51" i="7"/>
  <c r="H57" i="1"/>
  <c r="H55" i="1"/>
  <c r="H60" i="1"/>
  <c r="H58" i="1"/>
  <c r="H59" i="1"/>
  <c r="H56" i="1"/>
  <c r="F48" i="7"/>
  <c r="G48" i="1" s="1"/>
  <c r="G58" i="1"/>
  <c r="F33" i="7"/>
  <c r="E45" i="1" s="1"/>
  <c r="E55" i="1"/>
  <c r="F34" i="7"/>
  <c r="E46" i="1" s="1"/>
  <c r="E56" i="1"/>
  <c r="F40" i="7"/>
  <c r="F46" i="1" s="1"/>
  <c r="F56" i="1"/>
  <c r="F52" i="7"/>
  <c r="I59" i="1"/>
  <c r="I56" i="1"/>
  <c r="I60" i="1"/>
  <c r="I58" i="1"/>
  <c r="I57" i="1"/>
  <c r="I55" i="1"/>
  <c r="F46" i="7"/>
  <c r="G46" i="1" s="1"/>
  <c r="G56" i="1"/>
  <c r="F38" i="7"/>
  <c r="E50" i="1" s="1"/>
  <c r="E60" i="1"/>
  <c r="F44" i="7"/>
  <c r="F50" i="1" s="1"/>
  <c r="F60" i="1"/>
  <c r="F39" i="7"/>
  <c r="F45" i="1" s="1"/>
  <c r="F55" i="1"/>
  <c r="F50" i="7"/>
  <c r="G50" i="1" s="1"/>
  <c r="G60" i="1"/>
  <c r="BL8" i="3"/>
  <c r="BM8" i="3"/>
  <c r="BN8" i="3"/>
  <c r="BK8" i="3"/>
  <c r="BL9" i="3"/>
  <c r="BM9" i="3"/>
  <c r="BN9" i="3"/>
  <c r="BL10" i="3"/>
  <c r="BM10" i="3"/>
  <c r="BN10" i="3"/>
  <c r="BK10" i="3"/>
  <c r="BK9" i="3"/>
  <c r="BH2" i="3"/>
  <c r="BG8" i="3"/>
  <c r="BG9" i="3"/>
  <c r="BG10" i="3"/>
  <c r="BH10" i="3"/>
  <c r="BF10" i="3"/>
  <c r="BE10" i="3"/>
  <c r="BD10" i="3"/>
  <c r="BC10" i="3"/>
  <c r="BB10" i="3"/>
  <c r="BA10" i="3"/>
  <c r="BH9" i="3"/>
  <c r="BF9" i="3"/>
  <c r="BE9" i="3"/>
  <c r="BD9" i="3"/>
  <c r="BC9" i="3"/>
  <c r="BB9" i="3"/>
  <c r="BA9" i="3"/>
  <c r="BH8" i="3"/>
  <c r="BF8" i="3"/>
  <c r="BE8" i="3"/>
  <c r="BD8" i="3"/>
  <c r="BC8" i="3"/>
  <c r="BB8" i="3"/>
  <c r="BA8" i="3"/>
  <c r="AW10" i="3"/>
  <c r="AW9" i="3"/>
  <c r="AW8" i="3"/>
  <c r="G70" i="1" l="1"/>
  <c r="E66" i="1"/>
  <c r="G69" i="1"/>
  <c r="F67" i="1"/>
  <c r="F65" i="1"/>
  <c r="F70" i="1"/>
  <c r="G68" i="1"/>
  <c r="F66" i="1"/>
  <c r="E67" i="1"/>
  <c r="E68" i="1"/>
  <c r="E65" i="1"/>
  <c r="E70" i="1"/>
  <c r="G66" i="1"/>
  <c r="F68" i="1"/>
  <c r="H47" i="1"/>
  <c r="H67" i="1" s="1"/>
  <c r="H45" i="1"/>
  <c r="H65" i="1" s="1"/>
  <c r="H46" i="1"/>
  <c r="H66" i="1" s="1"/>
  <c r="H48" i="1"/>
  <c r="H68" i="1" s="1"/>
  <c r="H50" i="1"/>
  <c r="H70" i="1" s="1"/>
  <c r="H49" i="1"/>
  <c r="H69" i="1" s="1"/>
  <c r="I49" i="1"/>
  <c r="I69" i="1" s="1"/>
  <c r="I46" i="1"/>
  <c r="I66" i="1" s="1"/>
  <c r="I50" i="1"/>
  <c r="I70" i="1" s="1"/>
  <c r="I48" i="1"/>
  <c r="I68" i="1" s="1"/>
  <c r="I47" i="1"/>
  <c r="I67" i="1" s="1"/>
  <c r="I45" i="1"/>
  <c r="I65" i="1" s="1"/>
  <c r="BL12" i="3"/>
  <c r="BM12" i="3"/>
  <c r="BN12" i="3"/>
  <c r="BN11" i="3"/>
  <c r="BM11" i="3"/>
  <c r="BL11" i="3"/>
  <c r="BK12" i="3"/>
  <c r="BK11" i="3"/>
  <c r="BB11" i="3"/>
  <c r="BG11" i="3"/>
  <c r="BF11" i="3"/>
  <c r="BE11" i="3"/>
  <c r="BG12" i="3"/>
  <c r="BD11" i="3"/>
  <c r="AW11" i="3"/>
  <c r="BA11" i="3"/>
  <c r="BC11" i="3"/>
  <c r="BA12" i="3"/>
  <c r="BD12" i="3"/>
  <c r="BH11" i="3"/>
  <c r="BB12" i="3"/>
  <c r="BC12" i="3"/>
  <c r="BE12" i="3"/>
  <c r="BF12" i="3"/>
  <c r="BH12" i="3"/>
  <c r="AW12" i="3"/>
  <c r="AA8" i="3"/>
  <c r="AA9" i="3"/>
  <c r="AA10" i="3"/>
  <c r="Z8" i="3"/>
  <c r="Z9" i="3"/>
  <c r="Z10" i="3"/>
  <c r="Y10" i="3"/>
  <c r="X10" i="3"/>
  <c r="W10" i="3"/>
  <c r="V10" i="3"/>
  <c r="Y9" i="3"/>
  <c r="X9" i="3"/>
  <c r="W9" i="3"/>
  <c r="V9" i="3"/>
  <c r="Y8" i="3"/>
  <c r="X8" i="3"/>
  <c r="W8" i="3"/>
  <c r="V8" i="3"/>
  <c r="E10" i="7"/>
  <c r="F10" i="7" l="1"/>
  <c r="F75" i="1" s="1"/>
  <c r="F85" i="1"/>
  <c r="Z12" i="3"/>
  <c r="Z11" i="3"/>
  <c r="AA11" i="3"/>
  <c r="AA12" i="3"/>
  <c r="W12" i="3"/>
  <c r="X12" i="3"/>
  <c r="Y12" i="3"/>
  <c r="V12" i="3"/>
  <c r="W11" i="3"/>
  <c r="X11" i="3"/>
  <c r="Y11" i="3"/>
  <c r="V11" i="3"/>
  <c r="D45" i="6"/>
  <c r="D22" i="6"/>
  <c r="F67" i="6"/>
  <c r="E67" i="6"/>
  <c r="D67" i="6"/>
  <c r="G61" i="6"/>
  <c r="D34" i="6"/>
  <c r="G55" i="6"/>
  <c r="G54" i="6"/>
  <c r="G53" i="6"/>
  <c r="G52" i="6"/>
  <c r="D56" i="6"/>
  <c r="B55" i="6"/>
  <c r="B66" i="6" s="1"/>
  <c r="B54" i="6"/>
  <c r="B65" i="6" s="1"/>
  <c r="B53" i="6"/>
  <c r="B64" i="6" s="1"/>
  <c r="B52" i="6"/>
  <c r="B63" i="6" s="1"/>
  <c r="B51" i="6"/>
  <c r="B62" i="6" s="1"/>
  <c r="B50" i="6"/>
  <c r="B61" i="6" s="1"/>
  <c r="F56" i="6"/>
  <c r="E56" i="6"/>
  <c r="I50" i="6"/>
  <c r="F95" i="1" l="1"/>
  <c r="C34" i="6"/>
  <c r="E71" i="6"/>
  <c r="V3" i="3" a="1"/>
  <c r="H54" i="6"/>
  <c r="I54" i="6"/>
  <c r="I55" i="6"/>
  <c r="H55" i="6"/>
  <c r="C67" i="6"/>
  <c r="I53" i="6"/>
  <c r="H53" i="6"/>
  <c r="C56" i="6"/>
  <c r="CA3" i="3" s="1" a="1"/>
  <c r="G65" i="6"/>
  <c r="I65" i="6" s="1"/>
  <c r="G51" i="6"/>
  <c r="I51" i="6" s="1"/>
  <c r="H52" i="6"/>
  <c r="G62" i="6"/>
  <c r="H62" i="6" s="1"/>
  <c r="G66" i="6"/>
  <c r="I66" i="6" s="1"/>
  <c r="G63" i="6"/>
  <c r="I63" i="6" s="1"/>
  <c r="G64" i="6"/>
  <c r="H64" i="6" s="1"/>
  <c r="I61" i="6"/>
  <c r="H50" i="6"/>
  <c r="V3" i="3" l="1"/>
  <c r="Z3" i="3"/>
  <c r="X3" i="3"/>
  <c r="Y3" i="3"/>
  <c r="W3" i="3"/>
  <c r="AA3" i="3"/>
  <c r="H51" i="6"/>
  <c r="G56" i="6"/>
  <c r="H56" i="6" s="1"/>
  <c r="I62" i="6"/>
  <c r="G67" i="6"/>
  <c r="H67" i="6" s="1"/>
  <c r="AO3" i="3" a="1"/>
  <c r="CF3" i="3"/>
  <c r="CB3" i="3"/>
  <c r="CA3" i="3"/>
  <c r="CC3" i="3"/>
  <c r="CE3" i="3"/>
  <c r="CD3" i="3"/>
  <c r="CG3" i="3"/>
  <c r="H65" i="6"/>
  <c r="I64" i="6"/>
  <c r="I52" i="6"/>
  <c r="H66" i="6"/>
  <c r="H61" i="6"/>
  <c r="H63" i="6"/>
  <c r="I56" i="6" l="1"/>
  <c r="CA4" i="3" s="1" a="1"/>
  <c r="I67" i="6"/>
  <c r="AO4" i="3" s="1" a="1"/>
  <c r="AQ3" i="3"/>
  <c r="AT3" i="3"/>
  <c r="AO3" i="3"/>
  <c r="AS3" i="3"/>
  <c r="AR3" i="3"/>
  <c r="AP3" i="3"/>
  <c r="AU3" i="3"/>
  <c r="CC4" i="3" l="1"/>
  <c r="CC6" i="3" s="1"/>
  <c r="CG4" i="3"/>
  <c r="CE4" i="3"/>
  <c r="CE6" i="3" s="1"/>
  <c r="CC5" i="3"/>
  <c r="CC7" i="3" s="1"/>
  <c r="CE5" i="3"/>
  <c r="CE7" i="3" s="1"/>
  <c r="CF5" i="3"/>
  <c r="CF7" i="3" s="1"/>
  <c r="CD5" i="3"/>
  <c r="CD7" i="3" s="1"/>
  <c r="CA5" i="3"/>
  <c r="CA7" i="3" s="1"/>
  <c r="CF4" i="3"/>
  <c r="CF6" i="3" s="1"/>
  <c r="CD4" i="3"/>
  <c r="CD6" i="3" s="1"/>
  <c r="CB4" i="3"/>
  <c r="CB6" i="3" s="1"/>
  <c r="CA4" i="3"/>
  <c r="CA6" i="3" s="1"/>
  <c r="CG5" i="3"/>
  <c r="CB5" i="3"/>
  <c r="CB7" i="3" s="1"/>
  <c r="AT4" i="3"/>
  <c r="AT6" i="3" s="1"/>
  <c r="AS4" i="3"/>
  <c r="AS6" i="3" s="1"/>
  <c r="AS5" i="3"/>
  <c r="AS7" i="3" s="1"/>
  <c r="AP5" i="3"/>
  <c r="AP7" i="3" s="1"/>
  <c r="AR4" i="3"/>
  <c r="AR6" i="3" s="1"/>
  <c r="AP4" i="3"/>
  <c r="AP6" i="3" s="1"/>
  <c r="AR5" i="3"/>
  <c r="AR7" i="3" s="1"/>
  <c r="AQ4" i="3"/>
  <c r="AQ6" i="3" s="1"/>
  <c r="AT5" i="3"/>
  <c r="AT7" i="3" s="1"/>
  <c r="AQ5" i="3"/>
  <c r="AQ7" i="3" s="1"/>
  <c r="AO5" i="3"/>
  <c r="AO7" i="3" s="1"/>
  <c r="AO4" i="3"/>
  <c r="AO6" i="3" s="1"/>
  <c r="AU5" i="3"/>
  <c r="AU7" i="3" s="1"/>
  <c r="AU4" i="3"/>
  <c r="AU6" i="3" s="1"/>
  <c r="C45" i="6" l="1"/>
  <c r="G43" i="6"/>
  <c r="I43" i="6" s="1"/>
  <c r="G42" i="6"/>
  <c r="H42" i="6" s="1"/>
  <c r="G41" i="6"/>
  <c r="I41" i="6" s="1"/>
  <c r="G40" i="6"/>
  <c r="D10" i="1"/>
  <c r="D9" i="1"/>
  <c r="D8" i="1"/>
  <c r="D7" i="1"/>
  <c r="D12" i="1" l="1"/>
  <c r="I42" i="6"/>
  <c r="G45" i="6"/>
  <c r="H45" i="6" s="1"/>
  <c r="H40" i="6"/>
  <c r="H41" i="6"/>
  <c r="H43" i="6"/>
  <c r="CA2" i="3"/>
  <c r="CB2" i="3"/>
  <c r="CC2" i="3"/>
  <c r="CD2" i="3"/>
  <c r="CE2" i="3"/>
  <c r="CF2" i="3"/>
  <c r="BZ2" i="3"/>
  <c r="CF10" i="3"/>
  <c r="CE10" i="3"/>
  <c r="CD10" i="3"/>
  <c r="CC10" i="3"/>
  <c r="CB10" i="3"/>
  <c r="CA10" i="3"/>
  <c r="BZ10" i="3"/>
  <c r="CF9" i="3"/>
  <c r="CE9" i="3"/>
  <c r="CD9" i="3"/>
  <c r="CC9" i="3"/>
  <c r="CB9" i="3"/>
  <c r="CA9" i="3"/>
  <c r="BZ9" i="3"/>
  <c r="CF8" i="3"/>
  <c r="CE8" i="3"/>
  <c r="CD8" i="3"/>
  <c r="CC8" i="3"/>
  <c r="CB8" i="3"/>
  <c r="CA8" i="3"/>
  <c r="BZ8" i="3"/>
  <c r="I45" i="6" l="1"/>
  <c r="CE12" i="3"/>
  <c r="CC11" i="3"/>
  <c r="CA11" i="3"/>
  <c r="CE11" i="3"/>
  <c r="CF11" i="3"/>
  <c r="CB11" i="3"/>
  <c r="BZ12" i="3"/>
  <c r="CD12" i="3"/>
  <c r="CA12" i="3"/>
  <c r="BZ11" i="3"/>
  <c r="CD11" i="3"/>
  <c r="CB12" i="3"/>
  <c r="CF12" i="3"/>
  <c r="CC12" i="3"/>
  <c r="L22" i="1"/>
  <c r="E11" i="7" l="1"/>
  <c r="E12" i="7"/>
  <c r="F87" i="1" s="1"/>
  <c r="E13" i="7"/>
  <c r="F88" i="1" s="1"/>
  <c r="E14" i="7"/>
  <c r="F89" i="1" s="1"/>
  <c r="E15" i="7"/>
  <c r="F90" i="1" s="1"/>
  <c r="E16" i="7"/>
  <c r="G85" i="1" s="1"/>
  <c r="E17" i="7"/>
  <c r="G86" i="1" s="1"/>
  <c r="E18" i="7"/>
  <c r="G87" i="1" s="1"/>
  <c r="E19" i="7"/>
  <c r="G88" i="1" s="1"/>
  <c r="E20" i="7"/>
  <c r="G89" i="1" s="1"/>
  <c r="E21" i="7"/>
  <c r="G90" i="1" s="1"/>
  <c r="E22" i="7"/>
  <c r="E23" i="7"/>
  <c r="H87" i="1" l="1"/>
  <c r="H85" i="1"/>
  <c r="H86" i="1"/>
  <c r="H88" i="1"/>
  <c r="H89" i="1"/>
  <c r="H90" i="1"/>
  <c r="I89" i="1"/>
  <c r="I86" i="1"/>
  <c r="I90" i="1"/>
  <c r="I87" i="1"/>
  <c r="I85" i="1"/>
  <c r="I88" i="1"/>
  <c r="F11" i="7"/>
  <c r="F76" i="1" s="1"/>
  <c r="F86" i="1"/>
  <c r="F22" i="7"/>
  <c r="F23" i="7"/>
  <c r="F16" i="7"/>
  <c r="G75" i="1" s="1"/>
  <c r="G95" i="1" s="1"/>
  <c r="F21" i="7"/>
  <c r="G80" i="1" s="1"/>
  <c r="G100" i="1" s="1"/>
  <c r="F20" i="7"/>
  <c r="G79" i="1" s="1"/>
  <c r="G99" i="1" s="1"/>
  <c r="F19" i="7"/>
  <c r="G78" i="1" s="1"/>
  <c r="G98" i="1" s="1"/>
  <c r="F15" i="7"/>
  <c r="F80" i="1" s="1"/>
  <c r="F100" i="1" s="1"/>
  <c r="F18" i="7"/>
  <c r="G77" i="1" s="1"/>
  <c r="G97" i="1" s="1"/>
  <c r="F17" i="7"/>
  <c r="G76" i="1" s="1"/>
  <c r="G96" i="1" s="1"/>
  <c r="F14" i="7"/>
  <c r="F79" i="1" s="1"/>
  <c r="F99" i="1" s="1"/>
  <c r="F13" i="7"/>
  <c r="F78" i="1" s="1"/>
  <c r="F98" i="1" s="1"/>
  <c r="F12" i="7"/>
  <c r="F77" i="1" s="1"/>
  <c r="F97" i="1" s="1"/>
  <c r="F34" i="6"/>
  <c r="E34" i="6"/>
  <c r="CK3" i="3" a="1"/>
  <c r="CP3" i="3" s="1"/>
  <c r="G33" i="6"/>
  <c r="H33" i="6" s="1"/>
  <c r="G32" i="6"/>
  <c r="H32" i="6" s="1"/>
  <c r="G31" i="6"/>
  <c r="I31" i="6" s="1"/>
  <c r="G30" i="6"/>
  <c r="H30" i="6" s="1"/>
  <c r="G29" i="6"/>
  <c r="H29" i="6" s="1"/>
  <c r="G28" i="6"/>
  <c r="I28" i="6" s="1"/>
  <c r="F96" i="1" l="1"/>
  <c r="I77" i="1"/>
  <c r="I97" i="1" s="1"/>
  <c r="I75" i="1"/>
  <c r="I95" i="1" s="1"/>
  <c r="I80" i="1"/>
  <c r="I100" i="1" s="1"/>
  <c r="I78" i="1"/>
  <c r="I98" i="1" s="1"/>
  <c r="I79" i="1"/>
  <c r="I99" i="1" s="1"/>
  <c r="I76" i="1"/>
  <c r="I96" i="1" s="1"/>
  <c r="H79" i="1"/>
  <c r="H99" i="1" s="1"/>
  <c r="H76" i="1"/>
  <c r="H96" i="1" s="1"/>
  <c r="H80" i="1"/>
  <c r="H100" i="1" s="1"/>
  <c r="H77" i="1"/>
  <c r="H97" i="1" s="1"/>
  <c r="H75" i="1"/>
  <c r="H95" i="1" s="1"/>
  <c r="J95" i="1" s="1"/>
  <c r="H78" i="1"/>
  <c r="H98" i="1" s="1"/>
  <c r="CO3" i="3"/>
  <c r="CN3" i="3"/>
  <c r="CM3" i="3"/>
  <c r="CL3" i="3"/>
  <c r="CK3" i="3"/>
  <c r="CQ3" i="3"/>
  <c r="H28" i="6"/>
  <c r="I33" i="6"/>
  <c r="I29" i="6"/>
  <c r="G34" i="6"/>
  <c r="I34" i="6" s="1"/>
  <c r="I30" i="6"/>
  <c r="H31" i="6"/>
  <c r="I32" i="6"/>
  <c r="BV8" i="3"/>
  <c r="BV9" i="3"/>
  <c r="BV10" i="3"/>
  <c r="J100" i="1" l="1"/>
  <c r="J96" i="1"/>
  <c r="J99" i="1"/>
  <c r="J97" i="1"/>
  <c r="J98" i="1"/>
  <c r="H34" i="6"/>
  <c r="CK4" i="3" s="1" a="1"/>
  <c r="BV12" i="3"/>
  <c r="BV11" i="3"/>
  <c r="CK2" i="3"/>
  <c r="CL2" i="3"/>
  <c r="CM2" i="3"/>
  <c r="CN2" i="3"/>
  <c r="CO2" i="3"/>
  <c r="CP2" i="3"/>
  <c r="CJ2" i="3"/>
  <c r="CP10" i="3"/>
  <c r="CO10" i="3"/>
  <c r="CN10" i="3"/>
  <c r="CM10" i="3"/>
  <c r="CL10" i="3"/>
  <c r="CK10" i="3"/>
  <c r="CP9" i="3"/>
  <c r="CO9" i="3"/>
  <c r="CN9" i="3"/>
  <c r="CM9" i="3"/>
  <c r="CL9" i="3"/>
  <c r="CK9" i="3"/>
  <c r="CP8" i="3"/>
  <c r="CO8" i="3"/>
  <c r="CN8" i="3"/>
  <c r="CM8" i="3"/>
  <c r="CL8" i="3"/>
  <c r="CK8" i="3"/>
  <c r="F22" i="6"/>
  <c r="E22" i="6"/>
  <c r="C22" i="6" s="1"/>
  <c r="AE3" i="3" s="1" a="1"/>
  <c r="AJ3" i="3" s="1"/>
  <c r="G21" i="6"/>
  <c r="I21" i="6" s="1"/>
  <c r="G20" i="6"/>
  <c r="I20" i="6" s="1"/>
  <c r="G19" i="6"/>
  <c r="I19" i="6" s="1"/>
  <c r="G18" i="6"/>
  <c r="I18" i="6" s="1"/>
  <c r="G17" i="6"/>
  <c r="H17" i="6" s="1"/>
  <c r="G16" i="6"/>
  <c r="I16" i="6" s="1"/>
  <c r="AE2" i="3"/>
  <c r="AO2" i="3" s="1"/>
  <c r="BB2" i="3" s="1"/>
  <c r="AF2" i="3"/>
  <c r="AP2" i="3" s="1"/>
  <c r="BC2" i="3" s="1"/>
  <c r="AG2" i="3"/>
  <c r="AQ2" i="3" s="1"/>
  <c r="BD2" i="3" s="1"/>
  <c r="AH2" i="3"/>
  <c r="AR2" i="3" s="1"/>
  <c r="BE2" i="3" s="1"/>
  <c r="AI2" i="3"/>
  <c r="AS2" i="3" s="1"/>
  <c r="BF2" i="3" s="1"/>
  <c r="AJ2" i="3"/>
  <c r="AT2" i="3" s="1"/>
  <c r="BG2" i="3" s="1"/>
  <c r="AD2" i="3"/>
  <c r="AJ10" i="3"/>
  <c r="AI10" i="3"/>
  <c r="AH10" i="3"/>
  <c r="AG10" i="3"/>
  <c r="AF10" i="3"/>
  <c r="AE10" i="3"/>
  <c r="AD10" i="3"/>
  <c r="AJ9" i="3"/>
  <c r="AI9" i="3"/>
  <c r="AH9" i="3"/>
  <c r="AG9" i="3"/>
  <c r="AF9" i="3"/>
  <c r="AE9" i="3"/>
  <c r="AD9" i="3"/>
  <c r="AD8" i="3"/>
  <c r="J101" i="1" l="1"/>
  <c r="H20" i="6"/>
  <c r="H19" i="6"/>
  <c r="G22" i="6"/>
  <c r="H22" i="6" s="1"/>
  <c r="H21" i="6"/>
  <c r="CM4" i="3"/>
  <c r="CM6" i="3" s="1"/>
  <c r="CL4" i="3"/>
  <c r="CL6" i="3" s="1"/>
  <c r="CK4" i="3"/>
  <c r="CK6" i="3" s="1"/>
  <c r="CO4" i="3"/>
  <c r="CO6" i="3" s="1"/>
  <c r="CQ5" i="3"/>
  <c r="CM5" i="3"/>
  <c r="CM7" i="3" s="1"/>
  <c r="CL5" i="3"/>
  <c r="CL7" i="3" s="1"/>
  <c r="CK5" i="3"/>
  <c r="CK7" i="3" s="1"/>
  <c r="CP4" i="3"/>
  <c r="CP6" i="3" s="1"/>
  <c r="CN4" i="3"/>
  <c r="CN6" i="3" s="1"/>
  <c r="CP5" i="3"/>
  <c r="CP7" i="3" s="1"/>
  <c r="CO5" i="3"/>
  <c r="CO7" i="3" s="1"/>
  <c r="CN5" i="3"/>
  <c r="CN7" i="3" s="1"/>
  <c r="CQ4" i="3"/>
  <c r="H16" i="6"/>
  <c r="I17" i="6"/>
  <c r="H18" i="6"/>
  <c r="CO12" i="3"/>
  <c r="CM12" i="3"/>
  <c r="CL12" i="3"/>
  <c r="CN12" i="3"/>
  <c r="CK12" i="3"/>
  <c r="CM11" i="3"/>
  <c r="CN11" i="3"/>
  <c r="CP12" i="3"/>
  <c r="CL11" i="3"/>
  <c r="CO11" i="3"/>
  <c r="CP11" i="3"/>
  <c r="CK11" i="3"/>
  <c r="AH11" i="3"/>
  <c r="AF11" i="3"/>
  <c r="AJ11" i="3"/>
  <c r="AI3" i="3"/>
  <c r="AG3" i="3"/>
  <c r="AH3" i="3"/>
  <c r="AF3" i="3"/>
  <c r="AE3" i="3"/>
  <c r="AK3" i="3"/>
  <c r="AI11" i="3"/>
  <c r="AG11" i="3"/>
  <c r="AE11" i="3"/>
  <c r="AD11" i="3"/>
  <c r="AD12" i="3"/>
  <c r="AE12" i="3"/>
  <c r="AF12" i="3"/>
  <c r="AG12" i="3"/>
  <c r="AH12" i="3"/>
  <c r="AI12" i="3"/>
  <c r="AJ12" i="3"/>
  <c r="BR10" i="3"/>
  <c r="BR9" i="3"/>
  <c r="BR8" i="3"/>
  <c r="I22" i="6" l="1"/>
  <c r="AE4" i="3" s="1" a="1"/>
  <c r="AF4" i="3" s="1"/>
  <c r="AF6" i="3" s="1"/>
  <c r="BR11" i="3"/>
  <c r="BR12" i="3"/>
  <c r="BU10" i="3"/>
  <c r="BT10" i="3"/>
  <c r="BS10" i="3"/>
  <c r="BU9" i="3"/>
  <c r="BT9" i="3"/>
  <c r="BS9" i="3"/>
  <c r="BU8" i="3"/>
  <c r="BT8" i="3"/>
  <c r="BS8" i="3"/>
  <c r="AF5" i="3" l="1"/>
  <c r="AF7" i="3" s="1"/>
  <c r="AI5" i="3"/>
  <c r="AI7" i="3" s="1"/>
  <c r="AG5" i="3"/>
  <c r="AG7" i="3" s="1"/>
  <c r="AK4" i="3"/>
  <c r="AK6" i="3" s="1"/>
  <c r="AE4" i="3"/>
  <c r="AE6" i="3" s="1"/>
  <c r="AJ4" i="3"/>
  <c r="AJ6" i="3" s="1"/>
  <c r="AJ5" i="3"/>
  <c r="AJ7" i="3" s="1"/>
  <c r="AI4" i="3"/>
  <c r="AI6" i="3" s="1"/>
  <c r="AK5" i="3"/>
  <c r="AK7" i="3" s="1"/>
  <c r="AE5" i="3"/>
  <c r="AE7" i="3" s="1"/>
  <c r="AH4" i="3"/>
  <c r="AH6" i="3" s="1"/>
  <c r="AH5" i="3"/>
  <c r="AH7" i="3" s="1"/>
  <c r="AG4" i="3"/>
  <c r="AG6" i="3" s="1"/>
  <c r="BU12" i="3"/>
  <c r="BT11" i="3"/>
  <c r="BS11" i="3"/>
  <c r="BS12" i="3"/>
  <c r="BT12" i="3"/>
  <c r="BU11" i="3"/>
  <c r="AU10" i="3" l="1"/>
  <c r="AU9" i="3"/>
  <c r="AU8" i="3"/>
  <c r="K25" i="1"/>
  <c r="AU11" i="3" l="1"/>
  <c r="AU12" i="3"/>
  <c r="D37" i="1" l="1"/>
  <c r="D36" i="1"/>
  <c r="Q3" i="3" s="1" a="1"/>
  <c r="R3" i="3" l="1"/>
  <c r="Q3" i="3"/>
  <c r="AN10" i="3" l="1"/>
  <c r="AN9" i="3"/>
  <c r="AN8" i="3"/>
  <c r="AN11" i="3" l="1"/>
  <c r="AN12" i="3"/>
  <c r="AO10" i="3"/>
  <c r="AP10" i="3"/>
  <c r="AQ10" i="3"/>
  <c r="AR10" i="3"/>
  <c r="AS10" i="3"/>
  <c r="AT10" i="3"/>
  <c r="AO9" i="3"/>
  <c r="AP9" i="3"/>
  <c r="AQ9" i="3"/>
  <c r="AR9" i="3"/>
  <c r="AS9" i="3"/>
  <c r="AT9" i="3"/>
  <c r="AO8" i="3"/>
  <c r="AP8" i="3"/>
  <c r="AQ8" i="3"/>
  <c r="AR8" i="3"/>
  <c r="AS8" i="3"/>
  <c r="AT8" i="3"/>
  <c r="K10" i="3"/>
  <c r="K9" i="3"/>
  <c r="K8" i="3"/>
  <c r="L10" i="3"/>
  <c r="M10" i="3"/>
  <c r="N10" i="3"/>
  <c r="O10" i="3"/>
  <c r="P10" i="3"/>
  <c r="Q10" i="3"/>
  <c r="R10" i="3"/>
  <c r="L9" i="3"/>
  <c r="M9" i="3"/>
  <c r="N9" i="3"/>
  <c r="O9" i="3"/>
  <c r="P9" i="3"/>
  <c r="Q9" i="3"/>
  <c r="R9" i="3"/>
  <c r="L8" i="3"/>
  <c r="M8" i="3"/>
  <c r="N8" i="3"/>
  <c r="O8" i="3"/>
  <c r="P8" i="3"/>
  <c r="Q8" i="3"/>
  <c r="R8" i="3"/>
  <c r="B10" i="3"/>
  <c r="B9" i="3"/>
  <c r="B8" i="3"/>
  <c r="R11" i="3" l="1"/>
  <c r="K12" i="3"/>
  <c r="L11" i="3"/>
  <c r="M11" i="3"/>
  <c r="N12" i="3"/>
  <c r="M12" i="3"/>
  <c r="AS11" i="3"/>
  <c r="AO11" i="3"/>
  <c r="AR11" i="3"/>
  <c r="AQ12" i="3"/>
  <c r="P11" i="3"/>
  <c r="AT12" i="3"/>
  <c r="AP12" i="3"/>
  <c r="B11" i="3"/>
  <c r="Q11" i="3"/>
  <c r="O11" i="3"/>
  <c r="R12" i="3"/>
  <c r="P12" i="3"/>
  <c r="L12" i="3"/>
  <c r="AQ11" i="3"/>
  <c r="AS12" i="3"/>
  <c r="AO12" i="3"/>
  <c r="B12" i="3"/>
  <c r="N11" i="3"/>
  <c r="Q12" i="3"/>
  <c r="O12" i="3"/>
  <c r="K11" i="3"/>
  <c r="AT11" i="3"/>
  <c r="AP11" i="3"/>
  <c r="AR12" i="3"/>
  <c r="F25" i="1"/>
  <c r="G25" i="1"/>
  <c r="H25" i="1"/>
  <c r="I25" i="1"/>
  <c r="J25" i="1"/>
  <c r="E25" i="1"/>
  <c r="C9" i="3" l="1"/>
  <c r="D9" i="3"/>
  <c r="E9" i="3"/>
  <c r="F9" i="3"/>
  <c r="G9" i="3"/>
  <c r="H9" i="3"/>
  <c r="C10" i="3"/>
  <c r="D10" i="3"/>
  <c r="E10" i="3"/>
  <c r="F10" i="3"/>
  <c r="G10" i="3"/>
  <c r="H10" i="3"/>
  <c r="C8" i="3"/>
  <c r="D8" i="3"/>
  <c r="E8" i="3"/>
  <c r="F8" i="3"/>
  <c r="G8" i="3"/>
  <c r="H8" i="3"/>
  <c r="H12" i="3" l="1"/>
  <c r="D12" i="3"/>
  <c r="F11" i="3"/>
  <c r="E11" i="3"/>
  <c r="F12" i="3"/>
  <c r="H11" i="3"/>
  <c r="D11" i="3"/>
  <c r="G12" i="3"/>
  <c r="C12" i="3"/>
  <c r="E12" i="3"/>
  <c r="G11" i="3"/>
  <c r="C11" i="3"/>
  <c r="E37" i="1"/>
  <c r="E36" i="1"/>
  <c r="J12" i="1"/>
  <c r="F30" i="1" s="1"/>
  <c r="F31" i="1" l="1"/>
  <c r="F33" i="1"/>
  <c r="F32" i="1"/>
  <c r="F34" i="1"/>
  <c r="F35" i="1"/>
  <c r="F37" i="1"/>
  <c r="F36" i="1"/>
  <c r="H39" i="1"/>
</calcChain>
</file>

<file path=xl/sharedStrings.xml><?xml version="1.0" encoding="utf-8"?>
<sst xmlns="http://schemas.openxmlformats.org/spreadsheetml/2006/main" count="445" uniqueCount="140">
  <si>
    <t>Warm-up period</t>
  </si>
  <si>
    <t>Time steps</t>
  </si>
  <si>
    <t>Projection period</t>
  </si>
  <si>
    <t>Age LB</t>
  </si>
  <si>
    <t>Frequency</t>
  </si>
  <si>
    <t>Population age distribution</t>
  </si>
  <si>
    <t>Sum</t>
  </si>
  <si>
    <t>Year</t>
  </si>
  <si>
    <t>Years</t>
  </si>
  <si>
    <t>Population size</t>
  </si>
  <si>
    <t>Replications</t>
  </si>
  <si>
    <t>Sexually Inactive</t>
  </si>
  <si>
    <t>Careful sex</t>
  </si>
  <si>
    <t>Seeking Pregnancy</t>
  </si>
  <si>
    <t>Index</t>
  </si>
  <si>
    <t>Annual Birth Rates</t>
  </si>
  <si>
    <t>15-19</t>
  </si>
  <si>
    <t>20-24</t>
  </si>
  <si>
    <t>25-29</t>
  </si>
  <si>
    <t>35-39</t>
  </si>
  <si>
    <t>40-44</t>
  </si>
  <si>
    <t>Prob</t>
  </si>
  <si>
    <t>Population Ave.</t>
  </si>
  <si>
    <t>Calculating the effectivenes of contraceptive methods in each sexual encounter</t>
  </si>
  <si>
    <t>Method</t>
  </si>
  <si>
    <t>Pr{Failure after 1 year of use}</t>
  </si>
  <si>
    <t>ln(1-prob.)</t>
  </si>
  <si>
    <t>Effectiveness in each sexual encounter</t>
  </si>
  <si>
    <t>Hormonal Implant</t>
  </si>
  <si>
    <t>Depo-Provera</t>
  </si>
  <si>
    <t>Birth Control Pill</t>
  </si>
  <si>
    <t>Vaginal Ring</t>
  </si>
  <si>
    <t>IUD, coil, or loop</t>
  </si>
  <si>
    <t>Partner's Condom Use</t>
  </si>
  <si>
    <t>Withdrawal</t>
  </si>
  <si>
    <t>Other Method</t>
  </si>
  <si>
    <t>CDC</t>
  </si>
  <si>
    <t>Median</t>
  </si>
  <si>
    <t>95% L</t>
  </si>
  <si>
    <t>95% U</t>
  </si>
  <si>
    <t>Significance level</t>
  </si>
  <si>
    <t>30-34</t>
  </si>
  <si>
    <t>Pr{contraception}</t>
  </si>
  <si>
    <t>10-14</t>
  </si>
  <si>
    <t>L-Err</t>
  </si>
  <si>
    <t>U-Err</t>
  </si>
  <si>
    <t>Unintended Pregnancies</t>
  </si>
  <si>
    <t>Probability of sucessful pregnancy after a sexual encounter</t>
  </si>
  <si>
    <t>Proportion of People Experiencing Miscarriage</t>
  </si>
  <si>
    <t>Alpha- Modeling Number of Drinks Per Month</t>
  </si>
  <si>
    <t>Beta- Modeling Number of Drinks Per Month</t>
  </si>
  <si>
    <t>Careful Sex</t>
  </si>
  <si>
    <t>Unsafe Sex</t>
  </si>
  <si>
    <t>Proportion of Unintended Pregnancies that are Aborted</t>
  </si>
  <si>
    <t>Unknown</t>
  </si>
  <si>
    <t>Compliance with CDC Recommendations</t>
  </si>
  <si>
    <t>Probability of being in each sexual-behavior category by age</t>
  </si>
  <si>
    <t>Total</t>
  </si>
  <si>
    <t>Pregnant</t>
  </si>
  <si>
    <t>Location</t>
  </si>
  <si>
    <t>Overdispersion</t>
  </si>
  <si>
    <t>Beta</t>
  </si>
  <si>
    <t>Alpha</t>
  </si>
  <si>
    <t>Mean Number of Drinks Per Month</t>
  </si>
  <si>
    <t>% At Risk for Alcohol Exposed Pregnancies</t>
  </si>
  <si>
    <t>L</t>
  </si>
  <si>
    <t>U</t>
  </si>
  <si>
    <t>Mean</t>
  </si>
  <si>
    <t>CDC-L</t>
  </si>
  <si>
    <t>CDC_U</t>
  </si>
  <si>
    <t>% Pregnant</t>
  </si>
  <si>
    <t>Age Group</t>
  </si>
  <si>
    <t>Percentage of People in This Age Group that Are Pregnant</t>
  </si>
  <si>
    <t>Number of People in This Age Group That Declined to Answer Question</t>
  </si>
  <si>
    <t>20- 24</t>
  </si>
  <si>
    <t>25- 29</t>
  </si>
  <si>
    <t>30 - 34</t>
  </si>
  <si>
    <t>35- 39</t>
  </si>
  <si>
    <t>40 - 44</t>
  </si>
  <si>
    <t>Half-Width</t>
  </si>
  <si>
    <t>Prevalence of pregnancy by age group</t>
  </si>
  <si>
    <t>% nonpregnant, nonsterile, not using contraception who had sex last month</t>
  </si>
  <si>
    <t>10</t>
  </si>
  <si>
    <t>Mean monthly number of sexual encounters</t>
  </si>
  <si>
    <t>Alpha- Modeling Monthly Frequency of Sexual Activity</t>
  </si>
  <si>
    <t>Beta- Modeling Monthly Frequency of Sexual Activity</t>
  </si>
  <si>
    <t>Contraception Failure</t>
  </si>
  <si>
    <t>US Pop</t>
  </si>
  <si>
    <t>Survey</t>
  </si>
  <si>
    <t>N</t>
  </si>
  <si>
    <t>%</t>
  </si>
  <si>
    <t>CDC-L-Err</t>
  </si>
  <si>
    <t>CDC-U-Err</t>
  </si>
  <si>
    <t>n</t>
  </si>
  <si>
    <t>% at risk of AEP</t>
  </si>
  <si>
    <t>Number of People in Each Sexual Activity Group</t>
  </si>
  <si>
    <t>Group</t>
  </si>
  <si>
    <t>Sterile</t>
  </si>
  <si>
    <t>Ppl that Provided So Little Information We Weren't Able to Sort Them</t>
  </si>
  <si>
    <t>Total Pregnancies</t>
  </si>
  <si>
    <t>% of pregnancies exposed to alcohol</t>
  </si>
  <si>
    <t>StDev</t>
  </si>
  <si>
    <t>Drinking while Aware of Pregnancy</t>
  </si>
  <si>
    <t>Sexual Activity</t>
  </si>
  <si>
    <t>Drinking Patterns</t>
  </si>
  <si>
    <t>Weighted weekly</t>
  </si>
  <si>
    <t>% of the women that gave birth in the last year</t>
  </si>
  <si>
    <t>Per 1000</t>
  </si>
  <si>
    <t>Adjusting factor for contraceptive effectiveness</t>
  </si>
  <si>
    <t>Inactive</t>
  </si>
  <si>
    <t>% Drank last month</t>
  </si>
  <si>
    <t>Model</t>
  </si>
  <si>
    <t>Consumption (Data)- Survey</t>
  </si>
  <si>
    <t>Data Brief URL: https://www.cdc.gov/nchs/data/databriefs/db173_table.pdf#1</t>
  </si>
  <si>
    <t>No method, sterile, or pregnant</t>
  </si>
  <si>
    <t>Consumption (Excl. Pregnant, No Contraception and Sterilization)</t>
  </si>
  <si>
    <t>Consumption Data- CDC Data Brief (No groups excluded)</t>
  </si>
  <si>
    <t>Proportion of women who drank last 4 weeks in each sexual behavior groups</t>
  </si>
  <si>
    <t>Sexual Behavior Grouping</t>
  </si>
  <si>
    <t xml:space="preserve">Proportion of nonsterile, nonpregnant women who drank last 4 weeks </t>
  </si>
  <si>
    <t xml:space="preserve">Proportion of nonsterile, nonpregnant women who are not using contraception and had sex in the last 4 weeks </t>
  </si>
  <si>
    <t>Prob Stay</t>
  </si>
  <si>
    <t>Proportion:</t>
  </si>
  <si>
    <t>Ratio (prob staying sterile to prevalence)</t>
  </si>
  <si>
    <t>Seeking 
Pregnancy</t>
  </si>
  <si>
    <t>No 
Contraception</t>
  </si>
  <si>
    <t>Distribution in risk-behavior groups (at the end of the projection period)</t>
  </si>
  <si>
    <t>AEP Prevalence</t>
  </si>
  <si>
    <t>AEP Risk (CDC Definition)</t>
  </si>
  <si>
    <t>Survey (n)</t>
  </si>
  <si>
    <t>Survey (%)</t>
  </si>
  <si>
    <t>CDC Compliance Level</t>
  </si>
  <si>
    <t xml:space="preserve">% increase in contraceptive use among "Unsafe Sex" </t>
  </si>
  <si>
    <t>% decrease in contraceptive use among "Careful Sex"</t>
  </si>
  <si>
    <t xml:space="preserve">% Change in contraceptive use </t>
  </si>
  <si>
    <t>Increase</t>
  </si>
  <si>
    <t>Decrease</t>
  </si>
  <si>
    <t>Compliance with CDC Recommendation</t>
  </si>
  <si>
    <t>AEP per 1,000 Pop</t>
  </si>
  <si>
    <t>AEP per 1,000 pop.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</si>
</sst>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0"/>
    <numFmt numFmtId="165" formatCode="0.0%"/>
    <numFmt numFmtId="166" formatCode="0.000"/>
    <numFmt numFmtId="167" formatCode="0.0"/>
    <numFmt numFmtId="168" formatCode="0.0000%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38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64" fontId="0" fillId="0" borderId="0" xfId="0" applyNumberFormat="1" applyBorder="1" applyAlignment="1">
      <alignment horizontal="center"/>
    </xf>
    <xf numFmtId="0" fontId="2" fillId="0" borderId="0" xfId="0" applyFont="1"/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0" fontId="0" fillId="0" borderId="0" xfId="0" applyFill="1" applyBorder="1"/>
    <xf numFmtId="0" fontId="0" fillId="0" borderId="2" xfId="0" applyFont="1" applyBorder="1" applyAlignment="1">
      <alignment horizontal="center"/>
    </xf>
    <xf numFmtId="0" fontId="0" fillId="0" borderId="0" xfId="0" applyFont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0" xfId="0" applyFont="1"/>
    <xf numFmtId="0" fontId="1" fillId="0" borderId="1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0" fontId="1" fillId="0" borderId="1" xfId="0" applyFont="1" applyFill="1" applyBorder="1" applyAlignment="1">
      <alignment horizont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0" fontId="2" fillId="0" borderId="0" xfId="0" applyNumberFormat="1" applyFont="1" applyBorder="1" applyAlignment="1">
      <alignment horizontal="left" wrapText="1"/>
    </xf>
    <xf numFmtId="0" fontId="2" fillId="0" borderId="2" xfId="0" applyFont="1" applyBorder="1"/>
    <xf numFmtId="0" fontId="2" fillId="0" borderId="0" xfId="0" applyNumberFormat="1" applyFont="1" applyBorder="1" applyAlignment="1">
      <alignment horizontal="center" wrapText="1"/>
    </xf>
    <xf numFmtId="0" fontId="2" fillId="0" borderId="1" xfId="0" applyNumberFormat="1" applyFont="1" applyBorder="1" applyAlignment="1">
      <alignment horizontal="center" wrapText="1"/>
    </xf>
    <xf numFmtId="9" fontId="2" fillId="0" borderId="0" xfId="0" applyNumberFormat="1" applyFont="1" applyAlignment="1">
      <alignment horizontal="center"/>
    </xf>
    <xf numFmtId="9" fontId="2" fillId="0" borderId="0" xfId="0" applyNumberFormat="1" applyFont="1" applyBorder="1" applyAlignment="1">
      <alignment horizontal="center" wrapText="1"/>
    </xf>
    <xf numFmtId="9" fontId="2" fillId="0" borderId="1" xfId="0" applyNumberFormat="1" applyFont="1" applyBorder="1" applyAlignment="1">
      <alignment horizontal="center" wrapText="1"/>
    </xf>
    <xf numFmtId="9" fontId="2" fillId="2" borderId="0" xfId="0" applyNumberFormat="1" applyFont="1" applyFill="1" applyBorder="1" applyAlignment="1">
      <alignment horizontal="center" wrapText="1"/>
    </xf>
    <xf numFmtId="0" fontId="1" fillId="4" borderId="0" xfId="0" applyFont="1" applyFill="1"/>
    <xf numFmtId="0" fontId="2" fillId="4" borderId="0" xfId="0" applyFont="1" applyFill="1"/>
    <xf numFmtId="0" fontId="1" fillId="4" borderId="1" xfId="0" applyFont="1" applyFill="1" applyBorder="1"/>
    <xf numFmtId="0" fontId="0" fillId="4" borderId="1" xfId="0" applyFill="1" applyBorder="1"/>
    <xf numFmtId="0" fontId="2" fillId="4" borderId="1" xfId="0" applyFont="1" applyFill="1" applyBorder="1"/>
    <xf numFmtId="0" fontId="0" fillId="0" borderId="2" xfId="0" applyFont="1" applyFill="1" applyBorder="1" applyAlignment="1">
      <alignment horizontal="center"/>
    </xf>
    <xf numFmtId="0" fontId="0" fillId="0" borderId="1" xfId="0" applyNumberFormat="1" applyFont="1" applyBorder="1" applyAlignment="1">
      <alignment horizontal="left" wrapText="1"/>
    </xf>
    <xf numFmtId="0" fontId="1" fillId="5" borderId="0" xfId="0" applyFont="1" applyFill="1"/>
    <xf numFmtId="0" fontId="2" fillId="5" borderId="0" xfId="0" applyFont="1" applyFill="1"/>
    <xf numFmtId="0" fontId="1" fillId="0" borderId="0" xfId="0" applyFont="1"/>
    <xf numFmtId="9" fontId="2" fillId="0" borderId="0" xfId="1" applyFont="1"/>
    <xf numFmtId="0" fontId="0" fillId="0" borderId="0" xfId="0" applyFill="1"/>
    <xf numFmtId="0" fontId="0" fillId="0" borderId="1" xfId="0" applyFill="1" applyBorder="1"/>
    <xf numFmtId="166" fontId="0" fillId="0" borderId="0" xfId="0" applyNumberFormat="1" applyBorder="1" applyAlignment="1">
      <alignment horizontal="center"/>
    </xf>
    <xf numFmtId="0" fontId="0" fillId="0" borderId="1" xfId="0" applyFont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Fill="1" applyAlignment="1">
      <alignment horizontal="center"/>
    </xf>
    <xf numFmtId="167" fontId="1" fillId="3" borderId="0" xfId="0" applyNumberFormat="1" applyFont="1" applyFill="1" applyAlignment="1">
      <alignment horizontal="center"/>
    </xf>
    <xf numFmtId="167" fontId="1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center"/>
    </xf>
    <xf numFmtId="0" fontId="0" fillId="0" borderId="0" xfId="0" applyFont="1" applyAlignment="1">
      <alignment wrapText="1"/>
    </xf>
    <xf numFmtId="0" fontId="0" fillId="0" borderId="0" xfId="0" applyFont="1" applyAlignment="1">
      <alignment horizontal="center" wrapText="1"/>
    </xf>
    <xf numFmtId="165" fontId="1" fillId="3" borderId="0" xfId="0" applyNumberFormat="1" applyFon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165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Font="1" applyBorder="1"/>
    <xf numFmtId="9" fontId="0" fillId="0" borderId="1" xfId="0" applyNumberFormat="1" applyFont="1" applyBorder="1" applyAlignment="1">
      <alignment horizontal="center"/>
    </xf>
    <xf numFmtId="9" fontId="0" fillId="0" borderId="2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Font="1" applyAlignment="1">
      <alignment horizontal="left"/>
    </xf>
    <xf numFmtId="49" fontId="0" fillId="0" borderId="2" xfId="0" applyNumberFormat="1" applyFont="1" applyBorder="1" applyAlignment="1">
      <alignment horizontal="center"/>
    </xf>
    <xf numFmtId="0" fontId="0" fillId="0" borderId="1" xfId="0" applyFont="1" applyBorder="1" applyAlignment="1">
      <alignment wrapText="1"/>
    </xf>
    <xf numFmtId="0" fontId="0" fillId="0" borderId="0" xfId="0" applyFont="1" applyFill="1"/>
    <xf numFmtId="49" fontId="0" fillId="0" borderId="2" xfId="0" applyNumberFormat="1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4" fillId="0" borderId="0" xfId="0" applyFont="1" applyFill="1" applyAlignment="1">
      <alignment horizontal="right"/>
    </xf>
    <xf numFmtId="1" fontId="0" fillId="0" borderId="0" xfId="0" applyNumberFormat="1" applyFont="1" applyBorder="1" applyAlignment="1">
      <alignment horizontal="center"/>
    </xf>
    <xf numFmtId="167" fontId="0" fillId="0" borderId="0" xfId="0" applyNumberFormat="1" applyFont="1" applyFill="1" applyAlignment="1">
      <alignment horizontal="center"/>
    </xf>
    <xf numFmtId="165" fontId="0" fillId="0" borderId="0" xfId="0" applyNumberFormat="1" applyFont="1" applyFill="1" applyAlignment="1">
      <alignment horizontal="center"/>
    </xf>
    <xf numFmtId="0" fontId="0" fillId="0" borderId="1" xfId="0" applyFont="1" applyFill="1" applyBorder="1"/>
    <xf numFmtId="0" fontId="0" fillId="0" borderId="1" xfId="0" applyNumberFormat="1" applyFont="1" applyBorder="1" applyAlignment="1">
      <alignment horizontal="center"/>
    </xf>
    <xf numFmtId="1" fontId="0" fillId="0" borderId="1" xfId="0" applyNumberFormat="1" applyFont="1" applyBorder="1" applyAlignment="1">
      <alignment horizontal="center"/>
    </xf>
    <xf numFmtId="167" fontId="0" fillId="0" borderId="1" xfId="0" applyNumberFormat="1" applyFont="1" applyFill="1" applyBorder="1" applyAlignment="1">
      <alignment horizontal="center"/>
    </xf>
    <xf numFmtId="165" fontId="0" fillId="0" borderId="1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>
      <alignment wrapText="1"/>
    </xf>
    <xf numFmtId="2" fontId="4" fillId="0" borderId="0" xfId="0" applyNumberFormat="1" applyFont="1" applyFill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wrapText="1"/>
    </xf>
    <xf numFmtId="165" fontId="6" fillId="0" borderId="0" xfId="0" applyNumberFormat="1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Font="1" applyAlignment="1">
      <alignment horizontal="center"/>
    </xf>
    <xf numFmtId="49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11" xfId="0" applyBorder="1"/>
    <xf numFmtId="0" fontId="0" fillId="0" borderId="2" xfId="0" applyFont="1" applyBorder="1"/>
    <xf numFmtId="0" fontId="3" fillId="0" borderId="2" xfId="0" applyFont="1" applyBorder="1"/>
    <xf numFmtId="0" fontId="0" fillId="0" borderId="2" xfId="0" applyBorder="1"/>
    <xf numFmtId="2" fontId="2" fillId="0" borderId="0" xfId="0" applyNumberFormat="1" applyFont="1" applyAlignment="1">
      <alignment horizontal="center"/>
    </xf>
    <xf numFmtId="0" fontId="2" fillId="0" borderId="0" xfId="0" applyFont="1" applyFill="1"/>
    <xf numFmtId="0" fontId="0" fillId="0" borderId="1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1" fillId="0" borderId="1" xfId="0" applyFont="1" applyBorder="1" applyAlignment="1"/>
    <xf numFmtId="2" fontId="2" fillId="0" borderId="0" xfId="0" applyNumberFormat="1" applyFont="1"/>
    <xf numFmtId="0" fontId="0" fillId="0" borderId="0" xfId="0"/>
    <xf numFmtId="1" fontId="0" fillId="0" borderId="0" xfId="0" applyNumberFormat="1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165" fontId="4" fillId="0" borderId="0" xfId="0" applyNumberFormat="1" applyFont="1" applyFill="1" applyAlignment="1">
      <alignment horizontal="center"/>
    </xf>
    <xf numFmtId="165" fontId="0" fillId="0" borderId="0" xfId="0" applyNumberFormat="1" applyFont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1" xfId="0" applyFont="1" applyFill="1" applyBorder="1" applyAlignment="1">
      <alignment wrapText="1"/>
    </xf>
    <xf numFmtId="0" fontId="0" fillId="0" borderId="1" xfId="0" applyFont="1" applyFill="1" applyBorder="1" applyAlignment="1">
      <alignment horizontal="center" wrapText="1"/>
    </xf>
    <xf numFmtId="49" fontId="4" fillId="0" borderId="2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0" fontId="2" fillId="2" borderId="0" xfId="0" applyNumberFormat="1" applyFont="1" applyFill="1" applyAlignment="1">
      <alignment horizontal="center"/>
    </xf>
    <xf numFmtId="10" fontId="2" fillId="2" borderId="1" xfId="0" applyNumberFormat="1" applyFont="1" applyFill="1" applyBorder="1" applyAlignment="1">
      <alignment horizontal="center"/>
    </xf>
    <xf numFmtId="10" fontId="2" fillId="0" borderId="0" xfId="0" applyNumberFormat="1" applyFont="1" applyAlignment="1">
      <alignment horizontal="center"/>
    </xf>
    <xf numFmtId="1" fontId="7" fillId="0" borderId="1" xfId="0" applyNumberFormat="1" applyFont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1" fillId="8" borderId="1" xfId="0" applyFont="1" applyFill="1" applyBorder="1"/>
    <xf numFmtId="0" fontId="2" fillId="8" borderId="1" xfId="0" applyFont="1" applyFill="1" applyBorder="1"/>
    <xf numFmtId="0" fontId="0" fillId="0" borderId="11" xfId="0" applyFill="1" applyBorder="1"/>
    <xf numFmtId="0" fontId="0" fillId="0" borderId="0" xfId="0" applyFont="1" applyFill="1" applyAlignment="1">
      <alignment horizontal="center" wrapText="1"/>
    </xf>
    <xf numFmtId="167" fontId="2" fillId="0" borderId="0" xfId="0" applyNumberFormat="1" applyFont="1" applyFill="1"/>
    <xf numFmtId="0" fontId="2" fillId="0" borderId="0" xfId="0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center" wrapText="1"/>
    </xf>
    <xf numFmtId="167" fontId="0" fillId="0" borderId="0" xfId="0" applyNumberFormat="1"/>
    <xf numFmtId="165" fontId="2" fillId="2" borderId="0" xfId="0" applyNumberFormat="1" applyFont="1" applyFill="1" applyAlignment="1">
      <alignment horizontal="center"/>
    </xf>
    <xf numFmtId="167" fontId="2" fillId="2" borderId="0" xfId="0" applyNumberFormat="1" applyFont="1" applyFill="1" applyAlignment="1">
      <alignment horizontal="center"/>
    </xf>
    <xf numFmtId="0" fontId="4" fillId="0" borderId="1" xfId="0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left" wrapText="1"/>
    </xf>
    <xf numFmtId="0" fontId="1" fillId="7" borderId="1" xfId="0" applyFont="1" applyFill="1" applyBorder="1"/>
    <xf numFmtId="0" fontId="2" fillId="7" borderId="1" xfId="0" applyFont="1" applyFill="1" applyBorder="1"/>
    <xf numFmtId="168" fontId="2" fillId="0" borderId="0" xfId="0" applyNumberFormat="1" applyFont="1"/>
    <xf numFmtId="0" fontId="4" fillId="0" borderId="0" xfId="0" applyFont="1" applyFill="1" applyAlignment="1">
      <alignment horizontal="center"/>
    </xf>
    <xf numFmtId="0" fontId="0" fillId="0" borderId="0" xfId="0" applyBorder="1" applyAlignment="1">
      <alignment horizontal="left"/>
    </xf>
    <xf numFmtId="10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 wrapText="1"/>
    </xf>
    <xf numFmtId="0" fontId="9" fillId="0" borderId="1" xfId="0" applyFont="1" applyBorder="1" applyAlignment="1">
      <alignment wrapText="1"/>
    </xf>
    <xf numFmtId="0" fontId="1" fillId="0" borderId="2" xfId="0" applyFont="1" applyBorder="1"/>
    <xf numFmtId="0" fontId="0" fillId="0" borderId="0" xfId="0" applyFill="1" applyAlignment="1">
      <alignment horizontal="center"/>
    </xf>
    <xf numFmtId="9" fontId="0" fillId="0" borderId="0" xfId="1" applyFont="1" applyAlignment="1">
      <alignment horizontal="center"/>
    </xf>
    <xf numFmtId="10" fontId="2" fillId="0" borderId="1" xfId="0" applyNumberFormat="1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center" wrapText="1"/>
    </xf>
    <xf numFmtId="10" fontId="0" fillId="0" borderId="0" xfId="0" applyNumberFormat="1" applyFont="1" applyAlignment="1">
      <alignment horizontal="center"/>
    </xf>
    <xf numFmtId="10" fontId="2" fillId="0" borderId="0" xfId="1" applyNumberFormat="1" applyFont="1" applyAlignment="1">
      <alignment horizontal="center"/>
    </xf>
    <xf numFmtId="10" fontId="2" fillId="0" borderId="11" xfId="0" applyNumberFormat="1" applyFont="1" applyBorder="1" applyAlignment="1">
      <alignment horizontal="center"/>
    </xf>
    <xf numFmtId="0" fontId="2" fillId="0" borderId="0" xfId="0" applyNumberFormat="1" applyFont="1" applyBorder="1"/>
    <xf numFmtId="0" fontId="10" fillId="0" borderId="0" xfId="0" applyNumberFormat="1" applyFont="1" applyBorder="1"/>
    <xf numFmtId="0" fontId="10" fillId="0" borderId="0" xfId="0" applyNumberFormat="1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Fill="1" applyBorder="1" applyAlignment="1">
      <alignment horizontal="center"/>
    </xf>
    <xf numFmtId="0" fontId="1" fillId="0" borderId="0" xfId="0" applyFont="1" applyFill="1"/>
    <xf numFmtId="0" fontId="0" fillId="0" borderId="11" xfId="0" applyFill="1" applyBorder="1" applyAlignment="1">
      <alignment horizontal="center"/>
    </xf>
    <xf numFmtId="0" fontId="0" fillId="0" borderId="2" xfId="0" applyFont="1" applyFill="1" applyBorder="1"/>
    <xf numFmtId="0" fontId="0" fillId="0" borderId="2" xfId="0" applyFill="1" applyBorder="1"/>
    <xf numFmtId="0" fontId="0" fillId="0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NumberFormat="1" applyFont="1" applyFill="1" applyBorder="1" applyAlignment="1">
      <alignment wrapText="1"/>
    </xf>
    <xf numFmtId="0" fontId="1" fillId="4" borderId="0" xfId="0" applyNumberFormat="1" applyFont="1" applyFill="1"/>
    <xf numFmtId="165" fontId="0" fillId="9" borderId="0" xfId="0" applyNumberFormat="1" applyFont="1" applyFill="1" applyBorder="1" applyAlignment="1">
      <alignment horizontal="center" wrapText="1"/>
    </xf>
    <xf numFmtId="165" fontId="2" fillId="9" borderId="0" xfId="0" applyNumberFormat="1" applyFont="1" applyFill="1" applyBorder="1" applyAlignment="1">
      <alignment horizontal="center" wrapText="1"/>
    </xf>
    <xf numFmtId="0" fontId="0" fillId="4" borderId="0" xfId="0" applyFont="1" applyFill="1"/>
    <xf numFmtId="165" fontId="2" fillId="4" borderId="0" xfId="0" applyNumberFormat="1" applyFont="1" applyFill="1" applyAlignment="1">
      <alignment horizontal="center"/>
    </xf>
    <xf numFmtId="0" fontId="1" fillId="0" borderId="2" xfId="0" applyFont="1" applyFill="1" applyBorder="1" applyAlignment="1">
      <alignment horizontal="center" wrapText="1"/>
    </xf>
    <xf numFmtId="49" fontId="1" fillId="0" borderId="2" xfId="0" applyNumberFormat="1" applyFont="1" applyBorder="1" applyAlignment="1">
      <alignment horizontal="center" wrapText="1"/>
    </xf>
    <xf numFmtId="0" fontId="1" fillId="0" borderId="2" xfId="0" applyFont="1" applyBorder="1" applyAlignment="1">
      <alignment horizontal="center" wrapText="1"/>
    </xf>
    <xf numFmtId="166" fontId="0" fillId="0" borderId="0" xfId="0" applyNumberFormat="1"/>
    <xf numFmtId="165" fontId="2" fillId="4" borderId="0" xfId="0" applyNumberFormat="1" applyFont="1" applyFill="1"/>
    <xf numFmtId="165" fontId="2" fillId="0" borderId="0" xfId="0" applyNumberFormat="1" applyFont="1" applyFill="1" applyBorder="1" applyAlignment="1">
      <alignment horizontal="center" wrapText="1"/>
    </xf>
    <xf numFmtId="165" fontId="11" fillId="0" borderId="0" xfId="0" applyNumberFormat="1" applyFont="1" applyFill="1" applyBorder="1" applyAlignment="1">
      <alignment horizontal="center" wrapText="1"/>
    </xf>
    <xf numFmtId="10" fontId="0" fillId="7" borderId="0" xfId="1" applyNumberFormat="1" applyFont="1" applyFill="1" applyAlignment="1">
      <alignment horizontal="center"/>
    </xf>
    <xf numFmtId="10" fontId="0" fillId="7" borderId="1" xfId="1" applyNumberFormat="1" applyFont="1" applyFill="1" applyBorder="1" applyAlignment="1">
      <alignment horizontal="center"/>
    </xf>
    <xf numFmtId="165" fontId="0" fillId="7" borderId="0" xfId="1" applyNumberFormat="1" applyFont="1" applyFill="1" applyAlignment="1">
      <alignment horizontal="center"/>
    </xf>
    <xf numFmtId="165" fontId="2" fillId="7" borderId="0" xfId="1" applyNumberFormat="1" applyFont="1" applyFill="1" applyAlignment="1">
      <alignment horizontal="center"/>
    </xf>
    <xf numFmtId="165" fontId="0" fillId="7" borderId="1" xfId="1" applyNumberFormat="1" applyFont="1" applyFill="1" applyBorder="1" applyAlignment="1">
      <alignment horizontal="center"/>
    </xf>
    <xf numFmtId="165" fontId="2" fillId="7" borderId="1" xfId="1" applyNumberFormat="1" applyFont="1" applyFill="1" applyBorder="1" applyAlignment="1">
      <alignment horizontal="center"/>
    </xf>
    <xf numFmtId="10" fontId="2" fillId="7" borderId="0" xfId="1" applyNumberFormat="1" applyFont="1" applyFill="1" applyAlignment="1">
      <alignment horizontal="center"/>
    </xf>
    <xf numFmtId="10" fontId="2" fillId="7" borderId="0" xfId="1" applyNumberFormat="1" applyFont="1" applyFill="1" applyBorder="1" applyAlignment="1">
      <alignment horizontal="center"/>
    </xf>
    <xf numFmtId="10" fontId="0" fillId="7" borderId="0" xfId="1" applyNumberFormat="1" applyFont="1" applyFill="1" applyBorder="1" applyAlignment="1">
      <alignment horizontal="center"/>
    </xf>
    <xf numFmtId="10" fontId="8" fillId="7" borderId="1" xfId="1" applyNumberFormat="1" applyFont="1" applyFill="1" applyBorder="1" applyAlignment="1">
      <alignment horizontal="center"/>
    </xf>
    <xf numFmtId="10" fontId="2" fillId="7" borderId="0" xfId="0" applyNumberFormat="1" applyFont="1" applyFill="1" applyAlignment="1">
      <alignment horizontal="center"/>
    </xf>
    <xf numFmtId="166" fontId="0" fillId="7" borderId="0" xfId="0" applyNumberFormat="1" applyFont="1" applyFill="1" applyBorder="1" applyAlignment="1">
      <alignment horizontal="center"/>
    </xf>
    <xf numFmtId="167" fontId="0" fillId="7" borderId="0" xfId="0" applyNumberFormat="1" applyFill="1" applyAlignment="1">
      <alignment horizontal="center"/>
    </xf>
    <xf numFmtId="9" fontId="2" fillId="0" borderId="0" xfId="1" applyFont="1" applyAlignment="1">
      <alignment horizontal="center"/>
    </xf>
    <xf numFmtId="167" fontId="0" fillId="7" borderId="0" xfId="0" applyNumberFormat="1" applyFill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167" fontId="0" fillId="7" borderId="1" xfId="0" applyNumberFormat="1" applyFill="1" applyBorder="1" applyAlignment="1">
      <alignment horizontal="center"/>
    </xf>
    <xf numFmtId="166" fontId="0" fillId="7" borderId="1" xfId="0" applyNumberFormat="1" applyFont="1" applyFill="1" applyBorder="1" applyAlignment="1">
      <alignment horizontal="center"/>
    </xf>
    <xf numFmtId="0" fontId="0" fillId="6" borderId="0" xfId="0" applyFill="1" applyBorder="1" applyAlignment="1">
      <alignment wrapText="1"/>
    </xf>
    <xf numFmtId="9" fontId="0" fillId="6" borderId="0" xfId="0" applyNumberFormat="1" applyFill="1" applyBorder="1" applyAlignment="1">
      <alignment horizontal="center" vertical="top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10" borderId="0" xfId="0" applyFill="1" applyBorder="1" applyAlignment="1">
      <alignment wrapText="1"/>
    </xf>
    <xf numFmtId="165" fontId="0" fillId="10" borderId="0" xfId="0" applyNumberFormat="1" applyFill="1" applyBorder="1" applyAlignment="1">
      <alignment horizontal="center" vertical="top"/>
    </xf>
    <xf numFmtId="0" fontId="0" fillId="11" borderId="0" xfId="0" applyFill="1" applyBorder="1" applyAlignment="1">
      <alignment wrapText="1"/>
    </xf>
    <xf numFmtId="165" fontId="0" fillId="11" borderId="0" xfId="0" applyNumberFormat="1" applyFill="1" applyBorder="1" applyAlignment="1">
      <alignment horizontal="center" vertical="top"/>
    </xf>
    <xf numFmtId="9" fontId="0" fillId="6" borderId="0" xfId="1" applyFont="1" applyFill="1" applyAlignment="1">
      <alignment horizontal="center"/>
    </xf>
    <xf numFmtId="0" fontId="0" fillId="6" borderId="0" xfId="0" applyFill="1" applyAlignment="1">
      <alignment horizontal="center"/>
    </xf>
    <xf numFmtId="9" fontId="0" fillId="6" borderId="1" xfId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9" fontId="0" fillId="6" borderId="11" xfId="1" applyFont="1" applyFill="1" applyBorder="1" applyAlignment="1">
      <alignment horizontal="center"/>
    </xf>
    <xf numFmtId="0" fontId="0" fillId="6" borderId="11" xfId="0" applyFill="1" applyBorder="1"/>
    <xf numFmtId="0" fontId="0" fillId="6" borderId="0" xfId="0" applyFill="1" applyBorder="1" applyAlignment="1">
      <alignment horizontal="center"/>
    </xf>
    <xf numFmtId="9" fontId="0" fillId="6" borderId="0" xfId="1" applyFont="1" applyFill="1" applyBorder="1" applyAlignment="1">
      <alignment horizontal="center"/>
    </xf>
    <xf numFmtId="0" fontId="0" fillId="6" borderId="0" xfId="0" applyFill="1" applyBorder="1"/>
    <xf numFmtId="0" fontId="0" fillId="6" borderId="1" xfId="0" applyFill="1" applyBorder="1"/>
    <xf numFmtId="0" fontId="1" fillId="0" borderId="2" xfId="0" applyFont="1" applyFill="1" applyBorder="1" applyAlignment="1"/>
    <xf numFmtId="0" fontId="0" fillId="0" borderId="0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1" fillId="6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3" fontId="1" fillId="3" borderId="0" xfId="0" applyNumberFormat="1" applyFont="1" applyFill="1" applyAlignment="1">
      <alignment horizontal="center"/>
    </xf>
    <xf numFmtId="3" fontId="0" fillId="0" borderId="0" xfId="0" applyNumberFormat="1" applyFill="1" applyAlignment="1">
      <alignment horizontal="center"/>
    </xf>
    <xf numFmtId="3" fontId="0" fillId="0" borderId="0" xfId="0" applyNumberFormat="1" applyFill="1" applyBorder="1" applyAlignment="1">
      <alignment horizontal="center"/>
    </xf>
    <xf numFmtId="3" fontId="0" fillId="0" borderId="1" xfId="0" applyNumberFormat="1" applyFill="1" applyBorder="1" applyAlignment="1">
      <alignment horizontal="center"/>
    </xf>
    <xf numFmtId="3" fontId="0" fillId="0" borderId="0" xfId="0" applyNumberForma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Annual</a:t>
            </a:r>
            <a:r>
              <a:rPr lang="en-US" baseline="0"/>
              <a:t> Birth Rate (Per 1,000 Women)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val>
            <c:numRef>
              <c:f>Outcomes!$C$3:$H$3</c:f>
              <c:numCache>
                <c:formatCode>General</c:formatCode>
                <c:ptCount val="6"/>
                <c:pt idx="0">
                  <c:v>24</c:v>
                </c:pt>
                <c:pt idx="1">
                  <c:v>90</c:v>
                </c:pt>
                <c:pt idx="2">
                  <c:v>108.3</c:v>
                </c:pt>
                <c:pt idx="3">
                  <c:v>96.5</c:v>
                </c:pt>
                <c:pt idx="4">
                  <c:v>45.9</c:v>
                </c:pt>
                <c:pt idx="5">
                  <c:v>10.199999999999999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8A-4224-B5E4-71E327DE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</c:barChart>
      <c:lineChart>
        <c:grouping val="standard"/>
        <c:varyColors val="0"/>
        <c:ser>
          <c:idx val="0"/>
          <c:order val="0"/>
          <c:tx>
            <c:v>Model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Outcomes!$C$12:$H$12</c:f>
                <c:numCache>
                  <c:formatCode>General</c:formatCode>
                  <c:ptCount val="6"/>
                  <c:pt idx="0">
                    <c:v>18.436253886958092</c:v>
                  </c:pt>
                  <c:pt idx="1">
                    <c:v>25.171059713983809</c:v>
                  </c:pt>
                  <c:pt idx="2">
                    <c:v>21.511727199002237</c:v>
                  </c:pt>
                  <c:pt idx="3">
                    <c:v>26.176304584824834</c:v>
                  </c:pt>
                  <c:pt idx="4">
                    <c:v>16.32805713027421</c:v>
                  </c:pt>
                  <c:pt idx="5">
                    <c:v>12.548357667438379</c:v>
                  </c:pt>
                </c:numCache>
              </c:numRef>
            </c:plus>
            <c:minus>
              <c:numRef>
                <c:f>Outcomes!$C$11:$H$11</c:f>
                <c:numCache>
                  <c:formatCode>General</c:formatCode>
                  <c:ptCount val="6"/>
                  <c:pt idx="0">
                    <c:v>18.838348569493824</c:v>
                  </c:pt>
                  <c:pt idx="1">
                    <c:v>19.051515688395071</c:v>
                  </c:pt>
                  <c:pt idx="2">
                    <c:v>24.73214590902181</c:v>
                  </c:pt>
                  <c:pt idx="3">
                    <c:v>21.56451788751977</c:v>
                  </c:pt>
                  <c:pt idx="4">
                    <c:v>17.851806744817605</c:v>
                  </c:pt>
                  <c:pt idx="5">
                    <c:v>3.7383308178210073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Outcomes!$C$2:$H$2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Outcomes!$C$8:$H$8</c:f>
              <c:numCache>
                <c:formatCode>0</c:formatCode>
                <c:ptCount val="6"/>
                <c:pt idx="0">
                  <c:v>34.090909090909093</c:v>
                </c:pt>
                <c:pt idx="1">
                  <c:v>53.3916247124329</c:v>
                </c:pt>
                <c:pt idx="2">
                  <c:v>62.601376678252578</c:v>
                </c:pt>
                <c:pt idx="3">
                  <c:v>57.581786030061892</c:v>
                </c:pt>
                <c:pt idx="4">
                  <c:v>24.483819946137736</c:v>
                </c:pt>
                <c:pt idx="5">
                  <c:v>3.7383308178210073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8A-4224-B5E4-71E327DE7A77}"/>
            </c:ext>
          </c:extLst>
        </c:ser>
        <c:ser>
          <c:idx val="2"/>
          <c:order val="2"/>
          <c:tx>
            <c:v>Survey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Support!$J$4:$J$9</c:f>
              <c:numCache>
                <c:formatCode>0.0</c:formatCode>
                <c:ptCount val="6"/>
                <c:pt idx="0">
                  <c:v>23.762376237623762</c:v>
                </c:pt>
                <c:pt idx="1">
                  <c:v>103.37552742616033</c:v>
                </c:pt>
                <c:pt idx="2">
                  <c:v>117.64705882352941</c:v>
                </c:pt>
                <c:pt idx="3">
                  <c:v>94.357976653696497</c:v>
                </c:pt>
                <c:pt idx="4">
                  <c:v>59.838895281933254</c:v>
                </c:pt>
                <c:pt idx="5">
                  <c:v>14.120667522464698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32-4378-A4C5-13ADC8333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Annual Unintended Pregnancies </a:t>
            </a:r>
          </a:p>
          <a:p>
            <a:pPr>
              <a:defRPr/>
            </a:pPr>
            <a:r>
              <a:rPr lang="en-US" sz="1400" b="0" i="0" baseline="0">
                <a:effectLst/>
              </a:rPr>
              <a:t>(Per 100 Women)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cat>
            <c:strRef>
              <c:f>Outcomes!$K$2:$R$2</c:f>
              <c:strCache>
                <c:ptCount val="8"/>
                <c:pt idx="0">
                  <c:v>Hormonal Implant</c:v>
                </c:pt>
                <c:pt idx="1">
                  <c:v>Depo-Provera</c:v>
                </c:pt>
                <c:pt idx="2">
                  <c:v>Birth Control Pill</c:v>
                </c:pt>
                <c:pt idx="3">
                  <c:v>Vaginal Ring</c:v>
                </c:pt>
                <c:pt idx="4">
                  <c:v>IUD, coil, or loop</c:v>
                </c:pt>
                <c:pt idx="5">
                  <c:v>Partner's Condom Use</c:v>
                </c:pt>
                <c:pt idx="6">
                  <c:v>Withdrawal</c:v>
                </c:pt>
                <c:pt idx="7">
                  <c:v>Other Method</c:v>
                </c:pt>
              </c:strCache>
            </c:strRef>
          </c:cat>
          <c:val>
            <c:numRef>
              <c:f>Outcomes!$K$3:$R$3</c:f>
              <c:numCache>
                <c:formatCode>General</c:formatCode>
                <c:ptCount val="8"/>
                <c:pt idx="0">
                  <c:v>0.05</c:v>
                </c:pt>
                <c:pt idx="1">
                  <c:v>6</c:v>
                </c:pt>
                <c:pt idx="2">
                  <c:v>9</c:v>
                </c:pt>
                <c:pt idx="3">
                  <c:v>9</c:v>
                </c:pt>
                <c:pt idx="4">
                  <c:v>0.05</c:v>
                </c:pt>
                <c:pt idx="5">
                  <c:v>18</c:v>
                </c:pt>
                <c:pt idx="6">
                  <c:v>22</c:v>
                </c:pt>
                <c:pt idx="7">
                  <c:v>18.670000000000002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A7-4FDB-909E-528E32400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</c:barChart>
      <c:lineChart>
        <c:grouping val="standard"/>
        <c:varyColors val="0"/>
        <c:ser>
          <c:idx val="0"/>
          <c:order val="0"/>
          <c:tx>
            <c:v>Model - Median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Outcomes!$K$12:$R$12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7.6895959007737451</c:v>
                  </c:pt>
                  <c:pt idx="2">
                    <c:v>3.7889002936036444</c:v>
                  </c:pt>
                  <c:pt idx="3">
                    <c:v>13.55698181129214</c:v>
                  </c:pt>
                  <c:pt idx="4">
                    <c:v>0.60455308894406301</c:v>
                  </c:pt>
                  <c:pt idx="5">
                    <c:v>8.7684939026233799</c:v>
                  </c:pt>
                  <c:pt idx="6">
                    <c:v>12.982536764705877</c:v>
                  </c:pt>
                  <c:pt idx="7">
                    <c:v>16.148376623376588</c:v>
                  </c:pt>
                </c:numCache>
              </c:numRef>
            </c:plus>
            <c:minus>
              <c:numRef>
                <c:f>Outcomes!$K$11:$R$11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3.6797728047040099</c:v>
                  </c:pt>
                  <c:pt idx="2">
                    <c:v>2.6140715690959553</c:v>
                  </c:pt>
                  <c:pt idx="3">
                    <c:v>10.529556650246306</c:v>
                  </c:pt>
                  <c:pt idx="4">
                    <c:v>0</c:v>
                  </c:pt>
                  <c:pt idx="5">
                    <c:v>7.6060005362037053</c:v>
                  </c:pt>
                  <c:pt idx="6">
                    <c:v>9.4901315789473681</c:v>
                  </c:pt>
                  <c:pt idx="7">
                    <c:v>12.140692640692642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Outcomes!$K$2:$R$2</c:f>
              <c:strCache>
                <c:ptCount val="8"/>
                <c:pt idx="0">
                  <c:v>Hormonal Implant</c:v>
                </c:pt>
                <c:pt idx="1">
                  <c:v>Depo-Provera</c:v>
                </c:pt>
                <c:pt idx="2">
                  <c:v>Birth Control Pill</c:v>
                </c:pt>
                <c:pt idx="3">
                  <c:v>Vaginal Ring</c:v>
                </c:pt>
                <c:pt idx="4">
                  <c:v>IUD, coil, or loop</c:v>
                </c:pt>
                <c:pt idx="5">
                  <c:v>Partner's Condom Use</c:v>
                </c:pt>
                <c:pt idx="6">
                  <c:v>Withdrawal</c:v>
                </c:pt>
                <c:pt idx="7">
                  <c:v>Other Method</c:v>
                </c:pt>
              </c:strCache>
            </c:strRef>
          </c:cat>
          <c:val>
            <c:numRef>
              <c:f>Outcomes!$K$8:$R$8</c:f>
              <c:numCache>
                <c:formatCode>General</c:formatCode>
                <c:ptCount val="8"/>
                <c:pt idx="0">
                  <c:v>0</c:v>
                </c:pt>
                <c:pt idx="1">
                  <c:v>5.1290481670228507</c:v>
                </c:pt>
                <c:pt idx="2">
                  <c:v>9.587115966558958</c:v>
                </c:pt>
                <c:pt idx="3">
                  <c:v>10.529556650246306</c:v>
                </c:pt>
                <c:pt idx="4">
                  <c:v>0</c:v>
                </c:pt>
                <c:pt idx="5">
                  <c:v>18.683196918632646</c:v>
                </c:pt>
                <c:pt idx="6">
                  <c:v>21.875</c:v>
                </c:pt>
                <c:pt idx="7">
                  <c:v>18.019480519480521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A7-4FDB-909E-528E32400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Risk of Alcohol Exposed Pregnancy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Outcomes!$AO$7:$AU$7</c:f>
                <c:numCache>
                  <c:formatCode>General</c:formatCode>
                  <c:ptCount val="7"/>
                  <c:pt idx="0">
                    <c:v>7.7808516461419612E-3</c:v>
                  </c:pt>
                  <c:pt idx="1">
                    <c:v>1.4860065287659839E-2</c:v>
                  </c:pt>
                  <c:pt idx="2">
                    <c:v>1.8382815850732384E-2</c:v>
                  </c:pt>
                  <c:pt idx="3">
                    <c:v>2.359370190597436E-2</c:v>
                  </c:pt>
                  <c:pt idx="4">
                    <c:v>2.5734716091490265E-2</c:v>
                  </c:pt>
                  <c:pt idx="5">
                    <c:v>3.4322718360082966E-2</c:v>
                  </c:pt>
                  <c:pt idx="6">
                    <c:v>7.821003089968151E-3</c:v>
                  </c:pt>
                </c:numCache>
              </c:numRef>
            </c:plus>
            <c:minus>
              <c:numRef>
                <c:f>Outcomes!$AO$6:$AU$6</c:f>
                <c:numCache>
                  <c:formatCode>General</c:formatCode>
                  <c:ptCount val="7"/>
                  <c:pt idx="0">
                    <c:v>7.7808516461419595E-3</c:v>
                  </c:pt>
                  <c:pt idx="1">
                    <c:v>1.4860065287659839E-2</c:v>
                  </c:pt>
                  <c:pt idx="2">
                    <c:v>1.8382815850732384E-2</c:v>
                  </c:pt>
                  <c:pt idx="3">
                    <c:v>2.3593701905974346E-2</c:v>
                  </c:pt>
                  <c:pt idx="4">
                    <c:v>2.5734716091490265E-2</c:v>
                  </c:pt>
                  <c:pt idx="5">
                    <c:v>3.4322718360082966E-2</c:v>
                  </c:pt>
                  <c:pt idx="6">
                    <c:v>7.821003089968151E-3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accent2"/>
                </a:solidFill>
                <a:round/>
              </a:ln>
              <a:effectLst/>
            </c:spPr>
          </c:errBars>
          <c:cat>
            <c:strRef>
              <c:f>Outcomes!$AO$2:$AU$2</c:f>
              <c:strCache>
                <c:ptCount val="7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  <c:pt idx="6">
                  <c:v>Total</c:v>
                </c:pt>
              </c:strCache>
            </c:strRef>
          </c:cat>
          <c:val>
            <c:numRef>
              <c:f>Outcomes!$AO$3:$AU$3</c:f>
              <c:numCache>
                <c:formatCode>0.0%</c:formatCode>
                <c:ptCount val="7"/>
                <c:pt idx="0">
                  <c:v>1.5495867768595042E-2</c:v>
                </c:pt>
                <c:pt idx="1">
                  <c:v>5.1643192488262914E-2</c:v>
                </c:pt>
                <c:pt idx="2">
                  <c:v>8.0664294187425864E-2</c:v>
                </c:pt>
                <c:pt idx="3">
                  <c:v>0.11966987620357634</c:v>
                </c:pt>
                <c:pt idx="4">
                  <c:v>0.10280373831775701</c:v>
                </c:pt>
                <c:pt idx="5">
                  <c:v>0.13008130081300814</c:v>
                </c:pt>
                <c:pt idx="6">
                  <c:v>7.3823940381928271E-2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E9-4DA8-B51F-2FE30CFEE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</c:barChart>
      <c:lineChart>
        <c:grouping val="standard"/>
        <c:varyColors val="0"/>
        <c:ser>
          <c:idx val="0"/>
          <c:order val="0"/>
          <c:tx>
            <c:v>Model - Median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Outcomes!$AO$12:$AU$12</c:f>
                <c:numCache>
                  <c:formatCode>General</c:formatCode>
                  <c:ptCount val="7"/>
                  <c:pt idx="0">
                    <c:v>9.6936770641935059E-3</c:v>
                  </c:pt>
                  <c:pt idx="1">
                    <c:v>2.0285723134214562E-2</c:v>
                  </c:pt>
                  <c:pt idx="2">
                    <c:v>3.2581428190021799E-2</c:v>
                  </c:pt>
                  <c:pt idx="3">
                    <c:v>2.9144943031463103E-2</c:v>
                  </c:pt>
                  <c:pt idx="4">
                    <c:v>3.8668692426366419E-2</c:v>
                  </c:pt>
                  <c:pt idx="5">
                    <c:v>5.1400145271045167E-2</c:v>
                  </c:pt>
                  <c:pt idx="6">
                    <c:v>1.1596956069145674E-2</c:v>
                  </c:pt>
                </c:numCache>
              </c:numRef>
            </c:plus>
            <c:minus>
              <c:numRef>
                <c:f>Outcomes!$AO$11:$AU$11</c:f>
                <c:numCache>
                  <c:formatCode>General</c:formatCode>
                  <c:ptCount val="7"/>
                  <c:pt idx="0">
                    <c:v>8.7849425484479507E-3</c:v>
                  </c:pt>
                  <c:pt idx="1">
                    <c:v>1.7913087209463507E-2</c:v>
                  </c:pt>
                  <c:pt idx="2">
                    <c:v>2.4533756278861885E-2</c:v>
                  </c:pt>
                  <c:pt idx="3">
                    <c:v>2.5015889932876109E-2</c:v>
                  </c:pt>
                  <c:pt idx="4">
                    <c:v>2.971998285513075E-2</c:v>
                  </c:pt>
                  <c:pt idx="5">
                    <c:v>4.516137510513038E-2</c:v>
                  </c:pt>
                  <c:pt idx="6">
                    <c:v>9.9846458967839669E-3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Outcomes!$AO$2:$AU$2</c:f>
              <c:strCache>
                <c:ptCount val="7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  <c:pt idx="6">
                  <c:v>Total</c:v>
                </c:pt>
              </c:strCache>
            </c:strRef>
          </c:cat>
          <c:val>
            <c:numRef>
              <c:f>Outcomes!$AO$8:$AU$8</c:f>
              <c:numCache>
                <c:formatCode>0.0%</c:formatCode>
                <c:ptCount val="7"/>
                <c:pt idx="0">
                  <c:v>8.7849425484479507E-3</c:v>
                </c:pt>
                <c:pt idx="1">
                  <c:v>3.5123360938578332E-2</c:v>
                </c:pt>
                <c:pt idx="2">
                  <c:v>5.5465074194715885E-2</c:v>
                </c:pt>
                <c:pt idx="3">
                  <c:v>6.6806136680613665E-2</c:v>
                </c:pt>
                <c:pt idx="4">
                  <c:v>7.3631065329357551E-2</c:v>
                </c:pt>
                <c:pt idx="5">
                  <c:v>8.5786375105130375E-2</c:v>
                </c:pt>
                <c:pt idx="6" formatCode="0.0">
                  <c:v>4.7906006197176526E-2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9-4DA8-B51F-2FE30CFEE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Total  Pregnancies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Outcomes!$AW$12</c:f>
                <c:numCache>
                  <c:formatCode>General</c:formatCode>
                  <c:ptCount val="1"/>
                  <c:pt idx="0">
                    <c:v>19.149999999999949</c:v>
                  </c:pt>
                </c:numCache>
              </c:numRef>
            </c:plus>
            <c:minus>
              <c:numRef>
                <c:f>Outcomes!$AW$11</c:f>
                <c:numCache>
                  <c:formatCode>General</c:formatCode>
                  <c:ptCount val="1"/>
                  <c:pt idx="0">
                    <c:v>19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Outcomes!$AW$2</c:f>
              <c:strCache>
                <c:ptCount val="1"/>
                <c:pt idx="0">
                  <c:v>Total Pregnancies</c:v>
                </c:pt>
              </c:strCache>
            </c:strRef>
          </c:cat>
          <c:val>
            <c:numRef>
              <c:f>Outcomes!$AW$8</c:f>
              <c:numCache>
                <c:formatCode>0.0</c:formatCode>
                <c:ptCount val="1"/>
                <c:pt idx="0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A1-4AEF-80AA-C210798AB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Percentage Drank Last Month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Survey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Outcomes!$BR$6:$BW$6</c:f>
                <c:numCache>
                  <c:formatCode>General</c:formatCode>
                  <c:ptCount val="6"/>
                  <c:pt idx="0">
                    <c:v>2.8688907789015672E-2</c:v>
                  </c:pt>
                  <c:pt idx="1">
                    <c:v>2.78224207465676E-2</c:v>
                  </c:pt>
                  <c:pt idx="2">
                    <c:v>1.944343754987421E-2</c:v>
                  </c:pt>
                  <c:pt idx="3">
                    <c:v>3.6639150770192863E-2</c:v>
                  </c:pt>
                  <c:pt idx="4">
                    <c:v>6.078684160141834E-2</c:v>
                  </c:pt>
                  <c:pt idx="5">
                    <c:v>4.2429363593343178E-2</c:v>
                  </c:pt>
                </c:numCache>
              </c:numRef>
            </c:plus>
            <c:minus>
              <c:numRef>
                <c:f>Outcomes!$BR$6:$BW$6</c:f>
                <c:numCache>
                  <c:formatCode>General</c:formatCode>
                  <c:ptCount val="6"/>
                  <c:pt idx="0">
                    <c:v>2.8688907789015672E-2</c:v>
                  </c:pt>
                  <c:pt idx="1">
                    <c:v>2.78224207465676E-2</c:v>
                  </c:pt>
                  <c:pt idx="2">
                    <c:v>1.944343754987421E-2</c:v>
                  </c:pt>
                  <c:pt idx="3">
                    <c:v>3.6639150770192863E-2</c:v>
                  </c:pt>
                  <c:pt idx="4">
                    <c:v>6.078684160141834E-2</c:v>
                  </c:pt>
                  <c:pt idx="5">
                    <c:v>4.2429363593343178E-2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Outcomes!$BR$2:$BW$2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Outcomes!$BR$3:$BW$3</c:f>
              <c:numCache>
                <c:formatCode>0.0%</c:formatCode>
                <c:ptCount val="6"/>
                <c:pt idx="0">
                  <c:v>0.60538116591928248</c:v>
                </c:pt>
                <c:pt idx="1">
                  <c:v>0.37735849056603776</c:v>
                </c:pt>
                <c:pt idx="2">
                  <c:v>0.69142066420664205</c:v>
                </c:pt>
                <c:pt idx="3">
                  <c:v>0.59420289855072461</c:v>
                </c:pt>
                <c:pt idx="4">
                  <c:v>0.63485477178423233</c:v>
                </c:pt>
                <c:pt idx="5">
                  <c:v>0.13360323886639677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11-45C3-97D3-19D921017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</c:barChart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Outcomes!$BR$12:$BW$12</c:f>
                <c:numCache>
                  <c:formatCode>General</c:formatCode>
                  <c:ptCount val="6"/>
                  <c:pt idx="0">
                    <c:v>5.0132997118666589E-2</c:v>
                  </c:pt>
                  <c:pt idx="1">
                    <c:v>5.0042995899260978E-2</c:v>
                  </c:pt>
                  <c:pt idx="2">
                    <c:v>2.7300215449319265E-2</c:v>
                  </c:pt>
                  <c:pt idx="3">
                    <c:v>4.3992858313655736E-2</c:v>
                  </c:pt>
                  <c:pt idx="4">
                    <c:v>0.11838870465896989</c:v>
                  </c:pt>
                  <c:pt idx="5">
                    <c:v>8.9017844900197651E-2</c:v>
                  </c:pt>
                </c:numCache>
              </c:numRef>
            </c:plus>
            <c:minus>
              <c:numRef>
                <c:f>Outcomes!$BR$11:$BW$11</c:f>
                <c:numCache>
                  <c:formatCode>General</c:formatCode>
                  <c:ptCount val="6"/>
                  <c:pt idx="0">
                    <c:v>5.0630056091893749E-2</c:v>
                  </c:pt>
                  <c:pt idx="1">
                    <c:v>3.9810186453918206E-2</c:v>
                  </c:pt>
                  <c:pt idx="2">
                    <c:v>3.0871400705457686E-2</c:v>
                  </c:pt>
                  <c:pt idx="3">
                    <c:v>6.0074500072450965E-2</c:v>
                  </c:pt>
                  <c:pt idx="4">
                    <c:v>0.13047672134628652</c:v>
                  </c:pt>
                  <c:pt idx="5">
                    <c:v>7.7422194669265393E-2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Outcomes!$BR$2:$BW$2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Outcomes!$BR$8:$BW$8</c:f>
              <c:numCache>
                <c:formatCode>0.0%</c:formatCode>
                <c:ptCount val="6"/>
                <c:pt idx="0">
                  <c:v>0.61491802328949663</c:v>
                </c:pt>
                <c:pt idx="1">
                  <c:v>0.50739462209302322</c:v>
                </c:pt>
                <c:pt idx="2">
                  <c:v>0.72154361261463951</c:v>
                </c:pt>
                <c:pt idx="3">
                  <c:v>0.61963395456218429</c:v>
                </c:pt>
                <c:pt idx="4">
                  <c:v>0.63828502415458932</c:v>
                </c:pt>
                <c:pt idx="5">
                  <c:v>0.15535444947209653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11-45C3-97D3-19D921017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Age-Distribution of Suscesuful Pregnancies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Outcomes!$AE$7:$AJ$7</c:f>
                <c:numCache>
                  <c:formatCode>General</c:formatCode>
                  <c:ptCount val="6"/>
                  <c:pt idx="0">
                    <c:v>1.0125134241585895E-2</c:v>
                  </c:pt>
                  <c:pt idx="1">
                    <c:v>1.5737954692737005E-2</c:v>
                  </c:pt>
                  <c:pt idx="2">
                    <c:v>1.5569687770296659E-2</c:v>
                  </c:pt>
                  <c:pt idx="3">
                    <c:v>1.3756127228974298E-2</c:v>
                  </c:pt>
                  <c:pt idx="4">
                    <c:v>9.9698188954174816E-3</c:v>
                  </c:pt>
                  <c:pt idx="5">
                    <c:v>5.0190642063635254E-3</c:v>
                  </c:pt>
                </c:numCache>
              </c:numRef>
            </c:plus>
            <c:minus>
              <c:numRef>
                <c:f>Outcomes!$AE$6:$AJ$6</c:f>
                <c:numCache>
                  <c:formatCode>General</c:formatCode>
                  <c:ptCount val="6"/>
                  <c:pt idx="0">
                    <c:v>1.0125134241585891E-2</c:v>
                  </c:pt>
                  <c:pt idx="1">
                    <c:v>1.5737954692737005E-2</c:v>
                  </c:pt>
                  <c:pt idx="2">
                    <c:v>1.5569687770296659E-2</c:v>
                  </c:pt>
                  <c:pt idx="3">
                    <c:v>1.3756127228974298E-2</c:v>
                  </c:pt>
                  <c:pt idx="4">
                    <c:v>9.9698188954174798E-3</c:v>
                  </c:pt>
                  <c:pt idx="5">
                    <c:v>5.0190642063635254E-3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Outcomes!$AE$2:$AJ$2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Outcomes!$AE$3:$AJ$3</c:f>
              <c:numCache>
                <c:formatCode>0.0%</c:formatCode>
                <c:ptCount val="6"/>
                <c:pt idx="0">
                  <c:v>2.7722772277227723E-2</c:v>
                </c:pt>
                <c:pt idx="1">
                  <c:v>6.5400843881856546E-2</c:v>
                </c:pt>
                <c:pt idx="2">
                  <c:v>7.0395371263259399E-2</c:v>
                </c:pt>
                <c:pt idx="3">
                  <c:v>5.3501945525291826E-2</c:v>
                </c:pt>
                <c:pt idx="4">
                  <c:v>2.3014959723820484E-2</c:v>
                </c:pt>
                <c:pt idx="5">
                  <c:v>5.1347881899871627E-3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30-491C-B29A-DECECE2EA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</c:barChart>
      <c:lineChart>
        <c:grouping val="standard"/>
        <c:varyColors val="0"/>
        <c:ser>
          <c:idx val="0"/>
          <c:order val="0"/>
          <c:tx>
            <c:v>Model-Median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Outcomes!$AE$12:$AK$12</c:f>
                <c:numCache>
                  <c:formatCode>General</c:formatCode>
                  <c:ptCount val="7"/>
                  <c:pt idx="0">
                    <c:v>1.5219523568503507E-2</c:v>
                  </c:pt>
                  <c:pt idx="1">
                    <c:v>2.3296860688125878E-2</c:v>
                  </c:pt>
                  <c:pt idx="2">
                    <c:v>2.556728604886406E-2</c:v>
                  </c:pt>
                  <c:pt idx="3">
                    <c:v>3.0817882592296383E-2</c:v>
                  </c:pt>
                  <c:pt idx="4">
                    <c:v>1.8356007783913275E-2</c:v>
                  </c:pt>
                  <c:pt idx="5">
                    <c:v>4.6696842639424741E-3</c:v>
                  </c:pt>
                </c:numCache>
              </c:numRef>
            </c:plus>
            <c:minus>
              <c:numRef>
                <c:f>Outcomes!$AE$11:$AK$11</c:f>
                <c:numCache>
                  <c:formatCode>General</c:formatCode>
                  <c:ptCount val="7"/>
                  <c:pt idx="0">
                    <c:v>1.6938689306531703E-2</c:v>
                  </c:pt>
                  <c:pt idx="1">
                    <c:v>2.5998907475269499E-2</c:v>
                  </c:pt>
                  <c:pt idx="2">
                    <c:v>2.4022820114396728E-2</c:v>
                  </c:pt>
                  <c:pt idx="3">
                    <c:v>2.2819882571932112E-2</c:v>
                  </c:pt>
                  <c:pt idx="4">
                    <c:v>1.5914510232570338E-2</c:v>
                  </c:pt>
                  <c:pt idx="5">
                    <c:v>3.2419842202450898E-3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Outcomes!$AE$2:$AJ$2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Outcomes!$AE$8:$AJ$8</c:f>
              <c:numCache>
                <c:formatCode>0.0%</c:formatCode>
                <c:ptCount val="6"/>
                <c:pt idx="0">
                  <c:v>3.5098313165518168E-2</c:v>
                </c:pt>
                <c:pt idx="1">
                  <c:v>6.8148297719171941E-2</c:v>
                </c:pt>
                <c:pt idx="2">
                  <c:v>7.0652173913043473E-2</c:v>
                </c:pt>
                <c:pt idx="3">
                  <c:v>5.5402087170042968E-2</c:v>
                </c:pt>
                <c:pt idx="4">
                  <c:v>2.2418063682377858E-2</c:v>
                </c:pt>
                <c:pt idx="5">
                  <c:v>3.2419842202450898E-3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30-491C-B29A-DECECE2EA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Precentage Had Sex Last Month </a:t>
            </a:r>
            <a:br>
              <a:rPr lang="en-US" sz="1400" b="0" i="0" baseline="0">
                <a:effectLst/>
              </a:rPr>
            </a:br>
            <a:r>
              <a:rPr lang="en-US" sz="1400" b="0" i="0" baseline="0">
                <a:effectLst/>
              </a:rPr>
              <a:t>(Nonpregnant, Nonsterile, No Contraception)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Outcomes!$CK$7:$CP$7</c:f>
                <c:numCache>
                  <c:formatCode>General</c:formatCode>
                  <c:ptCount val="6"/>
                  <c:pt idx="0">
                    <c:v>1.4828581548244624E-2</c:v>
                  </c:pt>
                  <c:pt idx="1">
                    <c:v>4.9488806274939512E-2</c:v>
                  </c:pt>
                  <c:pt idx="2">
                    <c:v>5.4684953349349252E-2</c:v>
                  </c:pt>
                  <c:pt idx="3">
                    <c:v>5.9100340722220979E-2</c:v>
                  </c:pt>
                  <c:pt idx="4">
                    <c:v>6.4412729965457161E-2</c:v>
                  </c:pt>
                  <c:pt idx="5">
                    <c:v>7.1620603700779939E-2</c:v>
                  </c:pt>
                </c:numCache>
              </c:numRef>
            </c:plus>
            <c:minus>
              <c:numRef>
                <c:f>Outcomes!$CK$6:$CP$6</c:f>
                <c:numCache>
                  <c:formatCode>General</c:formatCode>
                  <c:ptCount val="6"/>
                  <c:pt idx="0">
                    <c:v>1.4828581548244624E-2</c:v>
                  </c:pt>
                  <c:pt idx="1">
                    <c:v>4.948880627493954E-2</c:v>
                  </c:pt>
                  <c:pt idx="2">
                    <c:v>5.4684953349349252E-2</c:v>
                  </c:pt>
                  <c:pt idx="3">
                    <c:v>5.9100340722220979E-2</c:v>
                  </c:pt>
                  <c:pt idx="4">
                    <c:v>6.4412729965457161E-2</c:v>
                  </c:pt>
                  <c:pt idx="5">
                    <c:v>7.1620603700779939E-2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Outcomes!$CK$2:$CP$2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Outcomes!$CK$3:$CP$3</c:f>
              <c:numCache>
                <c:formatCode>0.0%</c:formatCode>
                <c:ptCount val="6"/>
                <c:pt idx="0">
                  <c:v>3.8580246913580245E-2</c:v>
                </c:pt>
                <c:pt idx="1">
                  <c:v>0.25503355704697989</c:v>
                </c:pt>
                <c:pt idx="2">
                  <c:v>0.36577181208053694</c:v>
                </c:pt>
                <c:pt idx="3">
                  <c:v>0.45787545787545786</c:v>
                </c:pt>
                <c:pt idx="4">
                  <c:v>0.39366515837104071</c:v>
                </c:pt>
                <c:pt idx="5">
                  <c:v>0.40883977900552487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0C-416F-BA31-9CC70A9A3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</c:barChart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Outcomes!$CK$12:$CP$12</c:f>
                <c:numCache>
                  <c:formatCode>General</c:formatCode>
                  <c:ptCount val="6"/>
                  <c:pt idx="0">
                    <c:v>2.1661186031729292E-2</c:v>
                  </c:pt>
                  <c:pt idx="1">
                    <c:v>6.557246486637483E-2</c:v>
                  </c:pt>
                  <c:pt idx="2">
                    <c:v>9.2293119736286677E-2</c:v>
                  </c:pt>
                  <c:pt idx="3">
                    <c:v>9.2641129032257963E-2</c:v>
                  </c:pt>
                  <c:pt idx="4">
                    <c:v>9.9714949324324231E-2</c:v>
                  </c:pt>
                  <c:pt idx="5">
                    <c:v>0.10769662690250914</c:v>
                  </c:pt>
                </c:numCache>
              </c:numRef>
            </c:plus>
            <c:minus>
              <c:numRef>
                <c:f>Outcomes!$CK$11:$CP$11</c:f>
                <c:numCache>
                  <c:formatCode>General</c:formatCode>
                  <c:ptCount val="6"/>
                  <c:pt idx="0">
                    <c:v>1.3698633625841847E-2</c:v>
                  </c:pt>
                  <c:pt idx="1">
                    <c:v>6.5096304306159883E-2</c:v>
                  </c:pt>
                  <c:pt idx="2">
                    <c:v>7.2862927692408236E-2</c:v>
                  </c:pt>
                  <c:pt idx="3">
                    <c:v>0.11211094377510039</c:v>
                  </c:pt>
                  <c:pt idx="4">
                    <c:v>9.5327190827190822E-2</c:v>
                  </c:pt>
                  <c:pt idx="5">
                    <c:v>9.6168474675447618E-2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Outcomes!$CK$2:$CP$2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Outcomes!$CK$8:$CP$8</c:f>
              <c:numCache>
                <c:formatCode>0.0%</c:formatCode>
                <c:ptCount val="6"/>
                <c:pt idx="0">
                  <c:v>2.1877790534506954E-2</c:v>
                </c:pt>
                <c:pt idx="1">
                  <c:v>0.15721610039791858</c:v>
                </c:pt>
                <c:pt idx="2">
                  <c:v>0.27998432192317746</c:v>
                </c:pt>
                <c:pt idx="3">
                  <c:v>0.36354166666666665</c:v>
                </c:pt>
                <c:pt idx="4">
                  <c:v>0.3506756756756757</c:v>
                </c:pt>
                <c:pt idx="5">
                  <c:v>0.3083916083916084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0C-416F-BA31-9CC70A9A3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Precentage Drank Last Month </a:t>
            </a:r>
            <a:br>
              <a:rPr lang="en-US" sz="1400" b="0" i="0" baseline="0">
                <a:effectLst/>
              </a:rPr>
            </a:br>
            <a:r>
              <a:rPr lang="en-US" sz="1400" b="0" i="0" baseline="0">
                <a:effectLst/>
              </a:rPr>
              <a:t>(Nonpregnant, Nonsterile)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Outcomes!$CA$6:$CF$6</c:f>
                <c:numCache>
                  <c:formatCode>General</c:formatCode>
                  <c:ptCount val="6"/>
                  <c:pt idx="0">
                    <c:v>3.0087777248906655E-2</c:v>
                  </c:pt>
                  <c:pt idx="1">
                    <c:v>3.137151223547352E-2</c:v>
                  </c:pt>
                  <c:pt idx="2">
                    <c:v>3.1789916183487477E-2</c:v>
                  </c:pt>
                  <c:pt idx="3">
                    <c:v>3.4502546999134021E-2</c:v>
                  </c:pt>
                  <c:pt idx="4">
                    <c:v>4.1535622197082733E-2</c:v>
                  </c:pt>
                  <c:pt idx="5">
                    <c:v>4.9721794197592706E-2</c:v>
                  </c:pt>
                </c:numCache>
              </c:numRef>
            </c:plus>
            <c:minus>
              <c:numRef>
                <c:f>Outcomes!$CA$7:$CF$7</c:f>
                <c:numCache>
                  <c:formatCode>General</c:formatCode>
                  <c:ptCount val="6"/>
                  <c:pt idx="0">
                    <c:v>3.0087777248906655E-2</c:v>
                  </c:pt>
                  <c:pt idx="1">
                    <c:v>3.137151223547352E-2</c:v>
                  </c:pt>
                  <c:pt idx="2">
                    <c:v>3.1789916183487477E-2</c:v>
                  </c:pt>
                  <c:pt idx="3">
                    <c:v>3.4502546999134021E-2</c:v>
                  </c:pt>
                  <c:pt idx="4">
                    <c:v>4.1535622197082733E-2</c:v>
                  </c:pt>
                  <c:pt idx="5">
                    <c:v>4.9721794197592706E-2</c:v>
                  </c:pt>
                </c:numCache>
              </c:numRef>
            </c:minus>
            <c:spPr>
              <a:noFill/>
              <a:ln w="15875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Outcomes!$CA$2:$CF$2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Outcomes!$CA$3:$CF$3</c:f>
              <c:numCache>
                <c:formatCode>0.0%</c:formatCode>
                <c:ptCount val="6"/>
                <c:pt idx="0">
                  <c:v>0.34583333333333333</c:v>
                </c:pt>
                <c:pt idx="1">
                  <c:v>0.68446026097271651</c:v>
                </c:pt>
                <c:pt idx="2">
                  <c:v>0.67264038231780165</c:v>
                </c:pt>
                <c:pt idx="3">
                  <c:v>0.66204986149584488</c:v>
                </c:pt>
                <c:pt idx="4">
                  <c:v>0.60943396226415092</c:v>
                </c:pt>
                <c:pt idx="5">
                  <c:v>0.6202185792349727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6-4A65-8D0C-4C2333F80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</c:barChart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Outcomes!$CA$12:$CF$12</c:f>
                <c:numCache>
                  <c:formatCode>General</c:formatCode>
                  <c:ptCount val="6"/>
                  <c:pt idx="0">
                    <c:v>5.269193713642073E-2</c:v>
                  </c:pt>
                  <c:pt idx="1">
                    <c:v>4.7452380952380913E-2</c:v>
                  </c:pt>
                  <c:pt idx="2">
                    <c:v>3.8465442699884611E-2</c:v>
                  </c:pt>
                  <c:pt idx="3">
                    <c:v>4.8641577932159175E-2</c:v>
                  </c:pt>
                  <c:pt idx="4">
                    <c:v>7.2088479700090802E-2</c:v>
                  </c:pt>
                  <c:pt idx="5">
                    <c:v>8.799464979464966E-2</c:v>
                  </c:pt>
                </c:numCache>
              </c:numRef>
            </c:plus>
            <c:minus>
              <c:numRef>
                <c:f>Outcomes!$CA$11:$CF$11</c:f>
                <c:numCache>
                  <c:formatCode>General</c:formatCode>
                  <c:ptCount val="6"/>
                  <c:pt idx="0">
                    <c:v>5.3461880756784819E-2</c:v>
                  </c:pt>
                  <c:pt idx="1">
                    <c:v>7.2538862980235375E-2</c:v>
                  </c:pt>
                  <c:pt idx="2">
                    <c:v>4.5563209204261157E-2</c:v>
                  </c:pt>
                  <c:pt idx="3">
                    <c:v>5.0572720991492903E-2</c:v>
                  </c:pt>
                  <c:pt idx="4">
                    <c:v>5.4741951186616178E-2</c:v>
                  </c:pt>
                  <c:pt idx="5">
                    <c:v>7.6178427128427151E-2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Outcomes!$CA$2:$CF$2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Outcomes!$CA$8:$CF$8</c:f>
              <c:numCache>
                <c:formatCode>0.0%</c:formatCode>
                <c:ptCount val="6"/>
                <c:pt idx="0">
                  <c:v>0.53580694955333685</c:v>
                </c:pt>
                <c:pt idx="1">
                  <c:v>0.69333333333333336</c:v>
                </c:pt>
                <c:pt idx="2">
                  <c:v>0.69698780413066119</c:v>
                </c:pt>
                <c:pt idx="3">
                  <c:v>0.665994623655914</c:v>
                </c:pt>
                <c:pt idx="4">
                  <c:v>0.61940076761173701</c:v>
                </c:pt>
                <c:pt idx="5">
                  <c:v>0.6271284271284272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06-4A65-8D0C-4C2333F80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Distribution in Risk-Behavior Groups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Survey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Outcomes!$V$7:$AA$7</c:f>
                <c:numCache>
                  <c:formatCode>General</c:formatCode>
                  <c:ptCount val="6"/>
                </c:numCache>
              </c:numRef>
            </c:plus>
            <c:minus>
              <c:numRef>
                <c:f>Outcomes!$V$6:$AA$6</c:f>
                <c:numCache>
                  <c:formatCode>General</c:formatCode>
                  <c:ptCount val="6"/>
                </c:numCache>
              </c:numRef>
            </c:minus>
            <c:spPr>
              <a:noFill/>
              <a:ln w="25400" cap="flat" cmpd="sng" algn="ctr">
                <a:solidFill>
                  <a:schemeClr val="accent2"/>
                </a:solidFill>
                <a:round/>
              </a:ln>
              <a:effectLst/>
            </c:spPr>
          </c:errBars>
          <c:cat>
            <c:strRef>
              <c:f>Outcomes!$V$2:$AA$2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Outcomes!$V$3:$AA$3</c:f>
              <c:numCache>
                <c:formatCode>0.0%</c:formatCode>
                <c:ptCount val="6"/>
                <c:pt idx="0">
                  <c:v>0.19652570626425689</c:v>
                </c:pt>
                <c:pt idx="1">
                  <c:v>0.20635199157746972</c:v>
                </c:pt>
                <c:pt idx="2">
                  <c:v>0.38340059659589404</c:v>
                </c:pt>
                <c:pt idx="3">
                  <c:v>0.12282856641516056</c:v>
                </c:pt>
                <c:pt idx="4">
                  <c:v>4.228812072293385E-2</c:v>
                </c:pt>
                <c:pt idx="5">
                  <c:v>4.3691875767678537E-2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0F-4631-A10F-DAE60CAB5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</c:barChart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Outcomes!$V$12:$AA$12</c:f>
                <c:numCache>
                  <c:formatCode>General</c:formatCode>
                  <c:ptCount val="6"/>
                  <c:pt idx="0">
                    <c:v>1.8549999999999983E-2</c:v>
                  </c:pt>
                  <c:pt idx="1">
                    <c:v>1.4000000000000012E-2</c:v>
                  </c:pt>
                  <c:pt idx="2">
                    <c:v>2.5262500000000021E-2</c:v>
                  </c:pt>
                  <c:pt idx="3">
                    <c:v>1.3249999999999984E-2</c:v>
                  </c:pt>
                  <c:pt idx="4">
                    <c:v>8.262499999999999E-3</c:v>
                  </c:pt>
                  <c:pt idx="5">
                    <c:v>9.5749999999999724E-3</c:v>
                  </c:pt>
                </c:numCache>
              </c:numRef>
            </c:plus>
            <c:minus>
              <c:numRef>
                <c:f>Outcomes!$V$11:$AA$11</c:f>
                <c:numCache>
                  <c:formatCode>General</c:formatCode>
                  <c:ptCount val="6"/>
                  <c:pt idx="0">
                    <c:v>2.1000000000000019E-2</c:v>
                  </c:pt>
                  <c:pt idx="1">
                    <c:v>1.9762499999999988E-2</c:v>
                  </c:pt>
                  <c:pt idx="2">
                    <c:v>1.9262500000000016E-2</c:v>
                  </c:pt>
                  <c:pt idx="3">
                    <c:v>1.2750000000000011E-2</c:v>
                  </c:pt>
                  <c:pt idx="4">
                    <c:v>9.7625000000000003E-3</c:v>
                  </c:pt>
                  <c:pt idx="5">
                    <c:v>9.4999999999999946E-3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Outcomes!$V$2:$AA$2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Outcomes!$V$8:$AA$8</c:f>
              <c:numCache>
                <c:formatCode>0.0%</c:formatCode>
                <c:ptCount val="6"/>
                <c:pt idx="0">
                  <c:v>0.2</c:v>
                </c:pt>
                <c:pt idx="1">
                  <c:v>0.2155</c:v>
                </c:pt>
                <c:pt idx="2">
                  <c:v>0.3765</c:v>
                </c:pt>
                <c:pt idx="3">
                  <c:v>0.13225000000000001</c:v>
                </c:pt>
                <c:pt idx="4">
                  <c:v>3.1E-2</c:v>
                </c:pt>
                <c:pt idx="5">
                  <c:v>4.4499999999999998E-2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0F-4631-A10F-DAE60CAB5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Percentage Pregnancies Exposed to Alcohol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5255888"/>
        <c:axId val="52525654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errBars>
                  <c:errBarType val="both"/>
                  <c:errValType val="cust"/>
                  <c:noEndCap val="0"/>
                  <c:plus>
                    <c:numRef>
                      <c:extLst>
                        <c:ext uri="{02D57815-91ED-43cb-92C2-25804820EDAC}">
                          <c15:formulaRef>
                            <c15:sqref>Outcomes!$AO$7:$AU$7</c15:sqref>
                          </c15:formulaRef>
                        </c:ext>
                      </c:extLst>
                      <c:numCache>
                        <c:formatCode>General</c:formatCode>
                        <c:ptCount val="7"/>
                        <c:pt idx="0">
                          <c:v>7.7808516461419612E-3</c:v>
                        </c:pt>
                        <c:pt idx="1">
                          <c:v>1.4860065287659839E-2</c:v>
                        </c:pt>
                        <c:pt idx="2">
                          <c:v>1.8382815850732384E-2</c:v>
                        </c:pt>
                        <c:pt idx="3">
                          <c:v>2.359370190597436E-2</c:v>
                        </c:pt>
                        <c:pt idx="4">
                          <c:v>2.5734716091490265E-2</c:v>
                        </c:pt>
                        <c:pt idx="5">
                          <c:v>3.4322718360082966E-2</c:v>
                        </c:pt>
                        <c:pt idx="6">
                          <c:v>7.821003089968151E-3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Outcomes!$AO$6:$AU$6</c15:sqref>
                          </c15:formulaRef>
                        </c:ext>
                      </c:extLst>
                      <c:numCache>
                        <c:formatCode>General</c:formatCode>
                        <c:ptCount val="7"/>
                        <c:pt idx="0">
                          <c:v>7.7808516461419595E-3</c:v>
                        </c:pt>
                        <c:pt idx="1">
                          <c:v>1.4860065287659839E-2</c:v>
                        </c:pt>
                        <c:pt idx="2">
                          <c:v>1.8382815850732384E-2</c:v>
                        </c:pt>
                        <c:pt idx="3">
                          <c:v>2.3593701905974346E-2</c:v>
                        </c:pt>
                        <c:pt idx="4">
                          <c:v>2.5734716091490265E-2</c:v>
                        </c:pt>
                        <c:pt idx="5">
                          <c:v>3.4322718360082966E-2</c:v>
                        </c:pt>
                        <c:pt idx="6">
                          <c:v>7.821003089968151E-3</c:v>
                        </c:pt>
                      </c:numCache>
                    </c:numRef>
                  </c:minus>
                  <c:spPr>
                    <a:noFill/>
                    <a:ln w="25400" cap="flat" cmpd="sng" algn="ctr">
                      <a:solidFill>
                        <a:schemeClr val="accent2"/>
                      </a:solidFill>
                      <a:round/>
                    </a:ln>
                    <a:effectLst/>
                  </c:spPr>
                </c:errBars>
                <c:cat>
                  <c:strRef>
                    <c:extLst>
                      <c:ext uri="{02D57815-91ED-43cb-92C2-25804820EDAC}">
                        <c15:formulaRef>
                          <c15:sqref>Outcomes!$BB$2:$BH$2</c15:sqref>
                        </c15:formulaRef>
                      </c:ext>
                    </c:extLst>
                    <c:strCache>
                      <c:ptCount val="7"/>
                      <c:pt idx="0">
                        <c:v>15-19</c:v>
                      </c:pt>
                      <c:pt idx="1">
                        <c:v>20-24</c:v>
                      </c:pt>
                      <c:pt idx="2">
                        <c:v>25-29</c:v>
                      </c:pt>
                      <c:pt idx="3">
                        <c:v>30-34</c:v>
                      </c:pt>
                      <c:pt idx="4">
                        <c:v>35-39</c:v>
                      </c:pt>
                      <c:pt idx="5">
                        <c:v>40-44</c:v>
                      </c:pt>
                      <c:pt idx="6">
                        <c:v>Total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Outcomes!$BB$3:$BH$3</c15:sqref>
                        </c15:formulaRef>
                      </c:ext>
                    </c:extLst>
                    <c:numCache>
                      <c:formatCode>0.0%</c:formatCode>
                      <c:ptCount val="7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BF87-46A0-B234-67E799A6F71B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Outcomes!$BB$12:$BH$12</c:f>
                <c:numCache>
                  <c:formatCode>General</c:formatCode>
                  <c:ptCount val="7"/>
                  <c:pt idx="0">
                    <c:v>0.2142857142857143</c:v>
                  </c:pt>
                  <c:pt idx="1">
                    <c:v>0.15385154061624606</c:v>
                  </c:pt>
                  <c:pt idx="2">
                    <c:v>0.15546218487394958</c:v>
                  </c:pt>
                  <c:pt idx="3">
                    <c:v>0.1874509803921568</c:v>
                  </c:pt>
                  <c:pt idx="4">
                    <c:v>0.33333333333333337</c:v>
                  </c:pt>
                  <c:pt idx="5">
                    <c:v>0.5</c:v>
                  </c:pt>
                  <c:pt idx="6">
                    <c:v>9.5958062793377596E-2</c:v>
                  </c:pt>
                </c:numCache>
              </c:numRef>
            </c:plus>
            <c:minus>
              <c:numRef>
                <c:f>Outcomes!$BB$11:$BH$11</c:f>
                <c:numCache>
                  <c:formatCode>General</c:formatCode>
                  <c:ptCount val="7"/>
                  <c:pt idx="0">
                    <c:v>0.32321428571428568</c:v>
                  </c:pt>
                  <c:pt idx="1">
                    <c:v>0.23529411764705876</c:v>
                  </c:pt>
                  <c:pt idx="2">
                    <c:v>0.19543650793650791</c:v>
                  </c:pt>
                  <c:pt idx="3">
                    <c:v>0.23611111111111116</c:v>
                  </c:pt>
                  <c:pt idx="4">
                    <c:v>0.66666666666666663</c:v>
                  </c:pt>
                  <c:pt idx="5">
                    <c:v>0.5</c:v>
                  </c:pt>
                  <c:pt idx="6">
                    <c:v>0.10194859038142612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Outcomes!$BB$2:$BH$2</c:f>
              <c:strCache>
                <c:ptCount val="7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  <c:pt idx="6">
                  <c:v>Total</c:v>
                </c:pt>
              </c:strCache>
            </c:strRef>
          </c:cat>
          <c:val>
            <c:numRef>
              <c:f>Outcomes!$BB$8:$BH$8</c:f>
              <c:numCache>
                <c:formatCode>0.0%</c:formatCode>
                <c:ptCount val="7"/>
                <c:pt idx="0">
                  <c:v>0.7857142857142857</c:v>
                </c:pt>
                <c:pt idx="1">
                  <c:v>0.82352941176470584</c:v>
                </c:pt>
                <c:pt idx="2">
                  <c:v>0.7857142857142857</c:v>
                </c:pt>
                <c:pt idx="3">
                  <c:v>0.75</c:v>
                </c:pt>
                <c:pt idx="4">
                  <c:v>0.66666666666666663</c:v>
                </c:pt>
                <c:pt idx="5">
                  <c:v>0.5</c:v>
                </c:pt>
                <c:pt idx="6">
                  <c:v>0.77694859038142616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87-46A0-B234-67E799A6F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Pathways to an Alcohol-Exposed Pregnancy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Outcomes!$BK$12:$BN$12</c:f>
                <c:numCache>
                  <c:formatCode>General</c:formatCode>
                  <c:ptCount val="4"/>
                  <c:pt idx="0">
                    <c:v>6.8341778821300825E-2</c:v>
                  </c:pt>
                  <c:pt idx="1">
                    <c:v>7.0473981871313152E-2</c:v>
                  </c:pt>
                  <c:pt idx="2">
                    <c:v>0.10135602215577527</c:v>
                  </c:pt>
                  <c:pt idx="3">
                    <c:v>8.9412124027806406E-2</c:v>
                  </c:pt>
                </c:numCache>
              </c:numRef>
            </c:plus>
            <c:minus>
              <c:numRef>
                <c:f>Outcomes!$BK$11:$BN$11</c:f>
                <c:numCache>
                  <c:formatCode>General</c:formatCode>
                  <c:ptCount val="4"/>
                  <c:pt idx="0">
                    <c:v>5.6367484856621415E-2</c:v>
                  </c:pt>
                  <c:pt idx="1">
                    <c:v>3.3960297871939556E-2</c:v>
                  </c:pt>
                  <c:pt idx="2">
                    <c:v>8.3811579882827669E-2</c:v>
                  </c:pt>
                  <c:pt idx="3">
                    <c:v>0.10516820847234859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Outcomes!$BK$2:$BN$2</c:f>
              <c:strCache>
                <c:ptCount val="4"/>
                <c:pt idx="0">
                  <c:v>Seeking 
Pregnancy</c:v>
                </c:pt>
                <c:pt idx="1">
                  <c:v>No 
Contraception</c:v>
                </c:pt>
                <c:pt idx="2">
                  <c:v>Contraception Failure</c:v>
                </c:pt>
                <c:pt idx="3">
                  <c:v>Drinking while Aware of Pregnancy</c:v>
                </c:pt>
              </c:strCache>
            </c:strRef>
          </c:cat>
          <c:val>
            <c:numRef>
              <c:f>Outcomes!$BK$8:$BN$8</c:f>
              <c:numCache>
                <c:formatCode>0.0%</c:formatCode>
                <c:ptCount val="4"/>
                <c:pt idx="0">
                  <c:v>0.11421372461834889</c:v>
                </c:pt>
                <c:pt idx="1">
                  <c:v>4.7332859174964437E-2</c:v>
                </c:pt>
                <c:pt idx="2">
                  <c:v>0.26145082538944431</c:v>
                </c:pt>
                <c:pt idx="3">
                  <c:v>0.56458333333333333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B-48B6-A9DA-DE38BFE63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  <c:max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Age-Distribution of Suscesuful Pregnancies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CDC</c:v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solidFill>
                <a:schemeClr val="accent2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Outcomes!$AE$7:$AJ$7</c:f>
                <c:numCache>
                  <c:formatCode>General</c:formatCode>
                  <c:ptCount val="6"/>
                  <c:pt idx="0">
                    <c:v>1.0125134241585895E-2</c:v>
                  </c:pt>
                  <c:pt idx="1">
                    <c:v>1.5737954692737005E-2</c:v>
                  </c:pt>
                  <c:pt idx="2">
                    <c:v>1.5569687770296659E-2</c:v>
                  </c:pt>
                  <c:pt idx="3">
                    <c:v>1.3756127228974298E-2</c:v>
                  </c:pt>
                  <c:pt idx="4">
                    <c:v>9.9698188954174816E-3</c:v>
                  </c:pt>
                  <c:pt idx="5">
                    <c:v>5.0190642063635254E-3</c:v>
                  </c:pt>
                </c:numCache>
              </c:numRef>
            </c:plus>
            <c:minus>
              <c:numRef>
                <c:f>Outcomes!$AE$6:$AJ$6</c:f>
                <c:numCache>
                  <c:formatCode>General</c:formatCode>
                  <c:ptCount val="6"/>
                  <c:pt idx="0">
                    <c:v>1.0125134241585891E-2</c:v>
                  </c:pt>
                  <c:pt idx="1">
                    <c:v>1.5737954692737005E-2</c:v>
                  </c:pt>
                  <c:pt idx="2">
                    <c:v>1.5569687770296659E-2</c:v>
                  </c:pt>
                  <c:pt idx="3">
                    <c:v>1.3756127228974298E-2</c:v>
                  </c:pt>
                  <c:pt idx="4">
                    <c:v>9.9698188954174798E-3</c:v>
                  </c:pt>
                  <c:pt idx="5">
                    <c:v>5.0190642063635254E-3</c:v>
                  </c:pt>
                </c:numCache>
              </c:numRef>
            </c:minus>
            <c:spPr>
              <a:noFill/>
              <a:ln w="25400" cap="flat" cmpd="sng" algn="ctr">
                <a:solidFill>
                  <a:schemeClr val="accent2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Outcomes!$AE$2:$AJ$2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Outcomes!$AE$3:$AJ$3</c:f>
              <c:numCache>
                <c:formatCode>0.0%</c:formatCode>
                <c:ptCount val="6"/>
                <c:pt idx="0">
                  <c:v>2.7722772277227723E-2</c:v>
                </c:pt>
                <c:pt idx="1">
                  <c:v>6.5400843881856546E-2</c:v>
                </c:pt>
                <c:pt idx="2">
                  <c:v>7.0395371263259399E-2</c:v>
                </c:pt>
                <c:pt idx="3">
                  <c:v>5.3501945525291826E-2</c:v>
                </c:pt>
                <c:pt idx="4">
                  <c:v>2.3014959723820484E-2</c:v>
                </c:pt>
                <c:pt idx="5">
                  <c:v>5.1347881899871627E-3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D-43FC-989C-A0A46CC08F5D}"/>
            </c:ext>
          </c:extLst>
        </c:ser>
        <c:ser>
          <c:idx val="0"/>
          <c:order val="0"/>
          <c:tx>
            <c:v>Model-Median</c:v>
          </c:tx>
          <c:spPr>
            <a:solidFill>
              <a:schemeClr val="accent1">
                <a:lumMod val="20000"/>
                <a:lumOff val="80000"/>
              </a:schemeClr>
            </a:solidFill>
            <a:ln w="25400"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Outcomes!$AE$12:$AK$12</c:f>
                <c:numCache>
                  <c:formatCode>General</c:formatCode>
                  <c:ptCount val="7"/>
                  <c:pt idx="0">
                    <c:v>1.5219523568503507E-2</c:v>
                  </c:pt>
                  <c:pt idx="1">
                    <c:v>2.3296860688125878E-2</c:v>
                  </c:pt>
                  <c:pt idx="2">
                    <c:v>2.556728604886406E-2</c:v>
                  </c:pt>
                  <c:pt idx="3">
                    <c:v>3.0817882592296383E-2</c:v>
                  </c:pt>
                  <c:pt idx="4">
                    <c:v>1.8356007783913275E-2</c:v>
                  </c:pt>
                  <c:pt idx="5">
                    <c:v>4.6696842639424741E-3</c:v>
                  </c:pt>
                </c:numCache>
              </c:numRef>
            </c:plus>
            <c:minus>
              <c:numRef>
                <c:f>Outcomes!$AE$11:$AK$11</c:f>
                <c:numCache>
                  <c:formatCode>General</c:formatCode>
                  <c:ptCount val="7"/>
                  <c:pt idx="0">
                    <c:v>1.6938689306531703E-2</c:v>
                  </c:pt>
                  <c:pt idx="1">
                    <c:v>2.5998907475269499E-2</c:v>
                  </c:pt>
                  <c:pt idx="2">
                    <c:v>2.4022820114396728E-2</c:v>
                  </c:pt>
                  <c:pt idx="3">
                    <c:v>2.2819882571932112E-2</c:v>
                  </c:pt>
                  <c:pt idx="4">
                    <c:v>1.5914510232570338E-2</c:v>
                  </c:pt>
                  <c:pt idx="5">
                    <c:v>3.2419842202450898E-3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Outcomes!$AE$2:$AJ$2</c:f>
              <c:strCache>
                <c:ptCount val="6"/>
                <c:pt idx="0">
                  <c:v>15-19</c:v>
                </c:pt>
                <c:pt idx="1">
                  <c:v>20-24</c:v>
                </c:pt>
                <c:pt idx="2">
                  <c:v>25-29</c:v>
                </c:pt>
                <c:pt idx="3">
                  <c:v>30-34</c:v>
                </c:pt>
                <c:pt idx="4">
                  <c:v>35-39</c:v>
                </c:pt>
                <c:pt idx="5">
                  <c:v>40-44</c:v>
                </c:pt>
              </c:strCache>
            </c:strRef>
          </c:cat>
          <c:val>
            <c:numRef>
              <c:f>Outcomes!$AE$8:$AJ$8</c:f>
              <c:numCache>
                <c:formatCode>0.0%</c:formatCode>
                <c:ptCount val="6"/>
                <c:pt idx="0">
                  <c:v>3.5098313165518168E-2</c:v>
                </c:pt>
                <c:pt idx="1">
                  <c:v>6.8148297719171941E-2</c:v>
                </c:pt>
                <c:pt idx="2">
                  <c:v>7.0652173913043473E-2</c:v>
                </c:pt>
                <c:pt idx="3">
                  <c:v>5.5402087170042968E-2</c:v>
                </c:pt>
                <c:pt idx="4">
                  <c:v>2.2418063682377858E-2</c:v>
                </c:pt>
                <c:pt idx="5">
                  <c:v>3.2419842202450898E-3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7D-43FC-989C-A0A46CC08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5255888"/>
        <c:axId val="525256544"/>
      </c:bar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15-20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Outcomes!$CS$2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Outcomes!$CS$3:$CS$8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Outcomes!$CU$3:$CU$8</c:f>
              <c:numCache>
                <c:formatCode>0.0%</c:formatCode>
                <c:ptCount val="6"/>
                <c:pt idx="0">
                  <c:v>1.1900000000000001E-2</c:v>
                </c:pt>
                <c:pt idx="1">
                  <c:v>0.6139</c:v>
                </c:pt>
                <c:pt idx="2">
                  <c:v>0.2366</c:v>
                </c:pt>
                <c:pt idx="3">
                  <c:v>0.1089</c:v>
                </c:pt>
                <c:pt idx="4">
                  <c:v>1E-3</c:v>
                </c:pt>
                <c:pt idx="5">
                  <c:v>2.7699999999999999E-2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84-4958-909E-6593F4615682}"/>
            </c:ext>
          </c:extLst>
        </c:ser>
        <c:ser>
          <c:idx val="1"/>
          <c:order val="1"/>
          <c:tx>
            <c:strRef>
              <c:f>Outcomes!$CS$11</c:f>
              <c:strCache>
                <c:ptCount val="1"/>
                <c:pt idx="0">
                  <c:v>Model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Outcomes!$CS$3:$CS$8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Outcomes!$CU$12:$CU$17</c:f>
              <c:numCache>
                <c:formatCode>0.0%</c:formatCode>
                <c:ptCount val="6"/>
                <c:pt idx="0">
                  <c:v>1.1155077224175121E-2</c:v>
                </c:pt>
                <c:pt idx="1">
                  <c:v>0.62351039688676946</c:v>
                </c:pt>
                <c:pt idx="2">
                  <c:v>0.20366737402847843</c:v>
                </c:pt>
                <c:pt idx="3">
                  <c:v>0.1263493974848087</c:v>
                </c:pt>
                <c:pt idx="4">
                  <c:v>3.9217724163980323E-4</c:v>
                </c:pt>
                <c:pt idx="5">
                  <c:v>3.4925577134128478E-2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84-4958-909E-6593F4615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27448248"/>
        <c:axId val="627446608"/>
      </c:barChart>
      <c:catAx>
        <c:axId val="627448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6608"/>
        <c:crosses val="autoZero"/>
        <c:auto val="1"/>
        <c:lblAlgn val="ctr"/>
        <c:lblOffset val="100"/>
        <c:noMultiLvlLbl val="0"/>
      </c:catAx>
      <c:valAx>
        <c:axId val="627446608"/>
        <c:scaling>
          <c:orientation val="minMax"/>
          <c:max val="0.6200000000000001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824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20-24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Outcomes!$CS$2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Outcomes!$CS$3:$CS$8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Outcomes!$CV$3:$CV$8</c:f>
              <c:numCache>
                <c:formatCode>0.0%</c:formatCode>
                <c:ptCount val="6"/>
                <c:pt idx="0">
                  <c:v>3.27E-2</c:v>
                </c:pt>
                <c:pt idx="1">
                  <c:v>0.1888</c:v>
                </c:pt>
                <c:pt idx="2">
                  <c:v>0.54320000000000002</c:v>
                </c:pt>
                <c:pt idx="3">
                  <c:v>0.1424</c:v>
                </c:pt>
                <c:pt idx="4">
                  <c:v>2.64E-2</c:v>
                </c:pt>
                <c:pt idx="5">
                  <c:v>6.6500000000000004E-2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55-4C81-92A5-A3BDF7CFBF4C}"/>
            </c:ext>
          </c:extLst>
        </c:ser>
        <c:ser>
          <c:idx val="1"/>
          <c:order val="1"/>
          <c:tx>
            <c:strRef>
              <c:f>Outcomes!$CS$11</c:f>
              <c:strCache>
                <c:ptCount val="1"/>
                <c:pt idx="0">
                  <c:v>Model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Outcomes!$CS$3:$CS$8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Outcomes!$CV$12:$CV$17</c:f>
              <c:numCache>
                <c:formatCode>0.0%</c:formatCode>
                <c:ptCount val="6"/>
                <c:pt idx="0">
                  <c:v>3.580181937349472E-2</c:v>
                </c:pt>
                <c:pt idx="1">
                  <c:v>0.20988364945903643</c:v>
                </c:pt>
                <c:pt idx="2">
                  <c:v>0.51784141199401212</c:v>
                </c:pt>
                <c:pt idx="3">
                  <c:v>0.15566502135383292</c:v>
                </c:pt>
                <c:pt idx="4">
                  <c:v>1.3633951170857328E-2</c:v>
                </c:pt>
                <c:pt idx="5">
                  <c:v>6.71741466487666E-2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55-4C81-92A5-A3BDF7CFB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27448248"/>
        <c:axId val="627446608"/>
      </c:barChart>
      <c:catAx>
        <c:axId val="627448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6608"/>
        <c:crosses val="autoZero"/>
        <c:auto val="1"/>
        <c:lblAlgn val="ctr"/>
        <c:lblOffset val="100"/>
        <c:noMultiLvlLbl val="0"/>
      </c:catAx>
      <c:valAx>
        <c:axId val="627446608"/>
        <c:scaling>
          <c:orientation val="minMax"/>
          <c:max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824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25-29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Outcomes!$CS$2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Outcomes!$CS$3:$CS$8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Outcomes!$CW$3:$CW$8</c:f>
              <c:numCache>
                <c:formatCode>0.0%</c:formatCode>
                <c:ptCount val="6"/>
                <c:pt idx="0">
                  <c:v>0.1119</c:v>
                </c:pt>
                <c:pt idx="1">
                  <c:v>0.1273</c:v>
                </c:pt>
                <c:pt idx="2">
                  <c:v>0.50529999999999997</c:v>
                </c:pt>
                <c:pt idx="3">
                  <c:v>0.12920000000000001</c:v>
                </c:pt>
                <c:pt idx="4">
                  <c:v>5.2999999999999999E-2</c:v>
                </c:pt>
                <c:pt idx="5">
                  <c:v>7.3300000000000004E-2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03-435B-842F-A7776176CD22}"/>
            </c:ext>
          </c:extLst>
        </c:ser>
        <c:ser>
          <c:idx val="1"/>
          <c:order val="1"/>
          <c:tx>
            <c:strRef>
              <c:f>Outcomes!$CS$11</c:f>
              <c:strCache>
                <c:ptCount val="1"/>
                <c:pt idx="0">
                  <c:v>Model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Outcomes!$CS$3:$CS$8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Outcomes!$CW$12:$CW$17</c:f>
              <c:numCache>
                <c:formatCode>0.0%</c:formatCode>
                <c:ptCount val="6"/>
                <c:pt idx="0">
                  <c:v>0.11706438436716488</c:v>
                </c:pt>
                <c:pt idx="1">
                  <c:v>0.12541320098993292</c:v>
                </c:pt>
                <c:pt idx="2">
                  <c:v>0.50352077727130351</c:v>
                </c:pt>
                <c:pt idx="3">
                  <c:v>0.1458623997788013</c:v>
                </c:pt>
                <c:pt idx="4">
                  <c:v>3.7103532524291633E-2</c:v>
                </c:pt>
                <c:pt idx="5">
                  <c:v>7.1035705068505955E-2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03-435B-842F-A7776176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27448248"/>
        <c:axId val="627446608"/>
      </c:barChart>
      <c:catAx>
        <c:axId val="627448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6608"/>
        <c:crosses val="autoZero"/>
        <c:auto val="1"/>
        <c:lblAlgn val="ctr"/>
        <c:lblOffset val="100"/>
        <c:noMultiLvlLbl val="0"/>
      </c:catAx>
      <c:valAx>
        <c:axId val="627446608"/>
        <c:scaling>
          <c:orientation val="minMax"/>
          <c:max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824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30-34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Outcomes!$CS$2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Outcomes!$CS$3:$CS$8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Outcomes!$CX$3:$CX$8</c:f>
              <c:numCache>
                <c:formatCode>0.0%</c:formatCode>
                <c:ptCount val="6"/>
                <c:pt idx="0">
                  <c:v>0.2364</c:v>
                </c:pt>
                <c:pt idx="1">
                  <c:v>7.7799999999999994E-2</c:v>
                </c:pt>
                <c:pt idx="2">
                  <c:v>0.42120000000000002</c:v>
                </c:pt>
                <c:pt idx="3">
                  <c:v>0.14199999999999999</c:v>
                </c:pt>
                <c:pt idx="4">
                  <c:v>6.7100000000000007E-2</c:v>
                </c:pt>
                <c:pt idx="5">
                  <c:v>5.5500000000000001E-2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7-4B7F-A71C-770D21261DBD}"/>
            </c:ext>
          </c:extLst>
        </c:ser>
        <c:ser>
          <c:idx val="1"/>
          <c:order val="1"/>
          <c:tx>
            <c:strRef>
              <c:f>Outcomes!$CS$11</c:f>
              <c:strCache>
                <c:ptCount val="1"/>
                <c:pt idx="0">
                  <c:v>Model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Outcomes!$CS$3:$CS$8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Outcomes!$CX$12:$CX$17</c:f>
              <c:numCache>
                <c:formatCode>0.0%</c:formatCode>
                <c:ptCount val="6"/>
                <c:pt idx="0">
                  <c:v>0.24372117654245556</c:v>
                </c:pt>
                <c:pt idx="1">
                  <c:v>8.2298585006096339E-2</c:v>
                </c:pt>
                <c:pt idx="2">
                  <c:v>0.42163326346804381</c:v>
                </c:pt>
                <c:pt idx="3">
                  <c:v>0.15032287156084378</c:v>
                </c:pt>
                <c:pt idx="4">
                  <c:v>4.5352390764179192E-2</c:v>
                </c:pt>
                <c:pt idx="5">
                  <c:v>5.6671712658381453E-2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17-4B7F-A71C-770D21261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27448248"/>
        <c:axId val="627446608"/>
      </c:barChart>
      <c:catAx>
        <c:axId val="627448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6608"/>
        <c:crosses val="autoZero"/>
        <c:auto val="1"/>
        <c:lblAlgn val="ctr"/>
        <c:lblOffset val="100"/>
        <c:noMultiLvlLbl val="0"/>
      </c:catAx>
      <c:valAx>
        <c:axId val="627446608"/>
        <c:scaling>
          <c:orientation val="minMax"/>
          <c:max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824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35-39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Outcomes!$CS$2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Outcomes!$CS$3:$CS$8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Outcomes!$CY$3:$CY$8</c:f>
              <c:numCache>
                <c:formatCode>0.0%</c:formatCode>
                <c:ptCount val="6"/>
                <c:pt idx="0">
                  <c:v>0.36130000000000001</c:v>
                </c:pt>
                <c:pt idx="1">
                  <c:v>9.9000000000000005E-2</c:v>
                </c:pt>
                <c:pt idx="2">
                  <c:v>0.34289999999999998</c:v>
                </c:pt>
                <c:pt idx="3">
                  <c:v>0.1197</c:v>
                </c:pt>
                <c:pt idx="4">
                  <c:v>5.4100000000000002E-2</c:v>
                </c:pt>
                <c:pt idx="5">
                  <c:v>2.3E-2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C-4C36-B050-61CE3CD9066C}"/>
            </c:ext>
          </c:extLst>
        </c:ser>
        <c:ser>
          <c:idx val="1"/>
          <c:order val="1"/>
          <c:tx>
            <c:strRef>
              <c:f>Outcomes!$CS$11</c:f>
              <c:strCache>
                <c:ptCount val="1"/>
                <c:pt idx="0">
                  <c:v>Model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Outcomes!$CS$3:$CS$8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Outcomes!$CY$12:$CY$17</c:f>
              <c:numCache>
                <c:formatCode>0.0%</c:formatCode>
                <c:ptCount val="6"/>
                <c:pt idx="0">
                  <c:v>0.32584770722972406</c:v>
                </c:pt>
                <c:pt idx="1">
                  <c:v>0.11447275949818833</c:v>
                </c:pt>
                <c:pt idx="2">
                  <c:v>0.36703816251465066</c:v>
                </c:pt>
                <c:pt idx="3">
                  <c:v>0.1124557836922451</c:v>
                </c:pt>
                <c:pt idx="4">
                  <c:v>5.8101945137225171E-2</c:v>
                </c:pt>
                <c:pt idx="5">
                  <c:v>2.2083641927966576E-2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0C-4C36-B050-61CE3CD90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27448248"/>
        <c:axId val="627446608"/>
      </c:barChart>
      <c:catAx>
        <c:axId val="627448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6608"/>
        <c:crosses val="autoZero"/>
        <c:auto val="1"/>
        <c:lblAlgn val="ctr"/>
        <c:lblOffset val="100"/>
        <c:noMultiLvlLbl val="0"/>
      </c:catAx>
      <c:valAx>
        <c:axId val="627446608"/>
        <c:scaling>
          <c:orientation val="minMax"/>
          <c:max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824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40-44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Outcomes!$CS$2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Outcomes!$CS$3:$CS$8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Outcomes!$CZ$3:$CZ$8</c:f>
              <c:numCache>
                <c:formatCode>0.0%</c:formatCode>
                <c:ptCount val="6"/>
                <c:pt idx="0">
                  <c:v>0.51859999999999995</c:v>
                </c:pt>
                <c:pt idx="1">
                  <c:v>0.1014</c:v>
                </c:pt>
                <c:pt idx="2">
                  <c:v>0.22589999999999999</c:v>
                </c:pt>
                <c:pt idx="3">
                  <c:v>9.11E-2</c:v>
                </c:pt>
                <c:pt idx="4">
                  <c:v>5.6500000000000002E-2</c:v>
                </c:pt>
                <c:pt idx="5">
                  <c:v>6.4999999999999997E-3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BB-4027-A6B9-91F2DBE7E0AD}"/>
            </c:ext>
          </c:extLst>
        </c:ser>
        <c:ser>
          <c:idx val="1"/>
          <c:order val="1"/>
          <c:tx>
            <c:strRef>
              <c:f>Outcomes!$CS$11</c:f>
              <c:strCache>
                <c:ptCount val="1"/>
                <c:pt idx="0">
                  <c:v>Model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Outcomes!$CS$3:$CS$8</c:f>
              <c:strCache>
                <c:ptCount val="6"/>
                <c:pt idx="0">
                  <c:v>Sterile</c:v>
                </c:pt>
                <c:pt idx="1">
                  <c:v>Inactive</c:v>
                </c:pt>
                <c:pt idx="2">
                  <c:v>Careful sex</c:v>
                </c:pt>
                <c:pt idx="3">
                  <c:v>Unsafe Sex</c:v>
                </c:pt>
                <c:pt idx="4">
                  <c:v>Seeking Pregnancy</c:v>
                </c:pt>
                <c:pt idx="5">
                  <c:v>Pregnant</c:v>
                </c:pt>
              </c:strCache>
            </c:strRef>
          </c:cat>
          <c:val>
            <c:numRef>
              <c:f>Outcomes!$CZ$12:$CZ$17</c:f>
              <c:numCache>
                <c:formatCode>0.0%</c:formatCode>
                <c:ptCount val="6"/>
                <c:pt idx="0">
                  <c:v>0.55456700582686491</c:v>
                </c:pt>
                <c:pt idx="1">
                  <c:v>0.10028381711138833</c:v>
                </c:pt>
                <c:pt idx="2">
                  <c:v>0.22193108169270248</c:v>
                </c:pt>
                <c:pt idx="3">
                  <c:v>8.9296313942321737E-2</c:v>
                </c:pt>
                <c:pt idx="4">
                  <c:v>3.122557084133671E-2</c:v>
                </c:pt>
                <c:pt idx="5">
                  <c:v>2.6962105853863619E-3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BB-4027-A6B9-91F2DBE7E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27448248"/>
        <c:axId val="627446608"/>
      </c:barChart>
      <c:catAx>
        <c:axId val="627448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6608"/>
        <c:crosses val="autoZero"/>
        <c:auto val="1"/>
        <c:lblAlgn val="ctr"/>
        <c:lblOffset val="100"/>
        <c:noMultiLvlLbl val="0"/>
      </c:catAx>
      <c:valAx>
        <c:axId val="62744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4824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AEP per 1,000 pop.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Outcomes!$AX$12</c:f>
                <c:numCache>
                  <c:formatCode>General</c:formatCode>
                  <c:ptCount val="1"/>
                  <c:pt idx="0">
                    <c:v>9.0374999999999872</c:v>
                  </c:pt>
                </c:numCache>
              </c:numRef>
            </c:plus>
            <c:minus>
              <c:numRef>
                <c:f>Outcomes!$AX$11</c:f>
                <c:numCache>
                  <c:formatCode>General</c:formatCode>
                  <c:ptCount val="1"/>
                  <c:pt idx="0">
                    <c:v>7.5124999999999993</c:v>
                  </c:pt>
                </c:numCache>
              </c:numRef>
            </c:minus>
            <c:spPr>
              <a:noFill/>
              <a:ln w="28575" cap="flat" cmpd="sng" algn="ctr">
                <a:solidFill>
                  <a:schemeClr val="accent1"/>
                </a:solidFill>
                <a:prstDash val="solid"/>
                <a:miter lim="800000"/>
              </a:ln>
              <a:effectLst/>
            </c:spPr>
          </c:errBars>
          <c:cat>
            <c:strRef>
              <c:f>Outcomes!$AX$2</c:f>
              <c:strCache>
                <c:ptCount val="1"/>
                <c:pt idx="0">
                  <c:v>AEP per 1,000 Pop</c:v>
                </c:pt>
              </c:strCache>
            </c:strRef>
          </c:cat>
          <c:val>
            <c:numRef>
              <c:f>Outcomes!$AX$8</c:f>
              <c:numCache>
                <c:formatCode>0.0</c:formatCode>
                <c:ptCount val="1"/>
                <c:pt idx="0">
                  <c:v>36.25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D9-429C-8718-A1C8CAE1F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5888"/>
        <c:axId val="525256544"/>
      </c:lineChart>
      <c:catAx>
        <c:axId val="52525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6544"/>
        <c:crosses val="autoZero"/>
        <c:auto val="1"/>
        <c:lblAlgn val="ctr"/>
        <c:lblOffset val="100"/>
        <c:noMultiLvlLbl val="0"/>
      </c:catAx>
      <c:valAx>
        <c:axId val="5252565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'Scenario Analysis'!$B$1</c:f>
              <c:strCache>
                <c:ptCount val="1"/>
                <c:pt idx="0">
                  <c:v>AEP Risk (CDC Definition)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'Scenario Analysis'!$B$8:$F$8</c:f>
                <c:numCache>
                  <c:formatCode>General</c:formatCode>
                  <c:ptCount val="5"/>
                  <c:pt idx="0">
                    <c:v>1.3123594115945977E-2</c:v>
                  </c:pt>
                  <c:pt idx="1">
                    <c:v>9.7051960732521814E-3</c:v>
                  </c:pt>
                  <c:pt idx="2">
                    <c:v>6.4756823982526981E-3</c:v>
                  </c:pt>
                  <c:pt idx="3">
                    <c:v>4.6627038111866463E-3</c:v>
                  </c:pt>
                  <c:pt idx="4">
                    <c:v>1.0828170455503641E-3</c:v>
                  </c:pt>
                </c:numCache>
              </c:numRef>
            </c:plus>
            <c:minus>
              <c:numRef>
                <c:f>'Scenario Analysis'!$B$7:$F$7</c:f>
                <c:numCache>
                  <c:formatCode>General</c:formatCode>
                  <c:ptCount val="5"/>
                  <c:pt idx="0">
                    <c:v>1.2270748930977418E-2</c:v>
                  </c:pt>
                  <c:pt idx="1">
                    <c:v>9.3457334244096135E-3</c:v>
                  </c:pt>
                  <c:pt idx="2">
                    <c:v>8.1308151623860382E-3</c:v>
                  </c:pt>
                  <c:pt idx="3">
                    <c:v>6.1276353077232733E-3</c:v>
                  </c:pt>
                  <c:pt idx="4">
                    <c:v>2.7992215089982166E-4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accent2"/>
                </a:solidFill>
                <a:round/>
              </a:ln>
              <a:effectLst/>
            </c:spPr>
          </c:errBars>
          <c:cat>
            <c:numRef>
              <c:f>'Scenario Analysis'!$H$3:$L$3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cat>
          <c:val>
            <c:numRef>
              <c:f>'Scenario Analysis'!$B$4:$F$4</c:f>
              <c:numCache>
                <c:formatCode>0.0%</c:formatCode>
                <c:ptCount val="5"/>
                <c:pt idx="0">
                  <c:v>6.6306108401119501E-2</c:v>
                </c:pt>
                <c:pt idx="1">
                  <c:v>5.0297186132274539E-2</c:v>
                </c:pt>
                <c:pt idx="2">
                  <c:v>3.3114145543576494E-2</c:v>
                </c:pt>
                <c:pt idx="3">
                  <c:v>1.6527284828205209E-2</c:v>
                </c:pt>
                <c:pt idx="4">
                  <c:v>2.7992215089982166E-4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BD-4452-9934-F3036E58E2A7}"/>
            </c:ext>
          </c:extLst>
        </c:ser>
        <c:ser>
          <c:idx val="1"/>
          <c:order val="1"/>
          <c:tx>
            <c:strRef>
              <c:f>'Scenario Analysis'!$H$1</c:f>
              <c:strCache>
                <c:ptCount val="1"/>
                <c:pt idx="0">
                  <c:v>AEP Prevalence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'Scenario Analysis'!$H$8:$L$8</c:f>
                <c:numCache>
                  <c:formatCode>General</c:formatCode>
                  <c:ptCount val="5"/>
                  <c:pt idx="0">
                    <c:v>0.11515899402740903</c:v>
                  </c:pt>
                  <c:pt idx="1">
                    <c:v>0.11569795105580927</c:v>
                  </c:pt>
                  <c:pt idx="2">
                    <c:v>0.12933329573864316</c:v>
                  </c:pt>
                  <c:pt idx="3">
                    <c:v>0.12496423059066231</c:v>
                  </c:pt>
                  <c:pt idx="4">
                    <c:v>0.12308020627699329</c:v>
                  </c:pt>
                </c:numCache>
              </c:numRef>
            </c:plus>
            <c:minus>
              <c:numRef>
                <c:f>'Scenario Analysis'!$H$7:$L$7</c:f>
                <c:numCache>
                  <c:formatCode>General</c:formatCode>
                  <c:ptCount val="5"/>
                  <c:pt idx="0">
                    <c:v>9.9872051724224864E-2</c:v>
                  </c:pt>
                  <c:pt idx="1">
                    <c:v>9.5371836075298644E-2</c:v>
                  </c:pt>
                  <c:pt idx="2">
                    <c:v>0.1333610066123862</c:v>
                  </c:pt>
                  <c:pt idx="3">
                    <c:v>0.11441906084908071</c:v>
                  </c:pt>
                  <c:pt idx="4">
                    <c:v>0.12913299718621013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accent1"/>
                </a:solidFill>
                <a:round/>
              </a:ln>
              <a:effectLst/>
            </c:spPr>
          </c:errBars>
          <c:cat>
            <c:numRef>
              <c:f>'Scenario Analysis'!$H$3:$L$3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</c:numCache>
            </c:numRef>
          </c:cat>
          <c:val>
            <c:numRef>
              <c:f>'Scenario Analysis'!$H$4:$L$4</c:f>
              <c:numCache>
                <c:formatCode>0.0%</c:formatCode>
                <c:ptCount val="5"/>
                <c:pt idx="0">
                  <c:v>0.7780191105477543</c:v>
                </c:pt>
                <c:pt idx="1">
                  <c:v>0.6753397847932473</c:v>
                </c:pt>
                <c:pt idx="2">
                  <c:v>0.57680297799553404</c:v>
                </c:pt>
                <c:pt idx="3">
                  <c:v>0.4654255543555742</c:v>
                </c:pt>
                <c:pt idx="4">
                  <c:v>0.35538299718621014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BD-4452-9934-F3036E58E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841696"/>
        <c:axId val="677839072"/>
      </c:lineChart>
      <c:catAx>
        <c:axId val="677841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Compliance with CDC Recommendation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39072"/>
        <c:crosses val="autoZero"/>
        <c:auto val="1"/>
        <c:lblAlgn val="ctr"/>
        <c:lblOffset val="100"/>
        <c:noMultiLvlLbl val="0"/>
      </c:catAx>
      <c:valAx>
        <c:axId val="6778390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4169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strRef>
              <c:f>'Scenario Analysis'!$X$1</c:f>
              <c:strCache>
                <c:ptCount val="1"/>
                <c:pt idx="0">
                  <c:v>AEP per 1,000 pop.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2.0325124507500344E-2"/>
                  <c:y val="-0.545089554084447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'Scenario Analysis'!$X$8:$AB$8</c:f>
                <c:numCache>
                  <c:formatCode>General</c:formatCode>
                  <c:ptCount val="5"/>
                  <c:pt idx="0">
                    <c:v>16.264999999999986</c:v>
                  </c:pt>
                  <c:pt idx="1">
                    <c:v>13.495000000000005</c:v>
                  </c:pt>
                  <c:pt idx="2">
                    <c:v>12.682499999999976</c:v>
                  </c:pt>
                  <c:pt idx="3">
                    <c:v>12.527499999999989</c:v>
                  </c:pt>
                  <c:pt idx="4">
                    <c:v>11.020000000000003</c:v>
                  </c:pt>
                </c:numCache>
              </c:numRef>
            </c:plus>
            <c:minus>
              <c:numRef>
                <c:f>'Scenario Analysis'!$X$7:$AB$7</c:f>
                <c:numCache>
                  <c:formatCode>General</c:formatCode>
                  <c:ptCount val="5"/>
                  <c:pt idx="0">
                    <c:v>14.784999999999997</c:v>
                  </c:pt>
                  <c:pt idx="1">
                    <c:v>12.530000000000001</c:v>
                  </c:pt>
                  <c:pt idx="2">
                    <c:v>10.129999999999995</c:v>
                  </c:pt>
                  <c:pt idx="3">
                    <c:v>12.310000000000002</c:v>
                  </c:pt>
                  <c:pt idx="4">
                    <c:v>9.2424999999999997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accent1"/>
                </a:solidFill>
                <a:round/>
              </a:ln>
              <a:effectLst/>
            </c:spPr>
          </c:errBars>
          <c:cat>
            <c:numRef>
              <c:f>'Scenario Analysis'!$N$3:$R$3</c:f>
              <c:numCache>
                <c:formatCode>0%</c:formatCode>
                <c:ptCount val="5"/>
                <c:pt idx="0">
                  <c:v>-0.4</c:v>
                </c:pt>
                <c:pt idx="1">
                  <c:v>-0.3</c:v>
                </c:pt>
                <c:pt idx="2">
                  <c:v>-0.2</c:v>
                </c:pt>
                <c:pt idx="3">
                  <c:v>-0.1</c:v>
                </c:pt>
                <c:pt idx="4">
                  <c:v>0</c:v>
                </c:pt>
              </c:numCache>
            </c:numRef>
          </c:cat>
          <c:val>
            <c:numRef>
              <c:f>'Scenario Analysis'!$X$4:$AB$4</c:f>
              <c:numCache>
                <c:formatCode>#,##0</c:formatCode>
                <c:ptCount val="5"/>
                <c:pt idx="0">
                  <c:v>109.785</c:v>
                </c:pt>
                <c:pt idx="1">
                  <c:v>93.504999999999995</c:v>
                </c:pt>
                <c:pt idx="2">
                  <c:v>79.13</c:v>
                </c:pt>
                <c:pt idx="3">
                  <c:v>64.260000000000005</c:v>
                </c:pt>
                <c:pt idx="4">
                  <c:v>49.98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41-4918-B883-0CC0C4072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841696"/>
        <c:axId val="6778390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'Scenario Analysis'!$N$1</c15:sqref>
                        </c15:formulaRef>
                      </c:ext>
                    </c:extLst>
                    <c:strCache>
                      <c:ptCount val="1"/>
                      <c:pt idx="0">
                        <c:v>AEP Risk (CDC Definition)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errBars>
                  <c:errDir val="y"/>
                  <c:errBarType val="both"/>
                  <c:errValType val="cust"/>
                  <c:noEndCap val="0"/>
                  <c:plus>
                    <c:numRef>
                      <c:extLst>
                        <c:ext uri="{02D57815-91ED-43cb-92C2-25804820EDAC}">
                          <c15:formulaRef>
                            <c15:sqref>'Scenario Analysis'!$N$8:$V$8</c15:sqref>
                          </c15:formulaRef>
                        </c:ext>
                      </c:extLst>
                      <c:numCache>
                        <c:formatCode>General</c:formatCode>
                        <c:ptCount val="9"/>
                        <c:pt idx="0">
                          <c:v>1.8363055779395426E-2</c:v>
                        </c:pt>
                        <c:pt idx="1">
                          <c:v>1.7484535511303412E-2</c:v>
                        </c:pt>
                        <c:pt idx="2">
                          <c:v>1.5678339867348651E-2</c:v>
                        </c:pt>
                        <c:pt idx="3">
                          <c:v>1.5956236740706717E-2</c:v>
                        </c:pt>
                        <c:pt idx="4">
                          <c:v>1.3123594115945977E-2</c:v>
                        </c:pt>
                        <c:pt idx="5">
                          <c:v>1.2814700080573324E-2</c:v>
                        </c:pt>
                        <c:pt idx="6">
                          <c:v>1.0856263083146085E-2</c:v>
                        </c:pt>
                        <c:pt idx="7">
                          <c:v>1.179729111952129E-2</c:v>
                        </c:pt>
                        <c:pt idx="8">
                          <c:v>1.1092731285017712E-2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'Scenario Analysis'!$N$7:$V$7</c15:sqref>
                          </c15:formulaRef>
                        </c:ext>
                      </c:extLst>
                      <c:numCache>
                        <c:formatCode>General</c:formatCode>
                        <c:ptCount val="9"/>
                        <c:pt idx="0">
                          <c:v>1.8408315558058302E-2</c:v>
                        </c:pt>
                        <c:pt idx="1">
                          <c:v>1.5254627402962309E-2</c:v>
                        </c:pt>
                        <c:pt idx="2">
                          <c:v>1.3684480947800698E-2</c:v>
                        </c:pt>
                        <c:pt idx="3">
                          <c:v>1.5787668304651184E-2</c:v>
                        </c:pt>
                        <c:pt idx="4">
                          <c:v>1.2270748930977418E-2</c:v>
                        </c:pt>
                        <c:pt idx="5">
                          <c:v>1.0277829111209356E-2</c:v>
                        </c:pt>
                        <c:pt idx="6">
                          <c:v>1.0570318481306046E-2</c:v>
                        </c:pt>
                        <c:pt idx="7">
                          <c:v>1.1230932526689587E-2</c:v>
                        </c:pt>
                        <c:pt idx="8">
                          <c:v>1.0488870680911928E-2</c:v>
                        </c:pt>
                      </c:numCache>
                    </c:numRef>
                  </c:minus>
                  <c:spPr>
                    <a:noFill/>
                    <a:ln w="19050" cap="flat" cmpd="sng" algn="ctr">
                      <a:solidFill>
                        <a:schemeClr val="accent2"/>
                      </a:solidFill>
                      <a:round/>
                    </a:ln>
                    <a:effectLst/>
                  </c:spPr>
                </c:errBars>
                <c:cat>
                  <c:numRef>
                    <c:extLst>
                      <c:ext uri="{02D57815-91ED-43cb-92C2-25804820EDAC}">
                        <c15:formulaRef>
                          <c15:sqref>'Scenario Analysis'!$N$3:$R$3</c15:sqref>
                        </c15:formulaRef>
                      </c:ext>
                    </c:extLst>
                    <c:numCache>
                      <c:formatCode>0%</c:formatCode>
                      <c:ptCount val="5"/>
                      <c:pt idx="0">
                        <c:v>-0.4</c:v>
                      </c:pt>
                      <c:pt idx="1">
                        <c:v>-0.3</c:v>
                      </c:pt>
                      <c:pt idx="2">
                        <c:v>-0.2</c:v>
                      </c:pt>
                      <c:pt idx="3">
                        <c:v>-0.1</c:v>
                      </c:pt>
                      <c:pt idx="4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'Scenario Analysis'!$N$4:$R$4</c15:sqref>
                        </c15:formulaRef>
                      </c:ext>
                    </c:extLst>
                    <c:numCache>
                      <c:formatCode>0.0%</c:formatCode>
                      <c:ptCount val="5"/>
                      <c:pt idx="0">
                        <c:v>0.14878047515727105</c:v>
                      </c:pt>
                      <c:pt idx="1">
                        <c:v>0.12586475419418205</c:v>
                      </c:pt>
                      <c:pt idx="2">
                        <c:v>0.10601008358354458</c:v>
                      </c:pt>
                      <c:pt idx="3">
                        <c:v>8.5717277201020819E-2</c:v>
                      </c:pt>
                      <c:pt idx="4">
                        <c:v>6.6306108401119501E-2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3641-4918-B883-0CC0C40727A5}"/>
                  </c:ext>
                </c:extLst>
              </c15:ser>
            </c15:filteredLineSeries>
          </c:ext>
        </c:extLst>
      </c:lineChart>
      <c:catAx>
        <c:axId val="677841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Decrease in Access to Contraceptives among "Safe Sex" Group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39072"/>
        <c:crosses val="autoZero"/>
        <c:auto val="1"/>
        <c:lblAlgn val="ctr"/>
        <c:lblOffset val="100"/>
        <c:noMultiLvlLbl val="0"/>
      </c:catAx>
      <c:valAx>
        <c:axId val="6778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4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strRef>
              <c:f>'Scenario Analysis'!$X$1</c:f>
              <c:strCache>
                <c:ptCount val="1"/>
                <c:pt idx="0">
                  <c:v>AEP per 1,000 pop.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6695726759645237"/>
                  <c:y val="-0.608395090900854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'Scenario Analysis'!$AB$8:$AF$8</c:f>
                <c:numCache>
                  <c:formatCode>General</c:formatCode>
                  <c:ptCount val="5"/>
                  <c:pt idx="0">
                    <c:v>11.020000000000003</c:v>
                  </c:pt>
                  <c:pt idx="1">
                    <c:v>9.615000000000002</c:v>
                  </c:pt>
                  <c:pt idx="2">
                    <c:v>8.3500000000000014</c:v>
                  </c:pt>
                  <c:pt idx="3">
                    <c:v>8.9524999999999935</c:v>
                  </c:pt>
                  <c:pt idx="4">
                    <c:v>8.6874999999999858</c:v>
                  </c:pt>
                </c:numCache>
              </c:numRef>
            </c:plus>
            <c:minus>
              <c:numRef>
                <c:f>'Scenario Analysis'!$AB$7:$AF$7</c:f>
                <c:numCache>
                  <c:formatCode>General</c:formatCode>
                  <c:ptCount val="5"/>
                  <c:pt idx="0">
                    <c:v>9.2424999999999997</c:v>
                  </c:pt>
                  <c:pt idx="1">
                    <c:v>8.1475000000000009</c:v>
                  </c:pt>
                  <c:pt idx="2">
                    <c:v>8.6499999999999986</c:v>
                  </c:pt>
                  <c:pt idx="3">
                    <c:v>7.8100000000000023</c:v>
                  </c:pt>
                  <c:pt idx="4">
                    <c:v>7.8625000000000007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accent1"/>
                </a:solidFill>
                <a:round/>
              </a:ln>
              <a:effectLst/>
            </c:spPr>
          </c:errBars>
          <c:cat>
            <c:numRef>
              <c:f>'Scenario Analysis'!$R$3:$V$3</c:f>
              <c:numCache>
                <c:formatCode>0%</c:formatCode>
                <c:ptCount val="5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</c:numCache>
            </c:numRef>
          </c:cat>
          <c:val>
            <c:numRef>
              <c:f>'Scenario Analysis'!$AB$4:$AF$4</c:f>
              <c:numCache>
                <c:formatCode>#,##0</c:formatCode>
                <c:ptCount val="5"/>
                <c:pt idx="0">
                  <c:v>49.98</c:v>
                </c:pt>
                <c:pt idx="1">
                  <c:v>46.884999999999998</c:v>
                </c:pt>
                <c:pt idx="2">
                  <c:v>43.65</c:v>
                </c:pt>
                <c:pt idx="3">
                  <c:v>40.31</c:v>
                </c:pt>
                <c:pt idx="4">
                  <c:v>36.6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2C-4E4A-AF06-2362A9BCA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841696"/>
        <c:axId val="6778390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'Scenario Analysis'!$N$1</c15:sqref>
                        </c15:formulaRef>
                      </c:ext>
                    </c:extLst>
                    <c:strCache>
                      <c:ptCount val="1"/>
                      <c:pt idx="0">
                        <c:v>AEP Risk (CDC Definition)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errBars>
                  <c:errDir val="y"/>
                  <c:errBarType val="both"/>
                  <c:errValType val="cust"/>
                  <c:noEndCap val="0"/>
                  <c:plus>
                    <c:numRef>
                      <c:extLst>
                        <c:ext uri="{02D57815-91ED-43cb-92C2-25804820EDAC}">
                          <c15:formulaRef>
                            <c15:sqref>'Scenario Analysis'!$N$8:$V$8</c15:sqref>
                          </c15:formulaRef>
                        </c:ext>
                      </c:extLst>
                      <c:numCache>
                        <c:formatCode>General</c:formatCode>
                        <c:ptCount val="9"/>
                        <c:pt idx="0">
                          <c:v>1.8363055779395426E-2</c:v>
                        </c:pt>
                        <c:pt idx="1">
                          <c:v>1.7484535511303412E-2</c:v>
                        </c:pt>
                        <c:pt idx="2">
                          <c:v>1.5678339867348651E-2</c:v>
                        </c:pt>
                        <c:pt idx="3">
                          <c:v>1.5956236740706717E-2</c:v>
                        </c:pt>
                        <c:pt idx="4">
                          <c:v>1.3123594115945977E-2</c:v>
                        </c:pt>
                        <c:pt idx="5">
                          <c:v>1.2814700080573324E-2</c:v>
                        </c:pt>
                        <c:pt idx="6">
                          <c:v>1.0856263083146085E-2</c:v>
                        </c:pt>
                        <c:pt idx="7">
                          <c:v>1.179729111952129E-2</c:v>
                        </c:pt>
                        <c:pt idx="8">
                          <c:v>1.1092731285017712E-2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'Scenario Analysis'!$N$7:$V$7</c15:sqref>
                          </c15:formulaRef>
                        </c:ext>
                      </c:extLst>
                      <c:numCache>
                        <c:formatCode>General</c:formatCode>
                        <c:ptCount val="9"/>
                        <c:pt idx="0">
                          <c:v>1.8408315558058302E-2</c:v>
                        </c:pt>
                        <c:pt idx="1">
                          <c:v>1.5254627402962309E-2</c:v>
                        </c:pt>
                        <c:pt idx="2">
                          <c:v>1.3684480947800698E-2</c:v>
                        </c:pt>
                        <c:pt idx="3">
                          <c:v>1.5787668304651184E-2</c:v>
                        </c:pt>
                        <c:pt idx="4">
                          <c:v>1.2270748930977418E-2</c:v>
                        </c:pt>
                        <c:pt idx="5">
                          <c:v>1.0277829111209356E-2</c:v>
                        </c:pt>
                        <c:pt idx="6">
                          <c:v>1.0570318481306046E-2</c:v>
                        </c:pt>
                        <c:pt idx="7">
                          <c:v>1.1230932526689587E-2</c:v>
                        </c:pt>
                        <c:pt idx="8">
                          <c:v>1.0488870680911928E-2</c:v>
                        </c:pt>
                      </c:numCache>
                    </c:numRef>
                  </c:minus>
                  <c:spPr>
                    <a:noFill/>
                    <a:ln w="19050" cap="flat" cmpd="sng" algn="ctr">
                      <a:solidFill>
                        <a:schemeClr val="accent2"/>
                      </a:solidFill>
                      <a:round/>
                    </a:ln>
                    <a:effectLst/>
                  </c:spPr>
                </c:errBars>
                <c:cat>
                  <c:numRef>
                    <c:extLst>
                      <c:ext uri="{02D57815-91ED-43cb-92C2-25804820EDAC}">
                        <c15:formulaRef>
                          <c15:sqref>'Scenario Analysis'!$R$3:$V$3</c15:sqref>
                        </c15:formulaRef>
                      </c:ext>
                    </c:extLst>
                    <c:numCache>
                      <c:formatCode>0%</c:formatCode>
                      <c:ptCount val="5"/>
                      <c:pt idx="0">
                        <c:v>0</c:v>
                      </c:pt>
                      <c:pt idx="1">
                        <c:v>0.1</c:v>
                      </c:pt>
                      <c:pt idx="2">
                        <c:v>0.2</c:v>
                      </c:pt>
                      <c:pt idx="3">
                        <c:v>0.3</c:v>
                      </c:pt>
                      <c:pt idx="4">
                        <c:v>0.4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'Scenario Analysis'!$R$4:$V$4</c15:sqref>
                        </c15:formulaRef>
                      </c:ext>
                    </c:extLst>
                    <c:numCache>
                      <c:formatCode>0.0%</c:formatCode>
                      <c:ptCount val="5"/>
                      <c:pt idx="0">
                        <c:v>6.6306108401119501E-2</c:v>
                      </c:pt>
                      <c:pt idx="1">
                        <c:v>6.214097274264567E-2</c:v>
                      </c:pt>
                      <c:pt idx="2">
                        <c:v>5.7813415159264837E-2</c:v>
                      </c:pt>
                      <c:pt idx="3">
                        <c:v>5.3358550486874386E-2</c:v>
                      </c:pt>
                      <c:pt idx="4">
                        <c:v>4.8410230981304488E-2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D2C-4E4A-AF06-2362A9BCA967}"/>
                  </c:ext>
                </c:extLst>
              </c15:ser>
            </c15:filteredLineSeries>
          </c:ext>
        </c:extLst>
      </c:lineChart>
      <c:catAx>
        <c:axId val="677841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Increase in Access to Contraceptives among "Unsafe Sex" Group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39072"/>
        <c:crosses val="autoZero"/>
        <c:auto val="1"/>
        <c:lblAlgn val="ctr"/>
        <c:lblOffset val="100"/>
        <c:noMultiLvlLbl val="0"/>
      </c:catAx>
      <c:valAx>
        <c:axId val="677839072"/>
        <c:scaling>
          <c:orientation val="minMax"/>
          <c:max val="30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67784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</xdr:row>
          <xdr:rowOff>190500</xdr:rowOff>
        </xdr:from>
        <xdr:to>
          <xdr:col>8</xdr:col>
          <xdr:colOff>590550</xdr:colOff>
          <xdr:row>3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4</xdr:row>
          <xdr:rowOff>104775</xdr:rowOff>
        </xdr:from>
        <xdr:to>
          <xdr:col>8</xdr:col>
          <xdr:colOff>590550</xdr:colOff>
          <xdr:row>6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 Analysis 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12</xdr:row>
          <xdr:rowOff>114300</xdr:rowOff>
        </xdr:from>
        <xdr:to>
          <xdr:col>7</xdr:col>
          <xdr:colOff>828675</xdr:colOff>
          <xdr:row>14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304799</xdr:colOff>
      <xdr:row>14</xdr:row>
      <xdr:rowOff>40481</xdr:rowOff>
    </xdr:from>
    <xdr:to>
      <xdr:col>7</xdr:col>
      <xdr:colOff>409574</xdr:colOff>
      <xdr:row>31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390527</xdr:colOff>
      <xdr:row>14</xdr:row>
      <xdr:rowOff>9524</xdr:rowOff>
    </xdr:from>
    <xdr:to>
      <xdr:col>17</xdr:col>
      <xdr:colOff>476251</xdr:colOff>
      <xdr:row>34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528639</xdr:colOff>
      <xdr:row>14</xdr:row>
      <xdr:rowOff>66676</xdr:rowOff>
    </xdr:from>
    <xdr:to>
      <xdr:col>47</xdr:col>
      <xdr:colOff>119063</xdr:colOff>
      <xdr:row>32</xdr:row>
      <xdr:rowOff>7145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48</xdr:col>
      <xdr:colOff>47627</xdr:colOff>
      <xdr:row>14</xdr:row>
      <xdr:rowOff>75670</xdr:rowOff>
    </xdr:from>
    <xdr:to>
      <xdr:col>49</xdr:col>
      <xdr:colOff>635000</xdr:colOff>
      <xdr:row>31</xdr:row>
      <xdr:rowOff>185208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68</xdr:col>
      <xdr:colOff>23812</xdr:colOff>
      <xdr:row>14</xdr:row>
      <xdr:rowOff>28574</xdr:rowOff>
    </xdr:from>
    <xdr:to>
      <xdr:col>74</xdr:col>
      <xdr:colOff>352423</xdr:colOff>
      <xdr:row>31</xdr:row>
      <xdr:rowOff>159543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28</xdr:col>
      <xdr:colOff>481013</xdr:colOff>
      <xdr:row>13</xdr:row>
      <xdr:rowOff>161925</xdr:rowOff>
    </xdr:from>
    <xdr:ext cx="4324350" cy="3369469"/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oneCellAnchor>
    <xdr:from>
      <xdr:col>86</xdr:col>
      <xdr:colOff>124355</xdr:colOff>
      <xdr:row>14</xdr:row>
      <xdr:rowOff>127000</xdr:rowOff>
    </xdr:from>
    <xdr:ext cx="4324350" cy="3369469"/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oneCellAnchor>
  <xdr:oneCellAnchor>
    <xdr:from>
      <xdr:col>77</xdr:col>
      <xdr:colOff>159281</xdr:colOff>
      <xdr:row>14</xdr:row>
      <xdr:rowOff>131762</xdr:rowOff>
    </xdr:from>
    <xdr:ext cx="4324350" cy="3369469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oneCellAnchor>
  <xdr:twoCellAnchor editAs="oneCell">
    <xdr:from>
      <xdr:col>20</xdr:col>
      <xdr:colOff>390525</xdr:colOff>
      <xdr:row>14</xdr:row>
      <xdr:rowOff>28575</xdr:rowOff>
    </xdr:from>
    <xdr:to>
      <xdr:col>26</xdr:col>
      <xdr:colOff>576261</xdr:colOff>
      <xdr:row>31</xdr:row>
      <xdr:rowOff>159544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52</xdr:col>
      <xdr:colOff>576264</xdr:colOff>
      <xdr:row>14</xdr:row>
      <xdr:rowOff>33338</xdr:rowOff>
    </xdr:from>
    <xdr:ext cx="4324350" cy="3369469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oneCellAnchor>
  <xdr:twoCellAnchor editAs="oneCell">
    <xdr:from>
      <xdr:col>61</xdr:col>
      <xdr:colOff>174625</xdr:colOff>
      <xdr:row>14</xdr:row>
      <xdr:rowOff>5292</xdr:rowOff>
    </xdr:from>
    <xdr:to>
      <xdr:col>65</xdr:col>
      <xdr:colOff>531812</xdr:colOff>
      <xdr:row>31</xdr:row>
      <xdr:rowOff>136261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28</xdr:col>
      <xdr:colOff>476250</xdr:colOff>
      <xdr:row>31</xdr:row>
      <xdr:rowOff>171450</xdr:rowOff>
    </xdr:from>
    <xdr:ext cx="4324350" cy="3369469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oneCellAnchor>
  <xdr:twoCellAnchor>
    <xdr:from>
      <xdr:col>95</xdr:col>
      <xdr:colOff>257175</xdr:colOff>
      <xdr:row>17</xdr:row>
      <xdr:rowOff>85725</xdr:rowOff>
    </xdr:from>
    <xdr:to>
      <xdr:col>97</xdr:col>
      <xdr:colOff>489585</xdr:colOff>
      <xdr:row>31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97</xdr:col>
      <xdr:colOff>533400</xdr:colOff>
      <xdr:row>17</xdr:row>
      <xdr:rowOff>85725</xdr:rowOff>
    </xdr:from>
    <xdr:to>
      <xdr:col>101</xdr:col>
      <xdr:colOff>327660</xdr:colOff>
      <xdr:row>31</xdr:row>
      <xdr:rowOff>161925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101</xdr:col>
      <xdr:colOff>381000</xdr:colOff>
      <xdr:row>17</xdr:row>
      <xdr:rowOff>85725</xdr:rowOff>
    </xdr:from>
    <xdr:to>
      <xdr:col>105</xdr:col>
      <xdr:colOff>175260</xdr:colOff>
      <xdr:row>31</xdr:row>
      <xdr:rowOff>161925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95</xdr:col>
      <xdr:colOff>238125</xdr:colOff>
      <xdr:row>32</xdr:row>
      <xdr:rowOff>19050</xdr:rowOff>
    </xdr:from>
    <xdr:to>
      <xdr:col>97</xdr:col>
      <xdr:colOff>470535</xdr:colOff>
      <xdr:row>46</xdr:row>
      <xdr:rowOff>95250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97</xdr:col>
      <xdr:colOff>523875</xdr:colOff>
      <xdr:row>32</xdr:row>
      <xdr:rowOff>19050</xdr:rowOff>
    </xdr:from>
    <xdr:to>
      <xdr:col>101</xdr:col>
      <xdr:colOff>318135</xdr:colOff>
      <xdr:row>46</xdr:row>
      <xdr:rowOff>95250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101</xdr:col>
      <xdr:colOff>381000</xdr:colOff>
      <xdr:row>32</xdr:row>
      <xdr:rowOff>19050</xdr:rowOff>
    </xdr:from>
    <xdr:to>
      <xdr:col>105</xdr:col>
      <xdr:colOff>175260</xdr:colOff>
      <xdr:row>46</xdr:row>
      <xdr:rowOff>95250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95</xdr:col>
          <xdr:colOff>247650</xdr:colOff>
          <xdr:row>13</xdr:row>
          <xdr:rowOff>180975</xdr:rowOff>
        </xdr:from>
        <xdr:to>
          <xdr:col>96</xdr:col>
          <xdr:colOff>1343025</xdr:colOff>
          <xdr:row>16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50</xdr:col>
      <xdr:colOff>74084</xdr:colOff>
      <xdr:row>14</xdr:row>
      <xdr:rowOff>42333</xdr:rowOff>
    </xdr:from>
    <xdr:to>
      <xdr:col>52</xdr:col>
      <xdr:colOff>470957</xdr:colOff>
      <xdr:row>31</xdr:row>
      <xdr:rowOff>151871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A8374F71-2C9C-484E-B0F9-8C121E951B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695325</xdr:colOff>
      <xdr:row>12</xdr:row>
      <xdr:rowOff>47624</xdr:rowOff>
    </xdr:from>
    <xdr:to>
      <xdr:col>6</xdr:col>
      <xdr:colOff>0</xdr:colOff>
      <xdr:row>29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276225</xdr:colOff>
      <xdr:row>12</xdr:row>
      <xdr:rowOff>66675</xdr:rowOff>
    </xdr:from>
    <xdr:to>
      <xdr:col>13</xdr:col>
      <xdr:colOff>552450</xdr:colOff>
      <xdr:row>29</xdr:row>
      <xdr:rowOff>95251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209550</xdr:colOff>
      <xdr:row>12</xdr:row>
      <xdr:rowOff>66675</xdr:rowOff>
    </xdr:from>
    <xdr:to>
      <xdr:col>18</xdr:col>
      <xdr:colOff>733425</xdr:colOff>
      <xdr:row>29</xdr:row>
      <xdr:rowOff>95251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1D46380-6540-45AD-B4EB-4ABC4F94E7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647700</xdr:colOff>
      <xdr:row>29</xdr:row>
      <xdr:rowOff>142875</xdr:rowOff>
    </xdr:from>
    <xdr:to>
      <xdr:col>4</xdr:col>
      <xdr:colOff>304800</xdr:colOff>
      <xdr:row>48</xdr:row>
      <xdr:rowOff>101727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7DFE39E-33DC-4D16-8858-686CE817427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5679"/>
        <a:stretch/>
      </xdr:blipFill>
      <xdr:spPr>
        <a:xfrm>
          <a:off x="647700" y="5686425"/>
          <a:ext cx="3314700" cy="35783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B2:P13"/>
  <sheetViews>
    <sheetView showGridLines="0" workbookViewId="0">
      <selection activeCell="D8" sqref="D8"/>
    </sheetView>
  </sheetViews>
  <sheetFormatPr defaultRowHeight="15" x14ac:dyDescent="0.25"/>
  <cols>
    <col min="1" max="1" width="5.42578125" customWidth="1"/>
    <col min="2" max="2" width="3.5703125" customWidth="1"/>
    <col min="3" max="3" width="30" customWidth="1"/>
    <col min="4" max="4" width="11.140625" customWidth="1"/>
    <col min="15" max="15" width="12" customWidth="1"/>
    <col min="16" max="16" width="13.140625" customWidth="1"/>
  </cols>
  <sheetData>
    <row r="2" spans="2:16" ht="15.75" customHeight="1" thickBot="1" x14ac:dyDescent="0.3">
      <c r="O2" s="228" t="s">
        <v>131</v>
      </c>
      <c r="P2" s="228" t="s">
        <v>134</v>
      </c>
    </row>
    <row r="3" spans="2:16" ht="15" customHeight="1" x14ac:dyDescent="0.25">
      <c r="B3" s="2"/>
      <c r="C3" s="3"/>
      <c r="D3" s="3"/>
      <c r="E3" s="3"/>
      <c r="F3" s="4"/>
      <c r="O3" s="228"/>
      <c r="P3" s="228"/>
    </row>
    <row r="4" spans="2:16" x14ac:dyDescent="0.25">
      <c r="B4" s="5"/>
      <c r="C4" s="6" t="s">
        <v>1</v>
      </c>
      <c r="D4" s="12">
        <f>1/52</f>
        <v>1.9230769230769232E-2</v>
      </c>
      <c r="E4" s="6" t="s">
        <v>7</v>
      </c>
      <c r="F4" s="8"/>
      <c r="O4" s="229"/>
      <c r="P4" s="229"/>
    </row>
    <row r="5" spans="2:16" x14ac:dyDescent="0.25">
      <c r="B5" s="5"/>
      <c r="C5" s="6" t="s">
        <v>0</v>
      </c>
      <c r="D5" s="7">
        <v>5</v>
      </c>
      <c r="E5" s="6" t="s">
        <v>8</v>
      </c>
      <c r="F5" s="8"/>
      <c r="O5" s="125">
        <v>0</v>
      </c>
      <c r="P5" s="67">
        <v>0</v>
      </c>
    </row>
    <row r="6" spans="2:16" x14ac:dyDescent="0.25">
      <c r="B6" s="5"/>
      <c r="C6" s="6" t="s">
        <v>2</v>
      </c>
      <c r="D6" s="7">
        <v>1</v>
      </c>
      <c r="E6" s="6" t="s">
        <v>7</v>
      </c>
      <c r="F6" s="8"/>
      <c r="O6" s="125">
        <v>0.25</v>
      </c>
      <c r="P6" s="67">
        <v>0.1</v>
      </c>
    </row>
    <row r="7" spans="2:16" x14ac:dyDescent="0.25">
      <c r="B7" s="5"/>
      <c r="C7" s="209" t="s">
        <v>9</v>
      </c>
      <c r="D7" s="210">
        <v>2000</v>
      </c>
      <c r="E7" s="6"/>
      <c r="F7" s="8"/>
      <c r="O7" s="125">
        <v>0.5</v>
      </c>
      <c r="P7" s="67">
        <v>0.2</v>
      </c>
    </row>
    <row r="8" spans="2:16" x14ac:dyDescent="0.25">
      <c r="B8" s="5"/>
      <c r="C8" s="209" t="s">
        <v>10</v>
      </c>
      <c r="D8" s="211">
        <v>100</v>
      </c>
      <c r="E8" s="6"/>
      <c r="F8" s="8"/>
      <c r="O8" s="125">
        <v>0.75</v>
      </c>
      <c r="P8" s="67">
        <v>0.3</v>
      </c>
    </row>
    <row r="9" spans="2:16" x14ac:dyDescent="0.25">
      <c r="B9" s="5"/>
      <c r="C9" s="19" t="s">
        <v>40</v>
      </c>
      <c r="D9" s="31">
        <v>0.05</v>
      </c>
      <c r="E9" s="6"/>
      <c r="F9" s="8"/>
      <c r="O9" s="125">
        <v>1</v>
      </c>
      <c r="P9" s="67">
        <v>0.4</v>
      </c>
    </row>
    <row r="10" spans="2:16" ht="30" x14ac:dyDescent="0.25">
      <c r="B10" s="5"/>
      <c r="C10" s="207" t="s">
        <v>55</v>
      </c>
      <c r="D10" s="208">
        <v>0</v>
      </c>
      <c r="E10" s="6"/>
      <c r="F10" s="8"/>
    </row>
    <row r="11" spans="2:16" ht="30" x14ac:dyDescent="0.25">
      <c r="B11" s="5"/>
      <c r="C11" s="212" t="s">
        <v>132</v>
      </c>
      <c r="D11" s="213">
        <v>0</v>
      </c>
      <c r="E11" s="6"/>
      <c r="F11" s="8"/>
    </row>
    <row r="12" spans="2:16" s="114" customFormat="1" ht="30" x14ac:dyDescent="0.25">
      <c r="B12" s="5"/>
      <c r="C12" s="214" t="s">
        <v>133</v>
      </c>
      <c r="D12" s="215">
        <v>0</v>
      </c>
      <c r="E12" s="6"/>
      <c r="F12" s="8"/>
    </row>
    <row r="13" spans="2:16" ht="15.75" thickBot="1" x14ac:dyDescent="0.3">
      <c r="B13" s="9"/>
      <c r="C13" s="10"/>
      <c r="D13" s="10"/>
      <c r="E13" s="10"/>
      <c r="F13" s="11"/>
    </row>
  </sheetData>
  <mergeCells count="2">
    <mergeCell ref="O2:O4"/>
    <mergeCell ref="P2:P4"/>
  </mergeCells>
  <dataValidations count="2">
    <dataValidation type="list" allowBlank="1" showInputMessage="1" showErrorMessage="1" sqref="D10">
      <formula1>$O$5:$O$9</formula1>
    </dataValidation>
    <dataValidation type="list" allowBlank="1" showInputMessage="1" showErrorMessage="1" sqref="D11:D12">
      <formula1>$P$5:$P$9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in">
                <anchor moveWithCells="1" sizeWithCells="1">
                  <from>
                    <xdr:col>6</xdr:col>
                    <xdr:colOff>114300</xdr:colOff>
                    <xdr:row>1</xdr:row>
                    <xdr:rowOff>190500</xdr:rowOff>
                  </from>
                  <to>
                    <xdr:col>8</xdr:col>
                    <xdr:colOff>590550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DoAnalysis">
                <anchor moveWithCells="1" sizeWithCells="1">
                  <from>
                    <xdr:col>6</xdr:col>
                    <xdr:colOff>114300</xdr:colOff>
                    <xdr:row>4</xdr:row>
                    <xdr:rowOff>104775</xdr:rowOff>
                  </from>
                  <to>
                    <xdr:col>8</xdr:col>
                    <xdr:colOff>590550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3:R101"/>
  <sheetViews>
    <sheetView showGridLines="0" topLeftCell="A10" workbookViewId="0">
      <selection activeCell="L19" sqref="L19"/>
    </sheetView>
  </sheetViews>
  <sheetFormatPr defaultColWidth="9" defaultRowHeight="15" x14ac:dyDescent="0.25"/>
  <cols>
    <col min="1" max="1" width="3" style="13" customWidth="1"/>
    <col min="2" max="2" width="29.5703125" style="13" customWidth="1"/>
    <col min="3" max="3" width="9" style="13"/>
    <col min="4" max="4" width="19.28515625" style="13" customWidth="1"/>
    <col min="5" max="5" width="18.140625" style="13" customWidth="1"/>
    <col min="6" max="7" width="17.85546875" style="13" customWidth="1"/>
    <col min="8" max="8" width="17.28515625" style="13" customWidth="1"/>
    <col min="9" max="9" width="19.28515625" style="13" customWidth="1"/>
    <col min="10" max="10" width="10.42578125" style="13" customWidth="1"/>
    <col min="11" max="11" width="15" style="13" customWidth="1"/>
    <col min="12" max="13" width="13.42578125" style="13" customWidth="1"/>
    <col min="14" max="14" width="11.140625" style="13" customWidth="1"/>
    <col min="15" max="15" width="18.140625" style="13" customWidth="1"/>
    <col min="16" max="16" width="14.42578125" style="13" customWidth="1"/>
    <col min="17" max="16384" width="9" style="13"/>
  </cols>
  <sheetData>
    <row r="3" spans="2:18" x14ac:dyDescent="0.25">
      <c r="B3" s="40" t="s">
        <v>5</v>
      </c>
      <c r="C3" s="40"/>
      <c r="D3" s="41"/>
      <c r="E3" s="41"/>
      <c r="G3" s="163"/>
      <c r="I3" s="47" t="s">
        <v>47</v>
      </c>
      <c r="J3" s="48"/>
      <c r="L3" s="47" t="s">
        <v>48</v>
      </c>
      <c r="M3" s="48"/>
      <c r="N3" s="48"/>
      <c r="O3" s="48"/>
    </row>
    <row r="4" spans="2:18" x14ac:dyDescent="0.25">
      <c r="B4" s="14" t="s">
        <v>3</v>
      </c>
      <c r="C4" s="20" t="s">
        <v>14</v>
      </c>
      <c r="D4" s="14" t="s">
        <v>4</v>
      </c>
      <c r="E4" s="20" t="s">
        <v>130</v>
      </c>
      <c r="F4" s="14" t="s">
        <v>87</v>
      </c>
      <c r="G4" s="20" t="s">
        <v>129</v>
      </c>
      <c r="I4" s="14" t="s">
        <v>3</v>
      </c>
      <c r="J4" s="20" t="s">
        <v>21</v>
      </c>
      <c r="L4" s="14" t="s">
        <v>3</v>
      </c>
      <c r="M4" s="20" t="s">
        <v>21</v>
      </c>
    </row>
    <row r="5" spans="2:18" x14ac:dyDescent="0.25">
      <c r="B5" s="15">
        <v>10</v>
      </c>
      <c r="C5" s="15">
        <v>1</v>
      </c>
      <c r="D5" s="16">
        <v>0</v>
      </c>
      <c r="E5" s="156">
        <v>0</v>
      </c>
      <c r="G5" s="164"/>
      <c r="I5" s="15">
        <v>10</v>
      </c>
      <c r="J5" s="16">
        <v>0</v>
      </c>
      <c r="L5" s="15">
        <v>10</v>
      </c>
      <c r="M5" s="202">
        <v>0</v>
      </c>
    </row>
    <row r="6" spans="2:18" x14ac:dyDescent="0.25">
      <c r="B6" s="15">
        <v>15</v>
      </c>
      <c r="C6" s="15">
        <v>2</v>
      </c>
      <c r="D6" s="128">
        <f>E6</f>
        <v>0.1780991006877094</v>
      </c>
      <c r="E6" s="189">
        <f>G6/$G$12</f>
        <v>0.1780991006877094</v>
      </c>
      <c r="F6" s="16">
        <v>0.17213106081008092</v>
      </c>
      <c r="G6" s="165">
        <v>1010</v>
      </c>
      <c r="I6" s="15">
        <v>15</v>
      </c>
      <c r="J6" s="126">
        <v>1.4999999999999999E-2</v>
      </c>
      <c r="L6" s="15">
        <v>15</v>
      </c>
      <c r="M6" s="202">
        <v>0.13300000000000001</v>
      </c>
    </row>
    <row r="7" spans="2:18" x14ac:dyDescent="0.25">
      <c r="B7" s="15">
        <v>20</v>
      </c>
      <c r="C7" s="15">
        <v>3</v>
      </c>
      <c r="D7" s="128">
        <f t="shared" ref="D7:D10" si="0">E7</f>
        <v>0.16716628460588961</v>
      </c>
      <c r="E7" s="189">
        <f t="shared" ref="E7:E11" si="1">G7/$G$12</f>
        <v>0.16716628460588961</v>
      </c>
      <c r="F7" s="16">
        <v>0.16948826928193003</v>
      </c>
      <c r="G7" s="165">
        <v>948</v>
      </c>
      <c r="I7" s="15">
        <v>20</v>
      </c>
      <c r="J7" s="126">
        <v>5.0000000000000001E-3</v>
      </c>
      <c r="L7" s="15">
        <v>20</v>
      </c>
      <c r="M7" s="202">
        <v>0.111</v>
      </c>
    </row>
    <row r="8" spans="2:18" x14ac:dyDescent="0.25">
      <c r="B8" s="15">
        <v>25</v>
      </c>
      <c r="C8" s="15">
        <v>4</v>
      </c>
      <c r="D8" s="128">
        <f t="shared" si="0"/>
        <v>0.18286016575559866</v>
      </c>
      <c r="E8" s="189">
        <f t="shared" si="1"/>
        <v>0.18286016575559866</v>
      </c>
      <c r="F8" s="16">
        <v>0.16779584318410878</v>
      </c>
      <c r="G8" s="165">
        <v>1037</v>
      </c>
      <c r="I8" s="15">
        <v>25</v>
      </c>
      <c r="J8" s="126">
        <v>5.0000000000000001E-3</v>
      </c>
      <c r="L8" s="15">
        <v>25</v>
      </c>
      <c r="M8" s="202">
        <v>0.11899999999999999</v>
      </c>
    </row>
    <row r="9" spans="2:18" x14ac:dyDescent="0.25">
      <c r="B9" s="15">
        <v>30</v>
      </c>
      <c r="C9" s="15">
        <v>5</v>
      </c>
      <c r="D9" s="128">
        <f t="shared" si="0"/>
        <v>0.18127314406630224</v>
      </c>
      <c r="E9" s="189">
        <f t="shared" si="1"/>
        <v>0.18127314406630224</v>
      </c>
      <c r="F9" s="16">
        <v>0.15976924007030127</v>
      </c>
      <c r="G9" s="165">
        <v>1028</v>
      </c>
      <c r="I9" s="15">
        <v>30</v>
      </c>
      <c r="J9" s="126">
        <v>5.0000000000000001E-3</v>
      </c>
      <c r="L9" s="15">
        <v>30</v>
      </c>
      <c r="M9" s="202">
        <v>0.15</v>
      </c>
    </row>
    <row r="10" spans="2:18" x14ac:dyDescent="0.25">
      <c r="B10" s="15">
        <v>35</v>
      </c>
      <c r="C10" s="15">
        <v>6</v>
      </c>
      <c r="D10" s="128">
        <f t="shared" si="0"/>
        <v>0.15323576088873214</v>
      </c>
      <c r="E10" s="189">
        <f t="shared" si="1"/>
        <v>0.15323576088873214</v>
      </c>
      <c r="F10" s="16">
        <v>0.16252709380755614</v>
      </c>
      <c r="G10" s="165">
        <v>869</v>
      </c>
      <c r="I10" s="15">
        <v>35</v>
      </c>
      <c r="J10" s="126">
        <v>2E-3</v>
      </c>
      <c r="L10" s="15">
        <v>35</v>
      </c>
      <c r="M10" s="202">
        <v>0.246</v>
      </c>
    </row>
    <row r="11" spans="2:18" x14ac:dyDescent="0.25">
      <c r="B11" s="17">
        <v>40</v>
      </c>
      <c r="C11" s="17">
        <v>7</v>
      </c>
      <c r="D11" s="157">
        <f>E11</f>
        <v>0.13736554399576795</v>
      </c>
      <c r="E11" s="190">
        <f t="shared" si="1"/>
        <v>0.13736554399576795</v>
      </c>
      <c r="F11" s="18">
        <v>0.16828849284602276</v>
      </c>
      <c r="G11" s="17">
        <v>779</v>
      </c>
      <c r="I11" s="17">
        <v>40</v>
      </c>
      <c r="J11" s="127">
        <v>1E-3</v>
      </c>
      <c r="L11" s="15">
        <v>40</v>
      </c>
      <c r="M11" s="202">
        <v>0.51</v>
      </c>
    </row>
    <row r="12" spans="2:18" x14ac:dyDescent="0.25">
      <c r="B12" s="15" t="s">
        <v>6</v>
      </c>
      <c r="C12" s="15"/>
      <c r="D12" s="16">
        <f>SUM(D5:D11)</f>
        <v>1</v>
      </c>
      <c r="E12" s="16"/>
      <c r="G12" s="166">
        <f>SUM(G6:G11)</f>
        <v>5671</v>
      </c>
      <c r="I12" s="21" t="s">
        <v>22</v>
      </c>
      <c r="J12" s="128">
        <f>SUMPRODUCT(D6:D11,J6:J11)</f>
        <v>5.7718215482278259E-3</v>
      </c>
    </row>
    <row r="13" spans="2:18" x14ac:dyDescent="0.25">
      <c r="M13" s="108"/>
      <c r="N13" s="108"/>
      <c r="O13" s="108"/>
      <c r="P13" s="108"/>
      <c r="Q13" s="108"/>
      <c r="R13" s="108"/>
    </row>
    <row r="14" spans="2:18" x14ac:dyDescent="0.25">
      <c r="B14" s="47" t="s">
        <v>53</v>
      </c>
      <c r="C14" s="48"/>
      <c r="D14" s="48"/>
      <c r="E14" s="48"/>
      <c r="F14" s="141">
        <v>0.42</v>
      </c>
      <c r="L14" s="50"/>
      <c r="M14" s="108"/>
      <c r="N14" s="108"/>
      <c r="O14" s="108"/>
      <c r="P14" s="108"/>
      <c r="Q14" s="108"/>
      <c r="R14" s="108"/>
    </row>
    <row r="15" spans="2:18" x14ac:dyDescent="0.25">
      <c r="B15" s="47" t="s">
        <v>108</v>
      </c>
      <c r="C15" s="48"/>
      <c r="D15" s="48"/>
      <c r="E15" s="48"/>
      <c r="F15" s="142">
        <v>1</v>
      </c>
      <c r="L15" s="50"/>
      <c r="M15" s="108"/>
      <c r="N15" s="108"/>
      <c r="O15" s="108"/>
      <c r="P15" s="108"/>
      <c r="Q15" s="108"/>
      <c r="R15" s="108"/>
    </row>
    <row r="16" spans="2:18" x14ac:dyDescent="0.25">
      <c r="H16" s="23"/>
      <c r="I16" s="23"/>
      <c r="J16" s="23"/>
      <c r="K16" s="23"/>
      <c r="L16" s="50"/>
      <c r="M16" s="108"/>
      <c r="N16" s="108"/>
      <c r="O16" s="108"/>
      <c r="P16" s="108"/>
      <c r="Q16" s="108"/>
      <c r="R16" s="108"/>
    </row>
    <row r="17" spans="2:18" x14ac:dyDescent="0.25">
      <c r="B17" s="40" t="s">
        <v>56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</row>
    <row r="18" spans="2:18" x14ac:dyDescent="0.25">
      <c r="B18" s="33"/>
      <c r="C18" s="20" t="s">
        <v>14</v>
      </c>
      <c r="D18" s="20" t="s">
        <v>42</v>
      </c>
      <c r="E18" s="22" t="s">
        <v>43</v>
      </c>
      <c r="F18" s="20" t="s">
        <v>16</v>
      </c>
      <c r="G18" s="20" t="s">
        <v>17</v>
      </c>
      <c r="H18" s="14" t="s">
        <v>18</v>
      </c>
      <c r="I18" s="14" t="s">
        <v>41</v>
      </c>
      <c r="J18" s="14" t="s">
        <v>19</v>
      </c>
      <c r="K18" s="14" t="s">
        <v>20</v>
      </c>
      <c r="L18" s="14" t="s">
        <v>57</v>
      </c>
    </row>
    <row r="19" spans="2:18" x14ac:dyDescent="0.25">
      <c r="B19" s="145" t="s">
        <v>97</v>
      </c>
      <c r="C19" s="34">
        <v>1</v>
      </c>
      <c r="D19" s="37">
        <v>0</v>
      </c>
      <c r="E19" s="16">
        <v>9.9999999999999998E-13</v>
      </c>
      <c r="F19" s="191">
        <v>1.1900000000000001E-2</v>
      </c>
      <c r="G19" s="191">
        <v>3.27E-2</v>
      </c>
      <c r="H19" s="192">
        <v>0.1119</v>
      </c>
      <c r="I19" s="192">
        <v>0.2364</v>
      </c>
      <c r="J19" s="192">
        <v>0.36130000000000001</v>
      </c>
      <c r="K19" s="192">
        <v>0.51859999999999995</v>
      </c>
      <c r="L19" s="16">
        <f>MMULT(F19:K19,$E$6:$E$11)</f>
        <v>0.19750259213542584</v>
      </c>
      <c r="M19" s="16"/>
      <c r="N19" s="16"/>
      <c r="O19" s="16"/>
      <c r="P19" s="16"/>
      <c r="Q19" s="16"/>
    </row>
    <row r="20" spans="2:18" x14ac:dyDescent="0.25">
      <c r="B20" s="145" t="s">
        <v>109</v>
      </c>
      <c r="C20" s="34">
        <v>2</v>
      </c>
      <c r="D20" s="37">
        <v>0</v>
      </c>
      <c r="E20" s="16">
        <f>1-E19</f>
        <v>0.99999999999900002</v>
      </c>
      <c r="F20" s="191">
        <v>0.6139</v>
      </c>
      <c r="G20" s="191">
        <v>0.1888</v>
      </c>
      <c r="H20" s="192">
        <v>0.1273</v>
      </c>
      <c r="I20" s="192">
        <v>7.7799999999999994E-2</v>
      </c>
      <c r="J20" s="192">
        <v>9.9000000000000005E-2</v>
      </c>
      <c r="K20" s="192">
        <v>0.1014</v>
      </c>
      <c r="L20" s="16">
        <f>MMULT(F20:K20,$E$6:$E$11)</f>
        <v>0.20737638864397812</v>
      </c>
      <c r="M20" s="16"/>
      <c r="N20" s="16"/>
      <c r="O20" s="16"/>
      <c r="P20" s="16"/>
      <c r="Q20" s="16"/>
    </row>
    <row r="21" spans="2:18" x14ac:dyDescent="0.25">
      <c r="B21" s="32" t="s">
        <v>12</v>
      </c>
      <c r="C21" s="34">
        <v>3</v>
      </c>
      <c r="D21" s="39">
        <f>1-percent_contraceptionDecrease</f>
        <v>1</v>
      </c>
      <c r="E21" s="16">
        <v>0</v>
      </c>
      <c r="F21" s="191">
        <v>0.2366</v>
      </c>
      <c r="G21" s="191">
        <v>0.54320000000000002</v>
      </c>
      <c r="H21" s="192">
        <v>0.50529999999999997</v>
      </c>
      <c r="I21" s="192">
        <v>0.42120000000000002</v>
      </c>
      <c r="J21" s="192">
        <v>0.34289999999999998</v>
      </c>
      <c r="K21" s="192">
        <v>0.22589999999999999</v>
      </c>
      <c r="L21" s="16">
        <f t="shared" ref="L21:L23" si="2">MMULT(F21:K21,$E$6:$E$11)</f>
        <v>0.38526988185505201</v>
      </c>
      <c r="M21" s="16"/>
      <c r="N21" s="16"/>
      <c r="O21" s="16"/>
      <c r="P21" s="16"/>
      <c r="Q21" s="16"/>
    </row>
    <row r="22" spans="2:18" x14ac:dyDescent="0.25">
      <c r="B22" s="32" t="s">
        <v>52</v>
      </c>
      <c r="C22" s="34">
        <v>4</v>
      </c>
      <c r="D22" s="39">
        <f>percent_contraceptionIncrease</f>
        <v>0</v>
      </c>
      <c r="E22" s="16">
        <v>0</v>
      </c>
      <c r="F22" s="191">
        <v>0.1089</v>
      </c>
      <c r="G22" s="191">
        <v>0.1424</v>
      </c>
      <c r="H22" s="192">
        <v>0.12920000000000001</v>
      </c>
      <c r="I22" s="192">
        <v>0.14199999999999999</v>
      </c>
      <c r="J22" s="192">
        <v>0.1197</v>
      </c>
      <c r="K22" s="192">
        <v>9.11E-2</v>
      </c>
      <c r="L22" s="16">
        <f t="shared" si="2"/>
        <v>0.1234221125022042</v>
      </c>
      <c r="M22" s="16"/>
      <c r="N22" s="16"/>
      <c r="O22" s="16"/>
      <c r="P22" s="16"/>
      <c r="Q22" s="16"/>
    </row>
    <row r="23" spans="2:18" x14ac:dyDescent="0.25">
      <c r="B23" s="32" t="s">
        <v>13</v>
      </c>
      <c r="C23" s="34">
        <v>5</v>
      </c>
      <c r="D23" s="37">
        <v>0</v>
      </c>
      <c r="E23" s="16">
        <v>0</v>
      </c>
      <c r="F23" s="191">
        <v>1E-3</v>
      </c>
      <c r="G23" s="191">
        <v>2.64E-2</v>
      </c>
      <c r="H23" s="192">
        <v>5.2999999999999999E-2</v>
      </c>
      <c r="I23" s="192">
        <v>6.7100000000000007E-2</v>
      </c>
      <c r="J23" s="192">
        <v>5.4100000000000002E-2</v>
      </c>
      <c r="K23" s="192">
        <v>5.6500000000000002E-2</v>
      </c>
      <c r="L23" s="16">
        <f t="shared" si="2"/>
        <v>4.2497513666020101E-2</v>
      </c>
      <c r="M23" s="16"/>
      <c r="N23" s="16"/>
      <c r="O23" s="16"/>
      <c r="P23" s="16"/>
      <c r="Q23" s="16"/>
    </row>
    <row r="24" spans="2:18" ht="15.75" customHeight="1" x14ac:dyDescent="0.25">
      <c r="B24" s="46" t="s">
        <v>58</v>
      </c>
      <c r="C24" s="35">
        <v>6</v>
      </c>
      <c r="D24" s="38">
        <v>0</v>
      </c>
      <c r="E24" s="18">
        <v>0</v>
      </c>
      <c r="F24" s="193">
        <v>2.7699999999999999E-2</v>
      </c>
      <c r="G24" s="193">
        <v>6.6500000000000004E-2</v>
      </c>
      <c r="H24" s="194">
        <v>7.3300000000000004E-2</v>
      </c>
      <c r="I24" s="194">
        <v>5.5500000000000001E-2</v>
      </c>
      <c r="J24" s="194">
        <v>2.3E-2</v>
      </c>
      <c r="K24" s="194">
        <v>6.4999999999999997E-3</v>
      </c>
      <c r="L24" s="18">
        <f>MMULT(F24:K24,$E$6:$E$11)</f>
        <v>4.3931511197319702E-2</v>
      </c>
    </row>
    <row r="25" spans="2:18" x14ac:dyDescent="0.25">
      <c r="C25" s="23" t="s">
        <v>6</v>
      </c>
      <c r="D25" s="23"/>
      <c r="E25" s="36">
        <f t="shared" ref="E25:K25" si="3">SUM(E19:E24)</f>
        <v>1</v>
      </c>
      <c r="F25" s="16">
        <f t="shared" si="3"/>
        <v>1</v>
      </c>
      <c r="G25" s="16">
        <f t="shared" si="3"/>
        <v>1</v>
      </c>
      <c r="H25" s="16">
        <f>SUM(H19:H24)</f>
        <v>1</v>
      </c>
      <c r="I25" s="16">
        <f t="shared" si="3"/>
        <v>1.0000000000000002</v>
      </c>
      <c r="J25" s="16">
        <f t="shared" si="3"/>
        <v>1</v>
      </c>
      <c r="K25" s="16">
        <f t="shared" si="3"/>
        <v>0.99999999999999989</v>
      </c>
    </row>
    <row r="26" spans="2:18" x14ac:dyDescent="0.25">
      <c r="G26" s="148"/>
      <c r="L26" s="50"/>
      <c r="M26" s="108"/>
      <c r="N26" s="108"/>
      <c r="O26" s="108"/>
      <c r="P26" s="108"/>
      <c r="Q26" s="108"/>
      <c r="R26" s="108"/>
    </row>
    <row r="27" spans="2:18" x14ac:dyDescent="0.25">
      <c r="C27" s="23"/>
      <c r="D27" s="23"/>
    </row>
    <row r="28" spans="2:18" x14ac:dyDescent="0.25">
      <c r="B28" s="42" t="s">
        <v>23</v>
      </c>
      <c r="C28" s="43"/>
      <c r="D28" s="43"/>
      <c r="E28" s="43"/>
      <c r="F28" s="43"/>
      <c r="G28" s="44"/>
      <c r="H28" s="44"/>
      <c r="N28" s="23"/>
    </row>
    <row r="29" spans="2:18" ht="135" x14ac:dyDescent="0.25">
      <c r="B29" s="24" t="s">
        <v>24</v>
      </c>
      <c r="C29" s="24" t="s">
        <v>14</v>
      </c>
      <c r="D29" s="24" t="s">
        <v>25</v>
      </c>
      <c r="E29" s="24" t="s">
        <v>26</v>
      </c>
      <c r="F29" s="24" t="s">
        <v>27</v>
      </c>
      <c r="G29" s="26" t="s">
        <v>112</v>
      </c>
      <c r="H29" s="26" t="s">
        <v>115</v>
      </c>
      <c r="I29" s="26" t="s">
        <v>116</v>
      </c>
      <c r="J29" s="159" t="s">
        <v>113</v>
      </c>
      <c r="L29" s="158"/>
    </row>
    <row r="30" spans="2:18" x14ac:dyDescent="0.25">
      <c r="B30" t="s">
        <v>28</v>
      </c>
      <c r="C30" s="1">
        <v>1</v>
      </c>
      <c r="D30" s="57">
        <f>0.05/100</f>
        <v>5.0000000000000001E-4</v>
      </c>
      <c r="E30" s="25">
        <f>LN(1-D30)</f>
        <v>-5.0012504168224286E-4</v>
      </c>
      <c r="F30" s="55">
        <f>1+1/(probSuccessPregnancy*averageNumOfSexualEncounters*52*effAdjustingFactor)*E30</f>
        <v>0.99848249024126401</v>
      </c>
      <c r="G30" s="195">
        <v>1.7999999999999999E-2</v>
      </c>
      <c r="H30" s="195">
        <f>G30/(1-$G$38)</f>
        <v>4.3134435657800139E-2</v>
      </c>
      <c r="I30" s="189">
        <v>8.0000000000000002E-3</v>
      </c>
    </row>
    <row r="31" spans="2:18" x14ac:dyDescent="0.25">
      <c r="B31" t="s">
        <v>29</v>
      </c>
      <c r="C31" s="1">
        <v>2</v>
      </c>
      <c r="D31" s="57">
        <f>6/100</f>
        <v>0.06</v>
      </c>
      <c r="E31" s="25">
        <f t="shared" ref="E31:E37" si="4">LN(1-D31)</f>
        <v>-6.1875403718087529E-2</v>
      </c>
      <c r="F31" s="55">
        <f t="shared" ref="F31:F37" si="5">1+1/(probSuccessPregnancy*averageNumOfSexualEncounters*52*effAdjustingFactor)*E31</f>
        <v>0.8122538942419455</v>
      </c>
      <c r="G31" s="195">
        <v>2.98E-2</v>
      </c>
      <c r="H31" s="195">
        <f t="shared" ref="H31:H37" si="6">G31/(1-$G$38)</f>
        <v>7.1411454589024675E-2</v>
      </c>
      <c r="I31" s="189">
        <v>2.8000000000000001E-2</v>
      </c>
    </row>
    <row r="32" spans="2:18" x14ac:dyDescent="0.25">
      <c r="B32" t="s">
        <v>30</v>
      </c>
      <c r="C32" s="1">
        <v>3</v>
      </c>
      <c r="D32" s="57">
        <f>9/100</f>
        <v>0.09</v>
      </c>
      <c r="E32" s="25">
        <f t="shared" si="4"/>
        <v>-9.431067947124129E-2</v>
      </c>
      <c r="F32" s="55">
        <f t="shared" si="5"/>
        <v>0.71383681175165137</v>
      </c>
      <c r="G32" s="195">
        <v>0.14369999999999999</v>
      </c>
      <c r="H32" s="195">
        <f t="shared" si="6"/>
        <v>0.34435657800143782</v>
      </c>
      <c r="I32" s="189">
        <v>0.16</v>
      </c>
    </row>
    <row r="33" spans="1:15" x14ac:dyDescent="0.25">
      <c r="B33" t="s">
        <v>31</v>
      </c>
      <c r="C33" s="1">
        <v>4</v>
      </c>
      <c r="D33" s="57">
        <f>9/100</f>
        <v>0.09</v>
      </c>
      <c r="E33" s="25">
        <f t="shared" si="4"/>
        <v>-9.431067947124129E-2</v>
      </c>
      <c r="F33" s="55">
        <f t="shared" si="5"/>
        <v>0.71383681175165137</v>
      </c>
      <c r="G33" s="195">
        <v>1.11E-2</v>
      </c>
      <c r="H33" s="195">
        <f t="shared" si="6"/>
        <v>2.6599568655643422E-2</v>
      </c>
      <c r="I33" s="189">
        <v>1.6E-2</v>
      </c>
    </row>
    <row r="34" spans="1:15" x14ac:dyDescent="0.25">
      <c r="B34" t="s">
        <v>32</v>
      </c>
      <c r="C34" s="1">
        <v>5</v>
      </c>
      <c r="D34" s="57">
        <f>0.05/100</f>
        <v>5.0000000000000001E-4</v>
      </c>
      <c r="E34" s="25">
        <f t="shared" si="4"/>
        <v>-5.0012504168224286E-4</v>
      </c>
      <c r="F34" s="55">
        <f t="shared" si="5"/>
        <v>0.99848249024126401</v>
      </c>
      <c r="G34" s="195">
        <v>6.8400000000000002E-2</v>
      </c>
      <c r="H34" s="195">
        <f t="shared" si="6"/>
        <v>0.16391085549964055</v>
      </c>
      <c r="I34" s="189">
        <v>6.4000000000000001E-2</v>
      </c>
    </row>
    <row r="35" spans="1:15" ht="15.75" customHeight="1" x14ac:dyDescent="0.25">
      <c r="B35" t="s">
        <v>33</v>
      </c>
      <c r="C35" s="1">
        <v>6</v>
      </c>
      <c r="D35" s="57">
        <f>18/100</f>
        <v>0.18</v>
      </c>
      <c r="E35" s="25">
        <f t="shared" si="4"/>
        <v>-0.19845093872383818</v>
      </c>
      <c r="F35" s="55">
        <f t="shared" si="5"/>
        <v>0.3978481158816346</v>
      </c>
      <c r="G35" s="195">
        <v>9.1499999999999998E-2</v>
      </c>
      <c r="H35" s="195">
        <f t="shared" si="6"/>
        <v>0.21926671459381739</v>
      </c>
      <c r="I35" s="189">
        <v>9.4E-2</v>
      </c>
    </row>
    <row r="36" spans="1:15" x14ac:dyDescent="0.25">
      <c r="B36" s="6" t="s">
        <v>34</v>
      </c>
      <c r="C36" s="7">
        <v>7</v>
      </c>
      <c r="D36" s="7">
        <f>22/100</f>
        <v>0.22</v>
      </c>
      <c r="E36" s="53">
        <f t="shared" si="4"/>
        <v>-0.24846135929849961</v>
      </c>
      <c r="F36" s="56">
        <f t="shared" si="5"/>
        <v>0.24610346217409873</v>
      </c>
      <c r="G36" s="196">
        <v>3.8800000000000001E-2</v>
      </c>
      <c r="H36" s="196">
        <f t="shared" si="6"/>
        <v>9.2978672417924763E-2</v>
      </c>
      <c r="I36" s="197">
        <v>0.03</v>
      </c>
    </row>
    <row r="37" spans="1:15" x14ac:dyDescent="0.25">
      <c r="B37" s="6" t="s">
        <v>35</v>
      </c>
      <c r="C37" s="7">
        <v>8</v>
      </c>
      <c r="D37" s="7">
        <f>18.67/100</f>
        <v>0.1867</v>
      </c>
      <c r="E37" s="53">
        <f t="shared" si="4"/>
        <v>-0.20665523380940748</v>
      </c>
      <c r="F37" s="56">
        <f t="shared" si="5"/>
        <v>0.37295414573764163</v>
      </c>
      <c r="G37" s="196">
        <v>1.6E-2</v>
      </c>
      <c r="H37" s="196">
        <f t="shared" si="6"/>
        <v>3.8341720584711241E-2</v>
      </c>
      <c r="I37" s="197">
        <v>1.0999999999999999E-2</v>
      </c>
    </row>
    <row r="38" spans="1:15" x14ac:dyDescent="0.25">
      <c r="B38" s="27" t="s">
        <v>114</v>
      </c>
      <c r="C38" s="28">
        <v>9</v>
      </c>
      <c r="D38" s="28"/>
      <c r="E38" s="29"/>
      <c r="F38" s="30"/>
      <c r="G38" s="190">
        <v>0.5827</v>
      </c>
      <c r="H38" s="198">
        <v>0</v>
      </c>
      <c r="I38" s="199">
        <v>0.58899999999999997</v>
      </c>
    </row>
    <row r="39" spans="1:15" x14ac:dyDescent="0.25">
      <c r="E39" s="25"/>
      <c r="F39" s="25"/>
      <c r="G39" s="160">
        <f>SUM(G30:G38)</f>
        <v>1</v>
      </c>
      <c r="H39" s="161">
        <f>SUM(H30:H37)</f>
        <v>1</v>
      </c>
      <c r="I39" s="162">
        <f>SUM(I30:I38)</f>
        <v>1</v>
      </c>
    </row>
    <row r="40" spans="1:15" x14ac:dyDescent="0.25">
      <c r="A40" s="108"/>
      <c r="B40" s="108"/>
      <c r="C40" s="108"/>
      <c r="D40" s="108"/>
      <c r="E40" s="108"/>
      <c r="F40" s="108"/>
      <c r="G40" s="108"/>
      <c r="H40" s="108"/>
      <c r="I40" s="108"/>
    </row>
    <row r="41" spans="1:15" x14ac:dyDescent="0.25">
      <c r="A41" s="108"/>
      <c r="B41" s="108"/>
      <c r="C41" s="108"/>
      <c r="D41" s="108"/>
      <c r="E41" s="108"/>
      <c r="F41" s="108"/>
      <c r="G41" s="108"/>
      <c r="H41" s="108"/>
      <c r="I41" s="108"/>
    </row>
    <row r="42" spans="1:15" x14ac:dyDescent="0.25">
      <c r="A42" s="108"/>
      <c r="B42" s="132" t="s">
        <v>49</v>
      </c>
      <c r="C42" s="133"/>
      <c r="D42" s="133"/>
      <c r="E42" s="133"/>
      <c r="F42" s="133"/>
      <c r="G42" s="133"/>
      <c r="H42" s="133"/>
      <c r="I42" s="133"/>
      <c r="J42" s="108"/>
    </row>
    <row r="43" spans="1:15" x14ac:dyDescent="0.25">
      <c r="A43" s="108"/>
      <c r="B43" s="111" t="s">
        <v>3</v>
      </c>
      <c r="C43" s="109" t="s">
        <v>14</v>
      </c>
      <c r="D43" s="109" t="str">
        <f t="array" ref="D43:I43">TRANSPOSE($B$19:$B$24)</f>
        <v>Sterile</v>
      </c>
      <c r="E43" s="109" t="str">
        <v>Inactive</v>
      </c>
      <c r="F43" s="109" t="str">
        <v>Careful sex</v>
      </c>
      <c r="G43" s="109" t="str">
        <v>Unsafe Sex</v>
      </c>
      <c r="H43" s="109" t="str">
        <v>Seeking Pregnancy</v>
      </c>
      <c r="I43" s="109" t="str">
        <v>Pregnant</v>
      </c>
      <c r="J43" s="108"/>
    </row>
    <row r="44" spans="1:15" x14ac:dyDescent="0.25">
      <c r="A44" s="108"/>
      <c r="B44" s="137">
        <v>10</v>
      </c>
      <c r="C44" s="79">
        <v>1</v>
      </c>
      <c r="D44" s="79">
        <v>0</v>
      </c>
      <c r="E44" s="79">
        <v>0</v>
      </c>
      <c r="F44" s="79">
        <v>0</v>
      </c>
      <c r="G44" s="79">
        <v>0</v>
      </c>
      <c r="H44" s="79">
        <v>0</v>
      </c>
      <c r="I44" s="79">
        <v>0</v>
      </c>
      <c r="J44" s="108"/>
    </row>
    <row r="45" spans="1:15" x14ac:dyDescent="0.25">
      <c r="A45" s="108"/>
      <c r="B45" s="137">
        <v>15</v>
      </c>
      <c r="C45" s="79">
        <v>2</v>
      </c>
      <c r="D45" s="200">
        <f>Gamma.Poisson.Calc!F27</f>
        <v>9.3866327978927563E-2</v>
      </c>
      <c r="E45" s="200">
        <f>Gamma.Poisson.Calc!F33</f>
        <v>0.15929640631876327</v>
      </c>
      <c r="F45" s="200">
        <f>Gamma.Poisson.Calc!F39</f>
        <v>0.43270912192833</v>
      </c>
      <c r="G45" s="200">
        <f>Gamma.Poisson.Calc!F45</f>
        <v>0.32048210044580894</v>
      </c>
      <c r="H45" s="200">
        <f>Gamma.Poisson.Calc!$F$51</f>
        <v>0.45419607280134661</v>
      </c>
      <c r="I45" s="200">
        <f>Gamma.Poisson.Calc!$F$52</f>
        <v>5.6496908430209554E-2</v>
      </c>
      <c r="J45" s="108"/>
      <c r="K45"/>
    </row>
    <row r="46" spans="1:15" x14ac:dyDescent="0.25">
      <c r="A46" s="108"/>
      <c r="B46" s="155">
        <v>20</v>
      </c>
      <c r="C46" s="155">
        <v>3</v>
      </c>
      <c r="D46" s="200">
        <f>Gamma.Poisson.Calc!F28</f>
        <v>0.32392099949041236</v>
      </c>
      <c r="E46" s="200">
        <f>Gamma.Poisson.Calc!F34</f>
        <v>0.39088372970962454</v>
      </c>
      <c r="F46" s="200">
        <f>Gamma.Poisson.Calc!F40</f>
        <v>0.69471503477280849</v>
      </c>
      <c r="G46" s="200">
        <f>Gamma.Poisson.Calc!F46</f>
        <v>0.40238815146172974</v>
      </c>
      <c r="H46" s="200">
        <f>Gamma.Poisson.Calc!$F$51</f>
        <v>0.45419607280134661</v>
      </c>
      <c r="I46" s="200">
        <f>Gamma.Poisson.Calc!$F$52</f>
        <v>5.6496908430209554E-2</v>
      </c>
      <c r="J46" s="110"/>
      <c r="K46"/>
      <c r="L46"/>
      <c r="M46"/>
      <c r="N46"/>
      <c r="O46" s="15"/>
    </row>
    <row r="47" spans="1:15" x14ac:dyDescent="0.25">
      <c r="A47" s="108"/>
      <c r="B47" s="155">
        <v>25</v>
      </c>
      <c r="C47" s="155">
        <v>4</v>
      </c>
      <c r="D47" s="200">
        <f>Gamma.Poisson.Calc!F29</f>
        <v>0.38325142260268197</v>
      </c>
      <c r="E47" s="200">
        <f>Gamma.Poisson.Calc!F35</f>
        <v>0.39218903258975846</v>
      </c>
      <c r="F47" s="200">
        <f>Gamma.Poisson.Calc!F41</f>
        <v>0.54468990640460679</v>
      </c>
      <c r="G47" s="200">
        <f>Gamma.Poisson.Calc!F47</f>
        <v>0.48544699886042697</v>
      </c>
      <c r="H47" s="200">
        <f>Gamma.Poisson.Calc!$F$51</f>
        <v>0.45419607280134661</v>
      </c>
      <c r="I47" s="200">
        <f>Gamma.Poisson.Calc!$F$52</f>
        <v>5.6496908430209554E-2</v>
      </c>
      <c r="J47" s="110"/>
      <c r="K47"/>
      <c r="L47"/>
      <c r="M47"/>
      <c r="N47"/>
      <c r="O47" s="15"/>
    </row>
    <row r="48" spans="1:15" x14ac:dyDescent="0.25">
      <c r="A48" s="108"/>
      <c r="B48" s="155">
        <v>30</v>
      </c>
      <c r="C48" s="155">
        <v>5</v>
      </c>
      <c r="D48" s="200">
        <f>Gamma.Poisson.Calc!F30</f>
        <v>0.38576710432628908</v>
      </c>
      <c r="E48" s="200">
        <f>Gamma.Poisson.Calc!F36</f>
        <v>0.32396070032744329</v>
      </c>
      <c r="F48" s="200">
        <f>Gamma.Poisson.Calc!F42</f>
        <v>0.53996175973541405</v>
      </c>
      <c r="G48" s="200">
        <f>Gamma.Poisson.Calc!F48</f>
        <v>0.3352140726230578</v>
      </c>
      <c r="H48" s="200">
        <f>Gamma.Poisson.Calc!$F$51</f>
        <v>0.45419607280134661</v>
      </c>
      <c r="I48" s="200">
        <f>Gamma.Poisson.Calc!$F$52</f>
        <v>5.6496908430209554E-2</v>
      </c>
      <c r="J48" s="110"/>
      <c r="K48" s="15"/>
      <c r="L48" s="15"/>
      <c r="M48" s="15"/>
      <c r="N48" s="15"/>
      <c r="O48" s="63"/>
    </row>
    <row r="49" spans="1:17" x14ac:dyDescent="0.25">
      <c r="A49" s="108"/>
      <c r="B49" s="97">
        <v>35</v>
      </c>
      <c r="C49" s="97">
        <v>6</v>
      </c>
      <c r="D49" s="200">
        <f>Gamma.Poisson.Calc!F31</f>
        <v>0.37804653882736527</v>
      </c>
      <c r="E49" s="200">
        <f>Gamma.Poisson.Calc!F37</f>
        <v>0.32791059241624915</v>
      </c>
      <c r="F49" s="200">
        <f>Gamma.Poisson.Calc!F43</f>
        <v>0.43314850158597801</v>
      </c>
      <c r="G49" s="200">
        <f>Gamma.Poisson.Calc!F49</f>
        <v>0.28742093305757371</v>
      </c>
      <c r="H49" s="200">
        <f>Gamma.Poisson.Calc!$F$51</f>
        <v>0.45419607280134661</v>
      </c>
      <c r="I49" s="200">
        <f>Gamma.Poisson.Calc!$F$52</f>
        <v>5.6496908430209554E-2</v>
      </c>
      <c r="J49" s="135"/>
      <c r="K49" s="61"/>
      <c r="L49" s="61"/>
      <c r="M49" s="15"/>
      <c r="N49" s="15"/>
      <c r="O49" s="15"/>
      <c r="P49" s="62"/>
      <c r="Q49" s="23"/>
    </row>
    <row r="50" spans="1:17" x14ac:dyDescent="0.25">
      <c r="A50" s="108"/>
      <c r="B50" s="169">
        <v>40</v>
      </c>
      <c r="C50" s="169">
        <v>7</v>
      </c>
      <c r="D50" s="206">
        <f>Gamma.Poisson.Calc!F32</f>
        <v>0.43021676957495814</v>
      </c>
      <c r="E50" s="206">
        <f>Gamma.Poisson.Calc!F38</f>
        <v>0.25130423048377304</v>
      </c>
      <c r="F50" s="206">
        <f>Gamma.Poisson.Calc!F44</f>
        <v>0.44234531527542614</v>
      </c>
      <c r="G50" s="206">
        <f>Gamma.Poisson.Calc!F50</f>
        <v>0.46226012070382189</v>
      </c>
      <c r="H50" s="206">
        <f>Gamma.Poisson.Calc!$F$51</f>
        <v>0.45419607280134661</v>
      </c>
      <c r="I50" s="206">
        <f>Gamma.Poisson.Calc!$F$52</f>
        <v>5.6496908430209554E-2</v>
      </c>
      <c r="J50" s="110"/>
      <c r="K50" s="15"/>
      <c r="L50" s="15"/>
      <c r="M50" s="15"/>
      <c r="N50" s="15"/>
      <c r="O50" s="15"/>
    </row>
    <row r="51" spans="1:17" x14ac:dyDescent="0.25">
      <c r="A51" s="108"/>
      <c r="B51" s="108"/>
      <c r="C51" s="108"/>
      <c r="D51" s="108"/>
      <c r="E51" s="108"/>
      <c r="F51" s="108"/>
      <c r="G51" s="108"/>
      <c r="H51" s="108"/>
      <c r="I51" s="108"/>
      <c r="J51" s="131"/>
      <c r="K51" s="15"/>
      <c r="L51" s="15"/>
      <c r="M51" s="15"/>
      <c r="N51" s="15"/>
      <c r="O51" s="15"/>
    </row>
    <row r="52" spans="1:17" x14ac:dyDescent="0.25">
      <c r="A52" s="108"/>
      <c r="B52" s="132" t="s">
        <v>50</v>
      </c>
      <c r="C52" s="133"/>
      <c r="D52" s="133"/>
      <c r="E52" s="133"/>
      <c r="F52" s="133"/>
      <c r="G52" s="133"/>
      <c r="H52" s="133"/>
      <c r="I52" s="133"/>
      <c r="J52" s="108"/>
    </row>
    <row r="53" spans="1:17" x14ac:dyDescent="0.25">
      <c r="A53" s="108"/>
      <c r="B53" s="111" t="s">
        <v>3</v>
      </c>
      <c r="C53" s="109" t="s">
        <v>14</v>
      </c>
      <c r="D53" s="109" t="str">
        <f t="array" ref="D53:I53">TRANSPOSE($B$19:$B$24)</f>
        <v>Sterile</v>
      </c>
      <c r="E53" s="109" t="str">
        <v>Inactive</v>
      </c>
      <c r="F53" s="109" t="str">
        <v>Careful sex</v>
      </c>
      <c r="G53" s="109" t="str">
        <v>Unsafe Sex</v>
      </c>
      <c r="H53" s="109" t="str">
        <v>Seeking Pregnancy</v>
      </c>
      <c r="I53" s="109" t="str">
        <v>Pregnant</v>
      </c>
      <c r="J53" s="108"/>
    </row>
    <row r="54" spans="1:17" x14ac:dyDescent="0.25">
      <c r="A54" s="108"/>
      <c r="B54" s="137">
        <v>10</v>
      </c>
      <c r="C54" s="79">
        <v>1</v>
      </c>
      <c r="D54" s="79">
        <v>0</v>
      </c>
      <c r="E54" s="79">
        <v>0</v>
      </c>
      <c r="F54" s="79">
        <v>0</v>
      </c>
      <c r="G54" s="79">
        <v>0</v>
      </c>
      <c r="H54" s="79">
        <v>0</v>
      </c>
      <c r="I54" s="79">
        <v>0</v>
      </c>
      <c r="J54" s="108"/>
    </row>
    <row r="55" spans="1:17" x14ac:dyDescent="0.25">
      <c r="A55" s="108"/>
      <c r="B55" s="155">
        <v>15</v>
      </c>
      <c r="C55" s="155">
        <v>2</v>
      </c>
      <c r="D55" s="200">
        <f>Gamma.Poisson.Calc!E27</f>
        <v>22.194682</v>
      </c>
      <c r="E55" s="200">
        <f>Gamma.Poisson.Calc!E33</f>
        <v>3.7767707000000001</v>
      </c>
      <c r="F55" s="200">
        <f>Gamma.Poisson.Calc!E39</f>
        <v>7.7424090000000003</v>
      </c>
      <c r="G55" s="200">
        <f>Gamma.Poisson.Calc!E45</f>
        <v>8.1872067000000008</v>
      </c>
      <c r="H55" s="200">
        <f>Gamma.Poisson.Calc!$E$51</f>
        <v>8.9255326999999998</v>
      </c>
      <c r="I55" s="200">
        <f>Gamma.Poisson.Calc!$E$52</f>
        <v>11.752281999999999</v>
      </c>
      <c r="J55" s="108"/>
    </row>
    <row r="56" spans="1:17" x14ac:dyDescent="0.25">
      <c r="A56" s="108"/>
      <c r="B56" s="155">
        <v>20</v>
      </c>
      <c r="C56" s="155">
        <v>3</v>
      </c>
      <c r="D56" s="200">
        <f>Gamma.Poisson.Calc!E28</f>
        <v>11.850759</v>
      </c>
      <c r="E56" s="200">
        <f>Gamma.Poisson.Calc!E34</f>
        <v>7.5440939999999994</v>
      </c>
      <c r="F56" s="200">
        <f>Gamma.Poisson.Calc!E40</f>
        <v>7.2676183000000005</v>
      </c>
      <c r="G56" s="200">
        <f>Gamma.Poisson.Calc!E46</f>
        <v>11.379429</v>
      </c>
      <c r="H56" s="200">
        <f>Gamma.Poisson.Calc!$E$51</f>
        <v>8.9255326999999998</v>
      </c>
      <c r="I56" s="200">
        <f>Gamma.Poisson.Calc!$E$52</f>
        <v>11.752281999999999</v>
      </c>
      <c r="J56" s="108"/>
      <c r="L56"/>
    </row>
    <row r="57" spans="1:17" x14ac:dyDescent="0.25">
      <c r="A57" s="108"/>
      <c r="B57" s="155">
        <v>25</v>
      </c>
      <c r="C57" s="155">
        <v>4</v>
      </c>
      <c r="D57" s="200">
        <f>Gamma.Poisson.Calc!E29</f>
        <v>9.4023090000000007</v>
      </c>
      <c r="E57" s="200">
        <f>Gamma.Poisson.Calc!E35</f>
        <v>8.6615032999999997</v>
      </c>
      <c r="F57" s="200">
        <f>Gamma.Poisson.Calc!E41</f>
        <v>9.5573080000000008</v>
      </c>
      <c r="G57" s="200">
        <f>Gamma.Poisson.Calc!E47</f>
        <v>9.0981439999999996</v>
      </c>
      <c r="H57" s="200">
        <f>Gamma.Poisson.Calc!$E$51</f>
        <v>8.9255326999999998</v>
      </c>
      <c r="I57" s="200">
        <f>Gamma.Poisson.Calc!$E$52</f>
        <v>11.752281999999999</v>
      </c>
      <c r="J57" s="108"/>
      <c r="L57"/>
    </row>
    <row r="58" spans="1:17" x14ac:dyDescent="0.25">
      <c r="A58" s="108"/>
      <c r="B58" s="97">
        <v>30</v>
      </c>
      <c r="C58" s="97">
        <v>5</v>
      </c>
      <c r="D58" s="200">
        <f>Gamma.Poisson.Calc!E30</f>
        <v>9.533436</v>
      </c>
      <c r="E58" s="200">
        <f>Gamma.Poisson.Calc!E36</f>
        <v>14.816611999999999</v>
      </c>
      <c r="F58" s="200">
        <f>Gamma.Poisson.Calc!E42</f>
        <v>9.3670899999999993</v>
      </c>
      <c r="G58" s="200">
        <f>Gamma.Poisson.Calc!E48</f>
        <v>12.541912</v>
      </c>
      <c r="H58" s="200">
        <f>Gamma.Poisson.Calc!$E$51</f>
        <v>8.9255326999999998</v>
      </c>
      <c r="I58" s="200">
        <f>Gamma.Poisson.Calc!$E$52</f>
        <v>11.752281999999999</v>
      </c>
      <c r="J58" s="108"/>
    </row>
    <row r="59" spans="1:17" x14ac:dyDescent="0.25">
      <c r="A59" s="108"/>
      <c r="B59" s="97">
        <v>35</v>
      </c>
      <c r="C59" s="97">
        <v>6</v>
      </c>
      <c r="D59" s="200">
        <f>Gamma.Poisson.Calc!E31</f>
        <v>10.07202</v>
      </c>
      <c r="E59" s="200">
        <f>Gamma.Poisson.Calc!E37</f>
        <v>13.971477</v>
      </c>
      <c r="F59" s="200">
        <f>Gamma.Poisson.Calc!E43</f>
        <v>11.723996</v>
      </c>
      <c r="G59" s="200">
        <f>Gamma.Poisson.Calc!E49</f>
        <v>15.335581000000001</v>
      </c>
      <c r="H59" s="200">
        <f>Gamma.Poisson.Calc!$E$51</f>
        <v>8.9255326999999998</v>
      </c>
      <c r="I59" s="200">
        <f>Gamma.Poisson.Calc!$E$52</f>
        <v>11.752281999999999</v>
      </c>
      <c r="J59" s="108"/>
    </row>
    <row r="60" spans="1:17" x14ac:dyDescent="0.25">
      <c r="A60" s="108"/>
      <c r="B60" s="169">
        <v>40</v>
      </c>
      <c r="C60" s="169">
        <v>7</v>
      </c>
      <c r="D60" s="206">
        <f>Gamma.Poisson.Calc!E32</f>
        <v>10.193866</v>
      </c>
      <c r="E60" s="206">
        <f>Gamma.Poisson.Calc!E38</f>
        <v>17.192360000000001</v>
      </c>
      <c r="F60" s="206">
        <f>Gamma.Poisson.Calc!E44</f>
        <v>9.8222529999999999</v>
      </c>
      <c r="G60" s="206">
        <f>Gamma.Poisson.Calc!E50</f>
        <v>12.979704999999999</v>
      </c>
      <c r="H60" s="206">
        <f>Gamma.Poisson.Calc!$E$51</f>
        <v>8.9255326999999998</v>
      </c>
      <c r="I60" s="206">
        <f>Gamma.Poisson.Calc!$E$52</f>
        <v>11.752281999999999</v>
      </c>
      <c r="J60" s="108"/>
    </row>
    <row r="61" spans="1:17" x14ac:dyDescent="0.25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/>
    </row>
    <row r="62" spans="1:17" x14ac:dyDescent="0.25">
      <c r="A62" s="108"/>
      <c r="B62" s="132" t="s">
        <v>63</v>
      </c>
      <c r="C62" s="133"/>
      <c r="D62" s="133"/>
      <c r="E62" s="133"/>
      <c r="F62" s="133"/>
      <c r="G62" s="133"/>
      <c r="H62" s="133"/>
      <c r="I62" s="133"/>
      <c r="J62" s="108"/>
      <c r="K62"/>
    </row>
    <row r="63" spans="1:17" x14ac:dyDescent="0.25">
      <c r="A63" s="108"/>
      <c r="B63" s="111" t="s">
        <v>3</v>
      </c>
      <c r="C63" s="109" t="s">
        <v>14</v>
      </c>
      <c r="D63" s="109" t="str">
        <f t="array" ref="D63:I63">TRANSPOSE($B$19:$B$24)</f>
        <v>Sterile</v>
      </c>
      <c r="E63" s="109" t="str">
        <v>Inactive</v>
      </c>
      <c r="F63" s="109" t="str">
        <v>Careful sex</v>
      </c>
      <c r="G63" s="109" t="str">
        <v>Unsafe Sex</v>
      </c>
      <c r="H63" s="109" t="str">
        <v>Seeking Pregnancy</v>
      </c>
      <c r="I63" s="109" t="str">
        <v>Pregnant</v>
      </c>
      <c r="J63" s="108"/>
      <c r="K63"/>
      <c r="L63"/>
      <c r="M63"/>
      <c r="N63"/>
      <c r="O63"/>
      <c r="P63"/>
    </row>
    <row r="64" spans="1:17" x14ac:dyDescent="0.25">
      <c r="A64" s="108"/>
      <c r="B64" s="137">
        <v>10</v>
      </c>
      <c r="C64" s="79">
        <v>1</v>
      </c>
      <c r="D64" s="79"/>
      <c r="E64" s="79"/>
      <c r="F64" s="79"/>
      <c r="G64" s="79"/>
      <c r="H64" s="79"/>
      <c r="I64" s="79"/>
      <c r="J64" s="108"/>
      <c r="K64"/>
      <c r="L64"/>
      <c r="M64"/>
      <c r="N64"/>
      <c r="O64"/>
      <c r="P64"/>
    </row>
    <row r="65" spans="1:16" x14ac:dyDescent="0.25">
      <c r="A65" s="108"/>
      <c r="B65" s="155">
        <v>15</v>
      </c>
      <c r="C65" s="155">
        <v>2</v>
      </c>
      <c r="D65" s="201">
        <f>D45*D55</f>
        <v>2.0833333000000001</v>
      </c>
      <c r="E65" s="201">
        <f t="shared" ref="E65:I65" si="7">E45*E55</f>
        <v>0.60162599999999999</v>
      </c>
      <c r="F65" s="201">
        <f t="shared" si="7"/>
        <v>3.3502109999999998</v>
      </c>
      <c r="G65" s="201">
        <f t="shared" si="7"/>
        <v>2.6238532000000001</v>
      </c>
      <c r="H65" s="201">
        <f t="shared" si="7"/>
        <v>4.0539418999999999</v>
      </c>
      <c r="I65" s="201">
        <f t="shared" si="7"/>
        <v>0.66396759999999999</v>
      </c>
      <c r="J65" s="51"/>
      <c r="K65"/>
      <c r="L65"/>
      <c r="M65"/>
      <c r="N65"/>
      <c r="O65"/>
      <c r="P65"/>
    </row>
    <row r="66" spans="1:16" x14ac:dyDescent="0.25">
      <c r="A66" s="108"/>
      <c r="B66" s="155">
        <v>20</v>
      </c>
      <c r="C66" s="155">
        <v>3</v>
      </c>
      <c r="D66" s="201">
        <f t="shared" ref="D66:I66" si="8">D46*D56</f>
        <v>3.8387096999999999</v>
      </c>
      <c r="E66" s="201">
        <f t="shared" si="8"/>
        <v>2.9488636000000001</v>
      </c>
      <c r="F66" s="201">
        <f t="shared" si="8"/>
        <v>5.0489236999999996</v>
      </c>
      <c r="G66" s="201">
        <f t="shared" si="8"/>
        <v>4.5789473999999997</v>
      </c>
      <c r="H66" s="201">
        <f t="shared" si="8"/>
        <v>4.0539418999999999</v>
      </c>
      <c r="I66" s="201">
        <f t="shared" si="8"/>
        <v>0.66396759999999999</v>
      </c>
      <c r="J66" s="51"/>
      <c r="K66"/>
      <c r="L66"/>
      <c r="M66"/>
      <c r="N66"/>
      <c r="O66"/>
      <c r="P66"/>
    </row>
    <row r="67" spans="1:16" x14ac:dyDescent="0.25">
      <c r="A67" s="108"/>
      <c r="B67" s="155">
        <v>25</v>
      </c>
      <c r="C67" s="155">
        <v>4</v>
      </c>
      <c r="D67" s="201">
        <f t="shared" ref="D67:I67" si="9">D47*D57</f>
        <v>3.6034483000000002</v>
      </c>
      <c r="E67" s="201">
        <f t="shared" si="9"/>
        <v>3.3969466000000001</v>
      </c>
      <c r="F67" s="201">
        <f t="shared" si="9"/>
        <v>5.2057691999999998</v>
      </c>
      <c r="G67" s="201">
        <f t="shared" si="9"/>
        <v>4.4166667000000004</v>
      </c>
      <c r="H67" s="201">
        <f t="shared" si="9"/>
        <v>4.0539418999999999</v>
      </c>
      <c r="I67" s="201">
        <f t="shared" si="9"/>
        <v>0.66396759999999999</v>
      </c>
      <c r="J67" s="51"/>
      <c r="K67"/>
      <c r="L67"/>
      <c r="M67"/>
      <c r="N67"/>
      <c r="O67"/>
      <c r="P67"/>
    </row>
    <row r="68" spans="1:16" x14ac:dyDescent="0.25">
      <c r="A68" s="108"/>
      <c r="B68" s="155">
        <v>30</v>
      </c>
      <c r="C68" s="155">
        <v>5</v>
      </c>
      <c r="D68" s="201">
        <f t="shared" ref="D68:I68" si="10">D48*D58</f>
        <v>3.677686</v>
      </c>
      <c r="E68" s="201">
        <f t="shared" si="10"/>
        <v>4.8</v>
      </c>
      <c r="F68" s="201">
        <f t="shared" si="10"/>
        <v>5.0578703999999988</v>
      </c>
      <c r="G68" s="201">
        <f t="shared" si="10"/>
        <v>4.2042254000000003</v>
      </c>
      <c r="H68" s="201">
        <f t="shared" si="10"/>
        <v>4.0539418999999999</v>
      </c>
      <c r="I68" s="201">
        <f t="shared" si="10"/>
        <v>0.66396759999999999</v>
      </c>
      <c r="J68" s="51"/>
      <c r="K68"/>
      <c r="L68"/>
      <c r="M68"/>
      <c r="N68"/>
      <c r="O68"/>
      <c r="P68"/>
    </row>
    <row r="69" spans="1:16" x14ac:dyDescent="0.25">
      <c r="A69" s="108"/>
      <c r="B69" s="97">
        <v>35</v>
      </c>
      <c r="C69" s="97">
        <v>6</v>
      </c>
      <c r="D69" s="203">
        <f t="shared" ref="D69:I69" si="11">D49*D59</f>
        <v>3.8076922999999998</v>
      </c>
      <c r="E69" s="203">
        <f t="shared" si="11"/>
        <v>4.5813952999999996</v>
      </c>
      <c r="F69" s="203">
        <f t="shared" si="11"/>
        <v>5.0782312999999997</v>
      </c>
      <c r="G69" s="203">
        <f t="shared" si="11"/>
        <v>4.4077669999999998</v>
      </c>
      <c r="H69" s="203">
        <f t="shared" si="11"/>
        <v>4.0539418999999999</v>
      </c>
      <c r="I69" s="203">
        <f t="shared" si="11"/>
        <v>0.66396759999999999</v>
      </c>
      <c r="J69" s="51"/>
      <c r="K69"/>
      <c r="L69"/>
      <c r="M69"/>
      <c r="N69"/>
      <c r="O69"/>
      <c r="P69"/>
    </row>
    <row r="70" spans="1:16" x14ac:dyDescent="0.25">
      <c r="A70" s="108"/>
      <c r="B70" s="169">
        <v>40</v>
      </c>
      <c r="C70" s="169">
        <v>7</v>
      </c>
      <c r="D70" s="205">
        <f t="shared" ref="D70:I70" si="12">D50*D60</f>
        <v>4.3855721000000001</v>
      </c>
      <c r="E70" s="205">
        <f t="shared" si="12"/>
        <v>4.3205128000000004</v>
      </c>
      <c r="F70" s="205">
        <f t="shared" si="12"/>
        <v>4.3448276000000003</v>
      </c>
      <c r="G70" s="205">
        <f t="shared" si="12"/>
        <v>6</v>
      </c>
      <c r="H70" s="205">
        <f t="shared" si="12"/>
        <v>4.0539418999999999</v>
      </c>
      <c r="I70" s="205">
        <f t="shared" si="12"/>
        <v>0.66396759999999999</v>
      </c>
      <c r="J70" s="51"/>
      <c r="K70"/>
      <c r="L70"/>
      <c r="M70"/>
      <c r="N70"/>
      <c r="O70"/>
      <c r="P70"/>
    </row>
    <row r="71" spans="1:16" x14ac:dyDescent="0.25">
      <c r="A71" s="108"/>
      <c r="B71" s="108"/>
      <c r="C71" s="108"/>
      <c r="D71" s="108"/>
      <c r="E71" s="108"/>
      <c r="F71" s="108"/>
      <c r="G71" s="136"/>
      <c r="H71" s="108"/>
      <c r="I71" s="108"/>
      <c r="J71" s="51"/>
    </row>
    <row r="72" spans="1:16" x14ac:dyDescent="0.25">
      <c r="B72" s="146" t="s">
        <v>84</v>
      </c>
      <c r="C72" s="147"/>
      <c r="D72" s="147"/>
      <c r="E72" s="147"/>
      <c r="F72" s="147"/>
      <c r="G72" s="147"/>
      <c r="H72" s="147"/>
      <c r="I72" s="147"/>
    </row>
    <row r="73" spans="1:16" x14ac:dyDescent="0.25">
      <c r="B73" s="54" t="s">
        <v>3</v>
      </c>
      <c r="C73" s="54" t="s">
        <v>14</v>
      </c>
      <c r="D73" s="109" t="str">
        <f t="array" ref="D73:I73">TRANSPOSE($B$19:$B$24)</f>
        <v>Sterile</v>
      </c>
      <c r="E73" s="109" t="str">
        <v>Inactive</v>
      </c>
      <c r="F73" s="109" t="str">
        <v>Careful sex</v>
      </c>
      <c r="G73" s="109" t="str">
        <v>Unsafe Sex</v>
      </c>
      <c r="H73" s="109" t="str">
        <v>Seeking Pregnancy</v>
      </c>
      <c r="I73" s="109" t="str">
        <v>Pregnant</v>
      </c>
    </row>
    <row r="74" spans="1:16" x14ac:dyDescent="0.25">
      <c r="B74" s="101" t="s">
        <v>82</v>
      </c>
      <c r="C74" s="15">
        <v>1</v>
      </c>
      <c r="D74" s="155">
        <v>0</v>
      </c>
      <c r="E74" s="155">
        <v>0</v>
      </c>
      <c r="F74" s="155">
        <v>0</v>
      </c>
      <c r="G74" s="155">
        <v>0</v>
      </c>
      <c r="H74" s="155">
        <v>0</v>
      </c>
      <c r="I74" s="155">
        <v>0</v>
      </c>
      <c r="M74" s="113"/>
    </row>
    <row r="75" spans="1:16" x14ac:dyDescent="0.25">
      <c r="B75" s="102">
        <v>15</v>
      </c>
      <c r="C75" s="15">
        <v>2</v>
      </c>
      <c r="D75" s="200">
        <f>Gamma.Poisson.Calc!F4</f>
        <v>0.20004130527343686</v>
      </c>
      <c r="E75" s="200">
        <v>0</v>
      </c>
      <c r="F75" s="200">
        <f>Gamma.Poisson.Calc!F10</f>
        <v>0.73619930579344006</v>
      </c>
      <c r="G75" s="200">
        <f>Gamma.Poisson.Calc!F16</f>
        <v>0.13477993726073093</v>
      </c>
      <c r="H75" s="200">
        <f>Gamma.Poisson.Calc!$F$22</f>
        <v>0.90826876417003899</v>
      </c>
      <c r="I75" s="200">
        <f>Gamma.Poisson.Calc!$F$23</f>
        <v>0.65803322506126261</v>
      </c>
      <c r="L75" s="23"/>
      <c r="M75" s="113"/>
    </row>
    <row r="76" spans="1:16" x14ac:dyDescent="0.25">
      <c r="B76" s="102">
        <v>20</v>
      </c>
      <c r="C76" s="15">
        <v>3</v>
      </c>
      <c r="D76" s="200">
        <f>Gamma.Poisson.Calc!F5</f>
        <v>0.46225943079624521</v>
      </c>
      <c r="E76" s="200">
        <v>0</v>
      </c>
      <c r="F76" s="200">
        <f>Gamma.Poisson.Calc!F11</f>
        <v>0.94879431076818754</v>
      </c>
      <c r="G76" s="200">
        <f>Gamma.Poisson.Calc!F17</f>
        <v>0.19751446480723478</v>
      </c>
      <c r="H76" s="200">
        <f>Gamma.Poisson.Calc!$F$22</f>
        <v>0.90826876417003899</v>
      </c>
      <c r="I76" s="200">
        <f>Gamma.Poisson.Calc!$F$23</f>
        <v>0.65803322506126261</v>
      </c>
    </row>
    <row r="77" spans="1:16" x14ac:dyDescent="0.25">
      <c r="B77" s="102">
        <v>25</v>
      </c>
      <c r="C77" s="100">
        <v>4</v>
      </c>
      <c r="D77" s="200">
        <f>Gamma.Poisson.Calc!F6</f>
        <v>0.52361349697269111</v>
      </c>
      <c r="E77" s="200">
        <v>0</v>
      </c>
      <c r="F77" s="200">
        <f>Gamma.Poisson.Calc!F12</f>
        <v>1.1474998110882275</v>
      </c>
      <c r="G77" s="200">
        <f>Gamma.Poisson.Calc!F18</f>
        <v>0.21939647642237808</v>
      </c>
      <c r="H77" s="200">
        <f>Gamma.Poisson.Calc!$F$22</f>
        <v>0.90826876417003899</v>
      </c>
      <c r="I77" s="200">
        <f>Gamma.Poisson.Calc!$F$23</f>
        <v>0.65803322506126261</v>
      </c>
    </row>
    <row r="78" spans="1:16" x14ac:dyDescent="0.25">
      <c r="B78" s="102">
        <v>30</v>
      </c>
      <c r="C78" s="100">
        <v>5</v>
      </c>
      <c r="D78" s="200">
        <f>Gamma.Poisson.Calc!F7</f>
        <v>0.76021530475270316</v>
      </c>
      <c r="E78" s="200">
        <v>0</v>
      </c>
      <c r="F78" s="200">
        <f>Gamma.Poisson.Calc!F13</f>
        <v>0.98842715391503133</v>
      </c>
      <c r="G78" s="200">
        <f>Gamma.Poisson.Calc!F19</f>
        <v>0.27433271983321555</v>
      </c>
      <c r="H78" s="200">
        <f>Gamma.Poisson.Calc!$F$22</f>
        <v>0.90826876417003899</v>
      </c>
      <c r="I78" s="200">
        <f>Gamma.Poisson.Calc!$F$23</f>
        <v>0.65803322506126261</v>
      </c>
    </row>
    <row r="79" spans="1:16" x14ac:dyDescent="0.25">
      <c r="B79" s="102">
        <v>35</v>
      </c>
      <c r="C79" s="100">
        <v>6</v>
      </c>
      <c r="D79" s="200">
        <f>Gamma.Poisson.Calc!F8</f>
        <v>0.67700861384480915</v>
      </c>
      <c r="E79" s="200">
        <v>0</v>
      </c>
      <c r="F79" s="200">
        <f>Gamma.Poisson.Calc!F14</f>
        <v>1.3925813432337533</v>
      </c>
      <c r="G79" s="200">
        <f>Gamma.Poisson.Calc!F20</f>
        <v>0.35254636127041405</v>
      </c>
      <c r="H79" s="200">
        <f>Gamma.Poisson.Calc!$F$22</f>
        <v>0.90826876417003899</v>
      </c>
      <c r="I79" s="200">
        <f>Gamma.Poisson.Calc!$F$23</f>
        <v>0.65803322506126261</v>
      </c>
    </row>
    <row r="80" spans="1:16" x14ac:dyDescent="0.25">
      <c r="B80" s="143">
        <v>40</v>
      </c>
      <c r="C80" s="54">
        <v>7</v>
      </c>
      <c r="D80" s="206">
        <f>Gamma.Poisson.Calc!F9</f>
        <v>0.69274218957291323</v>
      </c>
      <c r="E80" s="206">
        <v>0</v>
      </c>
      <c r="F80" s="206">
        <f>Gamma.Poisson.Calc!F15</f>
        <v>1.4745155099480101</v>
      </c>
      <c r="G80" s="206">
        <f>Gamma.Poisson.Calc!F21</f>
        <v>0.41103241404732377</v>
      </c>
      <c r="H80" s="206">
        <f>Gamma.Poisson.Calc!$F$22</f>
        <v>0.90826876417003899</v>
      </c>
      <c r="I80" s="206">
        <f>Gamma.Poisson.Calc!$F$23</f>
        <v>0.65803322506126261</v>
      </c>
    </row>
    <row r="82" spans="2:17" x14ac:dyDescent="0.25">
      <c r="B82" s="146" t="s">
        <v>85</v>
      </c>
      <c r="C82" s="147"/>
      <c r="D82" s="147"/>
      <c r="E82" s="147"/>
      <c r="F82" s="147"/>
      <c r="G82" s="147"/>
      <c r="H82" s="147"/>
      <c r="I82" s="147"/>
      <c r="J82"/>
      <c r="K82"/>
      <c r="L82"/>
      <c r="M82"/>
    </row>
    <row r="83" spans="2:17" x14ac:dyDescent="0.25">
      <c r="B83" s="54" t="s">
        <v>3</v>
      </c>
      <c r="C83" s="54" t="s">
        <v>14</v>
      </c>
      <c r="D83" s="109" t="str">
        <f t="array" ref="D83:I83">TRANSPOSE($B$19:$B$24)</f>
        <v>Sterile</v>
      </c>
      <c r="E83" s="109" t="str">
        <v>Inactive</v>
      </c>
      <c r="F83" s="109" t="str">
        <v>Careful sex</v>
      </c>
      <c r="G83" s="109" t="str">
        <v>Unsafe Sex</v>
      </c>
      <c r="H83" s="109" t="str">
        <v>Seeking Pregnancy</v>
      </c>
      <c r="I83" s="109" t="str">
        <v>Pregnant</v>
      </c>
      <c r="J83"/>
      <c r="K83"/>
      <c r="L83"/>
      <c r="M83"/>
    </row>
    <row r="84" spans="2:17" x14ac:dyDescent="0.25">
      <c r="B84" s="101" t="s">
        <v>82</v>
      </c>
      <c r="C84" s="15">
        <v>1</v>
      </c>
      <c r="D84" s="155">
        <v>0</v>
      </c>
      <c r="E84" s="155">
        <v>0</v>
      </c>
      <c r="F84" s="155">
        <v>0</v>
      </c>
      <c r="G84" s="155">
        <v>0</v>
      </c>
      <c r="H84" s="155">
        <v>0</v>
      </c>
      <c r="I84" s="155">
        <v>0</v>
      </c>
      <c r="J84"/>
      <c r="K84"/>
      <c r="L84"/>
      <c r="M84"/>
    </row>
    <row r="85" spans="2:17" x14ac:dyDescent="0.25">
      <c r="B85" s="102">
        <v>15</v>
      </c>
      <c r="C85" s="15">
        <v>2</v>
      </c>
      <c r="D85" s="200">
        <f>Gamma.Poisson.Calc!E4</f>
        <v>17.912966999999998</v>
      </c>
      <c r="E85" s="200">
        <v>0</v>
      </c>
      <c r="F85" s="200">
        <f>Gamma.Poisson.Calc!E10</f>
        <v>6.6774937999999997</v>
      </c>
      <c r="G85" s="200">
        <f>Gamma.Poisson.Calc!E16</f>
        <v>5.7858499999999999</v>
      </c>
      <c r="H85" s="200">
        <f>Gamma.Poisson.Calc!$E$22</f>
        <v>9.5280260000000006</v>
      </c>
      <c r="I85" s="200">
        <f>Gamma.Poisson.Calc!$E$23</f>
        <v>6.4150431000000001</v>
      </c>
      <c r="J85"/>
      <c r="K85"/>
      <c r="L85"/>
      <c r="M85"/>
    </row>
    <row r="86" spans="2:17" x14ac:dyDescent="0.25">
      <c r="B86" s="102">
        <v>20</v>
      </c>
      <c r="C86" s="15">
        <v>3</v>
      </c>
      <c r="D86" s="200">
        <f>Gamma.Poisson.Calc!E5</f>
        <v>13.817126</v>
      </c>
      <c r="E86" s="200">
        <v>0</v>
      </c>
      <c r="F86" s="200">
        <f>Gamma.Poisson.Calc!E11</f>
        <v>7.4685372999999995</v>
      </c>
      <c r="G86" s="200">
        <f>Gamma.Poisson.Calc!E17</f>
        <v>15.188761</v>
      </c>
      <c r="H86" s="200">
        <f>Gamma.Poisson.Calc!$E$22</f>
        <v>9.5280260000000006</v>
      </c>
      <c r="I86" s="200">
        <f>Gamma.Poisson.Calc!$E$23</f>
        <v>6.4150431000000001</v>
      </c>
      <c r="J86"/>
      <c r="K86"/>
      <c r="L86"/>
      <c r="M86"/>
    </row>
    <row r="87" spans="2:17" x14ac:dyDescent="0.25">
      <c r="B87" s="102">
        <v>25</v>
      </c>
      <c r="C87" s="100">
        <v>4</v>
      </c>
      <c r="D87" s="200">
        <f>Gamma.Poisson.Calc!E6</f>
        <v>12.521682</v>
      </c>
      <c r="E87" s="200">
        <v>0</v>
      </c>
      <c r="F87" s="200">
        <f>Gamma.Poisson.Calc!E12</f>
        <v>5.7579789000000003</v>
      </c>
      <c r="G87" s="200">
        <f>Gamma.Poisson.Calc!E18</f>
        <v>13.571831</v>
      </c>
      <c r="H87" s="200">
        <f>Gamma.Poisson.Calc!$E$22</f>
        <v>9.5280260000000006</v>
      </c>
      <c r="I87" s="200">
        <f>Gamma.Poisson.Calc!$E$23</f>
        <v>6.4150431000000001</v>
      </c>
      <c r="J87"/>
      <c r="K87"/>
      <c r="L87"/>
      <c r="M87"/>
    </row>
    <row r="88" spans="2:17" x14ac:dyDescent="0.25">
      <c r="B88" s="102">
        <v>30</v>
      </c>
      <c r="C88" s="100">
        <v>5</v>
      </c>
      <c r="D88" s="200">
        <f>Gamma.Poisson.Calc!E7</f>
        <v>9.4207859999999997</v>
      </c>
      <c r="E88" s="200">
        <v>0</v>
      </c>
      <c r="F88" s="200">
        <f>Gamma.Poisson.Calc!E13</f>
        <v>6.0890725999999997</v>
      </c>
      <c r="G88" s="200">
        <f>Gamma.Poisson.Calc!E19</f>
        <v>6.5164344999999999</v>
      </c>
      <c r="H88" s="200">
        <f>Gamma.Poisson.Calc!$E$22</f>
        <v>9.5280260000000006</v>
      </c>
      <c r="I88" s="200">
        <f>Gamma.Poisson.Calc!$E$23</f>
        <v>6.4150431000000001</v>
      </c>
      <c r="J88"/>
      <c r="K88"/>
      <c r="L88"/>
      <c r="M88"/>
    </row>
    <row r="89" spans="2:17" x14ac:dyDescent="0.25">
      <c r="B89" s="102">
        <v>35</v>
      </c>
      <c r="C89" s="100">
        <v>6</v>
      </c>
      <c r="D89" s="200">
        <f>Gamma.Poisson.Calc!E8</f>
        <v>8.7536287999999995</v>
      </c>
      <c r="E89" s="200">
        <v>0</v>
      </c>
      <c r="F89" s="200">
        <f>Gamma.Poisson.Calc!E14</f>
        <v>4.2743506</v>
      </c>
      <c r="G89" s="200">
        <f>Gamma.Poisson.Calc!E20</f>
        <v>5.2599292000000002</v>
      </c>
      <c r="H89" s="200">
        <f>Gamma.Poisson.Calc!$E$22</f>
        <v>9.5280260000000006</v>
      </c>
      <c r="I89" s="200">
        <f>Gamma.Poisson.Calc!$E$23</f>
        <v>6.4150431000000001</v>
      </c>
      <c r="J89"/>
      <c r="K89"/>
      <c r="L89"/>
      <c r="M89"/>
    </row>
    <row r="90" spans="2:17" x14ac:dyDescent="0.25">
      <c r="B90" s="143">
        <v>40</v>
      </c>
      <c r="C90" s="54">
        <v>7</v>
      </c>
      <c r="D90" s="206">
        <f>Gamma.Poisson.Calc!E9</f>
        <v>7.5516453000000006</v>
      </c>
      <c r="E90" s="206">
        <v>0</v>
      </c>
      <c r="F90" s="206">
        <f>Gamma.Poisson.Calc!E15</f>
        <v>3.3751724999999997</v>
      </c>
      <c r="G90" s="206">
        <f>Gamma.Poisson.Calc!E21</f>
        <v>5.8252490999999997</v>
      </c>
      <c r="H90" s="206">
        <f>Gamma.Poisson.Calc!$E$22</f>
        <v>9.5280260000000006</v>
      </c>
      <c r="I90" s="206">
        <f>Gamma.Poisson.Calc!$E$23</f>
        <v>6.4150431000000001</v>
      </c>
      <c r="J90"/>
      <c r="K90"/>
      <c r="L90"/>
      <c r="M90"/>
    </row>
    <row r="91" spans="2:17" x14ac:dyDescent="0.25">
      <c r="J91"/>
      <c r="K91"/>
      <c r="L91"/>
      <c r="M91"/>
    </row>
    <row r="92" spans="2:17" x14ac:dyDescent="0.25">
      <c r="B92" s="146" t="s">
        <v>83</v>
      </c>
      <c r="C92" s="147"/>
      <c r="D92" s="147"/>
      <c r="E92" s="147"/>
      <c r="F92" s="147"/>
      <c r="G92" s="147"/>
      <c r="H92" s="147"/>
      <c r="I92" s="147"/>
      <c r="J92" s="147"/>
      <c r="K92"/>
      <c r="L92"/>
      <c r="M92"/>
    </row>
    <row r="93" spans="2:17" x14ac:dyDescent="0.25">
      <c r="B93" s="54" t="s">
        <v>3</v>
      </c>
      <c r="C93" s="54" t="s">
        <v>14</v>
      </c>
      <c r="D93" s="109" t="str">
        <f t="array" ref="D93:I93">TRANSPOSE($B$19:$B$24)</f>
        <v>Sterile</v>
      </c>
      <c r="E93" s="109" t="str">
        <v>Inactive</v>
      </c>
      <c r="F93" s="109" t="str">
        <v>Careful sex</v>
      </c>
      <c r="G93" s="109" t="str">
        <v>Unsafe Sex</v>
      </c>
      <c r="H93" s="109" t="str">
        <v>Seeking Pregnancy</v>
      </c>
      <c r="I93" s="109" t="str">
        <v>Pregnant</v>
      </c>
      <c r="J93" s="17" t="s">
        <v>57</v>
      </c>
      <c r="K93"/>
      <c r="L93"/>
      <c r="M93"/>
      <c r="N93"/>
      <c r="O93"/>
      <c r="P93"/>
      <c r="Q93"/>
    </row>
    <row r="94" spans="2:17" x14ac:dyDescent="0.25">
      <c r="B94" s="101" t="s">
        <v>82</v>
      </c>
      <c r="C94" s="15">
        <v>1</v>
      </c>
      <c r="D94" s="125">
        <v>0</v>
      </c>
      <c r="E94" s="125">
        <v>0</v>
      </c>
      <c r="F94" s="125">
        <v>0</v>
      </c>
      <c r="G94" s="125">
        <v>0</v>
      </c>
      <c r="H94" s="125">
        <v>0</v>
      </c>
      <c r="I94" s="125">
        <v>0</v>
      </c>
      <c r="J94"/>
      <c r="K94"/>
      <c r="L94"/>
      <c r="M94"/>
      <c r="N94"/>
      <c r="O94"/>
      <c r="P94"/>
      <c r="Q94"/>
    </row>
    <row r="95" spans="2:17" x14ac:dyDescent="0.25">
      <c r="B95" s="102">
        <v>15</v>
      </c>
      <c r="C95" s="15">
        <v>2</v>
      </c>
      <c r="D95" s="201">
        <f>D75*D85</f>
        <v>3.5833333000000001</v>
      </c>
      <c r="E95" s="201">
        <f t="shared" ref="E95:I95" si="13">E75*E85</f>
        <v>0</v>
      </c>
      <c r="F95" s="201">
        <f t="shared" si="13"/>
        <v>4.9159663</v>
      </c>
      <c r="G95" s="201">
        <f t="shared" si="13"/>
        <v>0.77981650000000002</v>
      </c>
      <c r="H95" s="201">
        <f t="shared" si="13"/>
        <v>8.6540084000000004</v>
      </c>
      <c r="I95" s="201">
        <f t="shared" si="13"/>
        <v>4.2213114999999997</v>
      </c>
      <c r="J95" s="107">
        <f>MMULT(D95:I95,F19:F24)</f>
        <v>1.4162656466500001</v>
      </c>
      <c r="K95"/>
      <c r="L95"/>
      <c r="M95"/>
      <c r="N95"/>
      <c r="O95"/>
      <c r="P95"/>
      <c r="Q95"/>
    </row>
    <row r="96" spans="2:17" x14ac:dyDescent="0.25">
      <c r="B96" s="102">
        <v>20</v>
      </c>
      <c r="C96" s="15">
        <v>3</v>
      </c>
      <c r="D96" s="201">
        <f t="shared" ref="D96:I96" si="14">D76*D86</f>
        <v>6.3870968000000001</v>
      </c>
      <c r="E96" s="201">
        <f t="shared" si="14"/>
        <v>0</v>
      </c>
      <c r="F96" s="201">
        <f t="shared" si="14"/>
        <v>7.0861057000000001</v>
      </c>
      <c r="G96" s="201">
        <f t="shared" si="14"/>
        <v>3</v>
      </c>
      <c r="H96" s="201">
        <f t="shared" si="14"/>
        <v>8.6540084000000004</v>
      </c>
      <c r="I96" s="201">
        <f t="shared" si="14"/>
        <v>4.2213114999999997</v>
      </c>
      <c r="J96" s="107">
        <f>MMULT(D96:I96,G19:G24)</f>
        <v>4.9944137181100006</v>
      </c>
      <c r="K96"/>
      <c r="L96"/>
      <c r="M96"/>
      <c r="N96"/>
      <c r="O96"/>
      <c r="P96"/>
      <c r="Q96"/>
    </row>
    <row r="97" spans="2:17" x14ac:dyDescent="0.25">
      <c r="B97" s="102">
        <v>25</v>
      </c>
      <c r="C97" s="100">
        <v>4</v>
      </c>
      <c r="D97" s="201">
        <f t="shared" ref="D97:I97" si="15">D77*D87</f>
        <v>6.5565217000000011</v>
      </c>
      <c r="E97" s="201">
        <f t="shared" si="15"/>
        <v>0</v>
      </c>
      <c r="F97" s="201">
        <f t="shared" si="15"/>
        <v>6.6072797000000003</v>
      </c>
      <c r="G97" s="201">
        <f t="shared" si="15"/>
        <v>2.9776118999999999</v>
      </c>
      <c r="H97" s="201">
        <f t="shared" si="15"/>
        <v>8.6540084000000004</v>
      </c>
      <c r="I97" s="201">
        <f t="shared" si="15"/>
        <v>4.2213114999999997</v>
      </c>
      <c r="J97" s="107">
        <f>MMULT(D97:I97,H19:H24)</f>
        <v>5.2251252462700002</v>
      </c>
      <c r="K97"/>
      <c r="L97"/>
      <c r="M97"/>
      <c r="N97"/>
      <c r="O97"/>
      <c r="P97"/>
      <c r="Q97"/>
    </row>
    <row r="98" spans="2:17" x14ac:dyDescent="0.25">
      <c r="B98" s="102">
        <v>30</v>
      </c>
      <c r="C98" s="100">
        <v>5</v>
      </c>
      <c r="D98" s="201">
        <f t="shared" ref="D98:I98" si="16">D78*D88</f>
        <v>7.1618256999999987</v>
      </c>
      <c r="E98" s="201">
        <f t="shared" si="16"/>
        <v>0</v>
      </c>
      <c r="F98" s="201">
        <f t="shared" si="16"/>
        <v>6.0186047</v>
      </c>
      <c r="G98" s="201">
        <f t="shared" si="16"/>
        <v>1.7876712000000001</v>
      </c>
      <c r="H98" s="201">
        <f t="shared" si="16"/>
        <v>8.6540084000000004</v>
      </c>
      <c r="I98" s="201">
        <f t="shared" si="16"/>
        <v>4.2213114999999997</v>
      </c>
      <c r="J98" s="107">
        <f>MMULT(D98:I98,I19:I24)</f>
        <v>5.2969079574100002</v>
      </c>
      <c r="K98"/>
      <c r="L98"/>
      <c r="M98"/>
      <c r="N98"/>
      <c r="O98"/>
      <c r="P98"/>
      <c r="Q98"/>
    </row>
    <row r="99" spans="2:17" x14ac:dyDescent="0.25">
      <c r="B99" s="102">
        <v>35</v>
      </c>
      <c r="C99" s="100">
        <v>6</v>
      </c>
      <c r="D99" s="203">
        <f t="shared" ref="D99:I99" si="17">D79*D89</f>
        <v>5.9262820999999999</v>
      </c>
      <c r="E99" s="203">
        <f t="shared" si="17"/>
        <v>0</v>
      </c>
      <c r="F99" s="203">
        <f t="shared" si="17"/>
        <v>5.9523808999999996</v>
      </c>
      <c r="G99" s="203">
        <f t="shared" si="17"/>
        <v>1.8543689000000001</v>
      </c>
      <c r="H99" s="203">
        <f t="shared" si="17"/>
        <v>8.6540084000000004</v>
      </c>
      <c r="I99" s="203">
        <f t="shared" si="17"/>
        <v>4.2213114999999997</v>
      </c>
      <c r="J99" s="204">
        <f>MMULT(D99:I99,J19:J24)</f>
        <v>4.9694771096099997</v>
      </c>
      <c r="K99"/>
      <c r="L99"/>
      <c r="M99"/>
      <c r="N99"/>
      <c r="O99"/>
      <c r="P99"/>
      <c r="Q99"/>
    </row>
    <row r="100" spans="2:17" x14ac:dyDescent="0.25">
      <c r="B100" s="143">
        <v>40</v>
      </c>
      <c r="C100" s="54">
        <v>7</v>
      </c>
      <c r="D100" s="205">
        <f t="shared" ref="D100:I100" si="18">D80*D90</f>
        <v>5.2313432999999998</v>
      </c>
      <c r="E100" s="205">
        <f t="shared" si="18"/>
        <v>0</v>
      </c>
      <c r="F100" s="205">
        <f t="shared" si="18"/>
        <v>4.9767441999999997</v>
      </c>
      <c r="G100" s="205">
        <f t="shared" si="18"/>
        <v>2.3943661999999999</v>
      </c>
      <c r="H100" s="205">
        <f t="shared" si="18"/>
        <v>8.6540084000000004</v>
      </c>
      <c r="I100" s="205">
        <f t="shared" si="18"/>
        <v>4.2213114999999997</v>
      </c>
      <c r="J100" s="144">
        <f>MMULT(D100:I100,K19:K24)</f>
        <v>4.5717379103299995</v>
      </c>
      <c r="K100"/>
      <c r="L100"/>
      <c r="M100"/>
      <c r="N100"/>
      <c r="O100"/>
      <c r="P100"/>
      <c r="Q100"/>
    </row>
    <row r="101" spans="2:17" x14ac:dyDescent="0.25">
      <c r="I101" s="23" t="s">
        <v>105</v>
      </c>
      <c r="J101" s="107">
        <f>SUMPRODUCT(J95:J100,D6:D11)/4</f>
        <v>1.0980721305273502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in">
                <anchor moveWithCells="1" sizeWithCells="1">
                  <from>
                    <xdr:col>6</xdr:col>
                    <xdr:colOff>104775</xdr:colOff>
                    <xdr:row>12</xdr:row>
                    <xdr:rowOff>114300</xdr:rowOff>
                  </from>
                  <to>
                    <xdr:col>7</xdr:col>
                    <xdr:colOff>828675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B1:U70"/>
  <sheetViews>
    <sheetView showGridLines="0" topLeftCell="A10" workbookViewId="0">
      <selection activeCell="C68" sqref="C68"/>
    </sheetView>
  </sheetViews>
  <sheetFormatPr defaultRowHeight="15" x14ac:dyDescent="0.25"/>
  <cols>
    <col min="1" max="1" width="4.140625" customWidth="1"/>
    <col min="2" max="2" width="21.5703125" customWidth="1"/>
    <col min="3" max="3" width="14.140625" style="114" customWidth="1"/>
    <col min="4" max="4" width="11.140625" customWidth="1"/>
    <col min="5" max="9" width="11" customWidth="1"/>
    <col min="10" max="10" width="11" style="114" customWidth="1"/>
    <col min="12" max="12" width="7.140625" customWidth="1"/>
    <col min="13" max="17" width="11.42578125" customWidth="1"/>
    <col min="18" max="18" width="11.42578125" style="114" customWidth="1"/>
  </cols>
  <sheetData>
    <row r="1" spans="2:21" s="114" customFormat="1" x14ac:dyDescent="0.25">
      <c r="B1" s="114" t="s">
        <v>123</v>
      </c>
      <c r="C1" s="114">
        <v>0.5</v>
      </c>
    </row>
    <row r="2" spans="2:21" x14ac:dyDescent="0.25">
      <c r="B2" s="114"/>
      <c r="D2" s="114"/>
      <c r="E2" s="114"/>
      <c r="F2" s="114"/>
      <c r="G2" s="114"/>
      <c r="H2" s="114"/>
      <c r="I2" s="114"/>
      <c r="K2" s="114"/>
      <c r="L2" s="114"/>
      <c r="M2" s="125">
        <v>1</v>
      </c>
      <c r="N2" s="125">
        <v>2</v>
      </c>
      <c r="O2" s="125">
        <v>3</v>
      </c>
      <c r="P2" s="125">
        <v>4</v>
      </c>
      <c r="Q2" s="125">
        <v>5</v>
      </c>
      <c r="R2" s="125">
        <v>6</v>
      </c>
      <c r="S2" s="114"/>
    </row>
    <row r="3" spans="2:21" x14ac:dyDescent="0.25">
      <c r="B3" s="177" t="str">
        <f>"Non-pregnant | "&amp; Parameters!E18</f>
        <v>Non-pregnant | 10-14</v>
      </c>
      <c r="C3" s="177"/>
      <c r="D3" s="180" t="s">
        <v>122</v>
      </c>
      <c r="E3" s="181">
        <f t="array" ref="E3:J3">TRANSPOSE(Parameters!E19:E24)</f>
        <v>9.9999999999999998E-13</v>
      </c>
      <c r="F3" s="181">
        <v>0.99999999999900002</v>
      </c>
      <c r="G3" s="181">
        <v>0</v>
      </c>
      <c r="H3" s="181">
        <v>0</v>
      </c>
      <c r="I3" s="181">
        <v>0</v>
      </c>
      <c r="J3" s="181">
        <v>0</v>
      </c>
      <c r="K3" s="186">
        <f>SUM(E3:J3)</f>
        <v>1</v>
      </c>
      <c r="L3" s="114"/>
      <c r="M3" s="25">
        <f>E3*ratioSterile</f>
        <v>4.9999999999999999E-13</v>
      </c>
      <c r="N3" s="25">
        <f>F3*$U3</f>
        <v>0.99999999999950007</v>
      </c>
      <c r="O3" s="25">
        <f t="shared" ref="O3" si="0">G3*$U3</f>
        <v>0</v>
      </c>
      <c r="P3" s="25">
        <f t="shared" ref="P3" si="1">H3*$U3</f>
        <v>0</v>
      </c>
      <c r="Q3" s="25">
        <f t="shared" ref="Q3" si="2">I3*$U3</f>
        <v>0</v>
      </c>
      <c r="R3" s="25">
        <f t="shared" ref="R3" si="3">J3*$U3</f>
        <v>0</v>
      </c>
      <c r="S3" s="185">
        <f>SUM(M3:R3)</f>
        <v>1</v>
      </c>
      <c r="T3" s="114"/>
      <c r="U3" s="114">
        <f>(1-E3*ratioSterile)/(1-E3)</f>
        <v>1.0000000000005</v>
      </c>
    </row>
    <row r="4" spans="2:21" ht="30" x14ac:dyDescent="0.25">
      <c r="B4" s="33"/>
      <c r="C4" s="20" t="s">
        <v>121</v>
      </c>
      <c r="D4" s="20" t="s">
        <v>14</v>
      </c>
      <c r="E4" s="182" t="str">
        <f t="array" ref="E4:J4">TRANSPOSE(B5:B10)</f>
        <v>Sterile</v>
      </c>
      <c r="F4" s="183" t="str">
        <v>Inactive</v>
      </c>
      <c r="G4" s="184" t="str">
        <v>Careful sex</v>
      </c>
      <c r="H4" s="184" t="str">
        <v>Unsafe Sex</v>
      </c>
      <c r="I4" s="184" t="str">
        <v>Seeking Pregnancy</v>
      </c>
      <c r="J4" s="184" t="str">
        <v>Pregnant</v>
      </c>
      <c r="K4" s="14" t="s">
        <v>57</v>
      </c>
      <c r="L4" s="114"/>
      <c r="M4" s="182" t="str">
        <f>E4</f>
        <v>Sterile</v>
      </c>
      <c r="N4" s="183" t="str">
        <f t="shared" ref="N4" si="4">F4</f>
        <v>Inactive</v>
      </c>
      <c r="O4" s="184" t="str">
        <f t="shared" ref="O4" si="5">G4</f>
        <v>Careful sex</v>
      </c>
      <c r="P4" s="184" t="str">
        <f t="shared" ref="P4" si="6">H4</f>
        <v>Unsafe Sex</v>
      </c>
      <c r="Q4" s="184" t="str">
        <f t="shared" ref="Q4:R4" si="7">I4</f>
        <v>Seeking Pregnancy</v>
      </c>
      <c r="R4" s="184" t="str">
        <f t="shared" si="7"/>
        <v>Pregnant</v>
      </c>
      <c r="S4" s="114"/>
    </row>
    <row r="5" spans="2:21" x14ac:dyDescent="0.25">
      <c r="B5" s="145" t="str">
        <f>Parameters!B19</f>
        <v>Sterile</v>
      </c>
      <c r="C5" s="188">
        <v>1</v>
      </c>
      <c r="D5" s="34">
        <v>1</v>
      </c>
      <c r="E5" s="187">
        <f ca="1">M5</f>
        <v>1</v>
      </c>
      <c r="F5" s="187">
        <f t="shared" ref="F5:F10" ca="1" si="8">N5</f>
        <v>0</v>
      </c>
      <c r="G5" s="187">
        <f t="shared" ref="G5:G10" ca="1" si="9">O5</f>
        <v>0</v>
      </c>
      <c r="H5" s="187">
        <f t="shared" ref="H5:H10" ca="1" si="10">P5</f>
        <v>0</v>
      </c>
      <c r="I5" s="187">
        <f t="shared" ref="I5:I10" ca="1" si="11">Q5</f>
        <v>0</v>
      </c>
      <c r="J5" s="187">
        <f t="shared" ref="J5:J10" ca="1" si="12">R5</f>
        <v>0</v>
      </c>
      <c r="K5" s="16">
        <f t="shared" ref="K5:K10" ca="1" si="13">SUM(E5:J5)</f>
        <v>1</v>
      </c>
      <c r="L5" s="114"/>
      <c r="M5" s="25">
        <f ca="1">IF(M$2=$D5,$C5,(1-$C5)*M$3/(1-OFFSET($L$3,0,$D5)))</f>
        <v>1</v>
      </c>
      <c r="N5" s="25">
        <f t="shared" ref="N5:R10" ca="1" si="14">IF(N$2=$D5,$C5,(1-$C5)*N$3/(1-OFFSET($L$3,0,$D5)))</f>
        <v>0</v>
      </c>
      <c r="O5" s="25">
        <f t="shared" ca="1" si="14"/>
        <v>0</v>
      </c>
      <c r="P5" s="25">
        <f t="shared" ca="1" si="14"/>
        <v>0</v>
      </c>
      <c r="Q5" s="25">
        <f t="shared" ca="1" si="14"/>
        <v>0</v>
      </c>
      <c r="R5" s="25">
        <f t="shared" ca="1" si="14"/>
        <v>0</v>
      </c>
      <c r="S5" s="185">
        <f ca="1">SUM(M5:R5)</f>
        <v>1</v>
      </c>
    </row>
    <row r="6" spans="2:21" x14ac:dyDescent="0.25">
      <c r="B6" s="145" t="str">
        <f>Parameters!B20</f>
        <v>Inactive</v>
      </c>
      <c r="C6" s="178">
        <v>1</v>
      </c>
      <c r="D6" s="34">
        <v>2</v>
      </c>
      <c r="E6" s="187">
        <f t="shared" ref="E6:E10" ca="1" si="15">M6</f>
        <v>0</v>
      </c>
      <c r="F6" s="187">
        <f t="shared" ca="1" si="8"/>
        <v>1</v>
      </c>
      <c r="G6" s="187">
        <f t="shared" ca="1" si="9"/>
        <v>0</v>
      </c>
      <c r="H6" s="187">
        <f t="shared" ca="1" si="10"/>
        <v>0</v>
      </c>
      <c r="I6" s="187">
        <f t="shared" ca="1" si="11"/>
        <v>0</v>
      </c>
      <c r="J6" s="187">
        <f t="shared" ca="1" si="12"/>
        <v>0</v>
      </c>
      <c r="K6" s="16">
        <f t="shared" ca="1" si="13"/>
        <v>1</v>
      </c>
      <c r="L6" s="114"/>
      <c r="M6" s="25">
        <f ca="1">IF(M$2=$D6,$C6,(1-$C6)*M$3/(1-OFFSET($L$3,0,$D6)))</f>
        <v>0</v>
      </c>
      <c r="N6" s="25">
        <f t="shared" ca="1" si="14"/>
        <v>1</v>
      </c>
      <c r="O6" s="25">
        <f t="shared" ca="1" si="14"/>
        <v>0</v>
      </c>
      <c r="P6" s="25">
        <f t="shared" ca="1" si="14"/>
        <v>0</v>
      </c>
      <c r="Q6" s="25">
        <f t="shared" ca="1" si="14"/>
        <v>0</v>
      </c>
      <c r="R6" s="25">
        <f t="shared" ca="1" si="14"/>
        <v>0</v>
      </c>
      <c r="S6" s="185">
        <f t="shared" ref="S6:S10" ca="1" si="16">SUM(M6:R6)</f>
        <v>1</v>
      </c>
    </row>
    <row r="7" spans="2:21" x14ac:dyDescent="0.25">
      <c r="B7" s="145" t="str">
        <f>Parameters!B21</f>
        <v>Careful sex</v>
      </c>
      <c r="C7" s="179">
        <v>1</v>
      </c>
      <c r="D7" s="34">
        <v>3</v>
      </c>
      <c r="E7" s="187">
        <f t="shared" ca="1" si="15"/>
        <v>0</v>
      </c>
      <c r="F7" s="187">
        <f t="shared" ca="1" si="8"/>
        <v>0</v>
      </c>
      <c r="G7" s="187">
        <f t="shared" ca="1" si="9"/>
        <v>1</v>
      </c>
      <c r="H7" s="187">
        <f t="shared" ca="1" si="10"/>
        <v>0</v>
      </c>
      <c r="I7" s="187">
        <f t="shared" ca="1" si="11"/>
        <v>0</v>
      </c>
      <c r="J7" s="187">
        <f t="shared" ca="1" si="12"/>
        <v>0</v>
      </c>
      <c r="K7" s="16">
        <f t="shared" ca="1" si="13"/>
        <v>1</v>
      </c>
      <c r="L7" s="114"/>
      <c r="M7" s="25">
        <f t="shared" ref="M7:M10" ca="1" si="17">IF(M$2=$D7,$C7,(1-$C7)*M$3/(1-OFFSET($L$3,0,$D7)))</f>
        <v>0</v>
      </c>
      <c r="N7" s="25">
        <f t="shared" ca="1" si="14"/>
        <v>0</v>
      </c>
      <c r="O7" s="25">
        <f t="shared" ca="1" si="14"/>
        <v>1</v>
      </c>
      <c r="P7" s="25">
        <f t="shared" ca="1" si="14"/>
        <v>0</v>
      </c>
      <c r="Q7" s="25">
        <f t="shared" ca="1" si="14"/>
        <v>0</v>
      </c>
      <c r="R7" s="25">
        <f t="shared" ca="1" si="14"/>
        <v>0</v>
      </c>
      <c r="S7" s="185">
        <f t="shared" ca="1" si="16"/>
        <v>1</v>
      </c>
    </row>
    <row r="8" spans="2:21" x14ac:dyDescent="0.25">
      <c r="B8" s="145" t="str">
        <f>Parameters!B22</f>
        <v>Unsafe Sex</v>
      </c>
      <c r="C8" s="179">
        <v>1</v>
      </c>
      <c r="D8" s="34">
        <v>4</v>
      </c>
      <c r="E8" s="187">
        <f t="shared" ca="1" si="15"/>
        <v>0</v>
      </c>
      <c r="F8" s="187">
        <f t="shared" ca="1" si="8"/>
        <v>0</v>
      </c>
      <c r="G8" s="187">
        <f t="shared" ca="1" si="9"/>
        <v>0</v>
      </c>
      <c r="H8" s="187">
        <f t="shared" ca="1" si="10"/>
        <v>1</v>
      </c>
      <c r="I8" s="187">
        <f t="shared" ca="1" si="11"/>
        <v>0</v>
      </c>
      <c r="J8" s="187">
        <f t="shared" ca="1" si="12"/>
        <v>0</v>
      </c>
      <c r="K8" s="16">
        <f t="shared" ca="1" si="13"/>
        <v>1</v>
      </c>
      <c r="L8" s="114"/>
      <c r="M8" s="25">
        <f t="shared" ca="1" si="17"/>
        <v>0</v>
      </c>
      <c r="N8" s="25">
        <f t="shared" ca="1" si="14"/>
        <v>0</v>
      </c>
      <c r="O8" s="25">
        <f t="shared" ca="1" si="14"/>
        <v>0</v>
      </c>
      <c r="P8" s="25">
        <f t="shared" ca="1" si="14"/>
        <v>1</v>
      </c>
      <c r="Q8" s="25">
        <f t="shared" ca="1" si="14"/>
        <v>0</v>
      </c>
      <c r="R8" s="25">
        <f t="shared" ca="1" si="14"/>
        <v>0</v>
      </c>
      <c r="S8" s="185">
        <f t="shared" ca="1" si="16"/>
        <v>1</v>
      </c>
    </row>
    <row r="9" spans="2:21" s="114" customFormat="1" x14ac:dyDescent="0.25">
      <c r="B9" s="145" t="str">
        <f>Parameters!B23</f>
        <v>Seeking Pregnancy</v>
      </c>
      <c r="C9" s="179">
        <v>1</v>
      </c>
      <c r="D9" s="34">
        <v>5</v>
      </c>
      <c r="E9" s="187">
        <f t="shared" ca="1" si="15"/>
        <v>0</v>
      </c>
      <c r="F9" s="187">
        <f t="shared" ca="1" si="8"/>
        <v>0</v>
      </c>
      <c r="G9" s="187">
        <f t="shared" ca="1" si="9"/>
        <v>0</v>
      </c>
      <c r="H9" s="187">
        <f t="shared" ca="1" si="10"/>
        <v>0</v>
      </c>
      <c r="I9" s="187">
        <f t="shared" ca="1" si="11"/>
        <v>1</v>
      </c>
      <c r="J9" s="187">
        <f t="shared" ca="1" si="12"/>
        <v>0</v>
      </c>
      <c r="K9" s="16">
        <f t="shared" ca="1" si="13"/>
        <v>1</v>
      </c>
      <c r="M9" s="25">
        <f t="shared" ca="1" si="17"/>
        <v>0</v>
      </c>
      <c r="N9" s="25">
        <f t="shared" ca="1" si="14"/>
        <v>0</v>
      </c>
      <c r="O9" s="25">
        <f t="shared" ca="1" si="14"/>
        <v>0</v>
      </c>
      <c r="P9" s="25">
        <f t="shared" ca="1" si="14"/>
        <v>0</v>
      </c>
      <c r="Q9" s="25">
        <f t="shared" ca="1" si="14"/>
        <v>1</v>
      </c>
      <c r="R9" s="25">
        <f t="shared" ca="1" si="14"/>
        <v>0</v>
      </c>
      <c r="S9" s="185">
        <f t="shared" ca="1" si="16"/>
        <v>1</v>
      </c>
    </row>
    <row r="10" spans="2:21" x14ac:dyDescent="0.25">
      <c r="B10" s="145" t="str">
        <f>Parameters!B24</f>
        <v>Pregnant</v>
      </c>
      <c r="C10" s="188">
        <v>0</v>
      </c>
      <c r="D10" s="34">
        <v>6</v>
      </c>
      <c r="E10" s="187">
        <f t="shared" ca="1" si="15"/>
        <v>4.9999999999999999E-13</v>
      </c>
      <c r="F10" s="187">
        <f t="shared" ca="1" si="8"/>
        <v>0.99999999999950007</v>
      </c>
      <c r="G10" s="187">
        <f t="shared" ca="1" si="9"/>
        <v>0</v>
      </c>
      <c r="H10" s="187">
        <f t="shared" ca="1" si="10"/>
        <v>0</v>
      </c>
      <c r="I10" s="187">
        <f t="shared" ca="1" si="11"/>
        <v>0</v>
      </c>
      <c r="J10" s="187">
        <f t="shared" ca="1" si="12"/>
        <v>0</v>
      </c>
      <c r="K10" s="16">
        <f t="shared" ca="1" si="13"/>
        <v>1</v>
      </c>
      <c r="L10" s="114"/>
      <c r="M10" s="25">
        <f t="shared" ca="1" si="17"/>
        <v>4.9999999999999999E-13</v>
      </c>
      <c r="N10" s="25">
        <f t="shared" ca="1" si="14"/>
        <v>0.99999999999950007</v>
      </c>
      <c r="O10" s="25">
        <f t="shared" ca="1" si="14"/>
        <v>0</v>
      </c>
      <c r="P10" s="25">
        <f t="shared" ca="1" si="14"/>
        <v>0</v>
      </c>
      <c r="Q10" s="25">
        <f t="shared" ca="1" si="14"/>
        <v>0</v>
      </c>
      <c r="R10" s="25">
        <f t="shared" ca="1" si="14"/>
        <v>0</v>
      </c>
      <c r="S10" s="185">
        <f t="shared" ca="1" si="16"/>
        <v>1</v>
      </c>
    </row>
    <row r="11" spans="2:21" x14ac:dyDescent="0.25">
      <c r="B11" s="13"/>
      <c r="C11" s="13"/>
      <c r="D11" s="23"/>
      <c r="E11" s="23"/>
      <c r="F11" s="36"/>
      <c r="G11" s="16"/>
      <c r="H11" s="16"/>
      <c r="I11" s="16"/>
      <c r="J11" s="16"/>
      <c r="K11" s="13"/>
    </row>
    <row r="12" spans="2:21" x14ac:dyDescent="0.25">
      <c r="M12" s="125">
        <v>1</v>
      </c>
      <c r="N12" s="125">
        <v>2</v>
      </c>
      <c r="O12" s="125">
        <v>3</v>
      </c>
      <c r="P12" s="125">
        <v>4</v>
      </c>
      <c r="Q12" s="125">
        <v>5</v>
      </c>
      <c r="R12" s="125">
        <v>6</v>
      </c>
      <c r="S12" s="114"/>
    </row>
    <row r="13" spans="2:21" x14ac:dyDescent="0.25">
      <c r="B13" s="177" t="str">
        <f>"Non-pregnant | "&amp; Parameters!F18</f>
        <v>Non-pregnant | 15-19</v>
      </c>
      <c r="C13" s="177"/>
      <c r="D13" s="180" t="s">
        <v>122</v>
      </c>
      <c r="E13" s="181">
        <f t="array" ref="E13:J13">TRANSPOSE(Parameters!F19:F24)</f>
        <v>1.1900000000000001E-2</v>
      </c>
      <c r="F13" s="181">
        <v>0.6139</v>
      </c>
      <c r="G13" s="181">
        <v>0.2366</v>
      </c>
      <c r="H13" s="181">
        <v>0.1089</v>
      </c>
      <c r="I13" s="181">
        <v>1E-3</v>
      </c>
      <c r="J13" s="181">
        <v>2.7699999999999999E-2</v>
      </c>
      <c r="K13" s="186">
        <f>SUM(E13:J13)</f>
        <v>1</v>
      </c>
      <c r="M13" s="25">
        <f>E13*ratioSterile</f>
        <v>5.9500000000000004E-3</v>
      </c>
      <c r="N13" s="25">
        <f>F13*$U13</f>
        <v>0.617596695678575</v>
      </c>
      <c r="O13" s="25">
        <f t="shared" ref="O13:R13" si="18">G13*$U13</f>
        <v>0.23802472421819654</v>
      </c>
      <c r="P13" s="25">
        <f t="shared" si="18"/>
        <v>0.10955575852646493</v>
      </c>
      <c r="Q13" s="25">
        <f t="shared" si="18"/>
        <v>1.0060216577269508E-3</v>
      </c>
      <c r="R13" s="25">
        <f t="shared" si="18"/>
        <v>2.7866799919036535E-2</v>
      </c>
      <c r="S13" s="185">
        <f>SUM(M13:R13)</f>
        <v>0.99999999999999989</v>
      </c>
      <c r="U13">
        <f>(1-E13*ratioSterile)/(1-E13)</f>
        <v>1.0060216577269507</v>
      </c>
    </row>
    <row r="14" spans="2:21" ht="30" x14ac:dyDescent="0.25">
      <c r="B14" s="33"/>
      <c r="C14" s="20" t="s">
        <v>121</v>
      </c>
      <c r="D14" s="20" t="s">
        <v>14</v>
      </c>
      <c r="E14" s="182" t="str">
        <f t="array" ref="E14:J14">TRANSPOSE(B15:B20)</f>
        <v>Sterile</v>
      </c>
      <c r="F14" s="183" t="str">
        <v>Inactive</v>
      </c>
      <c r="G14" s="184" t="str">
        <v>Careful sex</v>
      </c>
      <c r="H14" s="184" t="str">
        <v>Unsafe Sex</v>
      </c>
      <c r="I14" s="184" t="str">
        <v>Seeking Pregnancy</v>
      </c>
      <c r="J14" s="184" t="str">
        <v>Pregnant</v>
      </c>
      <c r="K14" s="14" t="s">
        <v>57</v>
      </c>
      <c r="M14" s="182" t="str">
        <f>E14</f>
        <v>Sterile</v>
      </c>
      <c r="N14" s="183" t="str">
        <f t="shared" ref="N14" si="19">F14</f>
        <v>Inactive</v>
      </c>
      <c r="O14" s="184" t="str">
        <f t="shared" ref="O14" si="20">G14</f>
        <v>Careful sex</v>
      </c>
      <c r="P14" s="184" t="str">
        <f t="shared" ref="P14" si="21">H14</f>
        <v>Unsafe Sex</v>
      </c>
      <c r="Q14" s="184" t="str">
        <f t="shared" ref="Q14" si="22">I14</f>
        <v>Seeking Pregnancy</v>
      </c>
      <c r="R14" s="184" t="str">
        <f t="shared" ref="R14" si="23">J14</f>
        <v>Pregnant</v>
      </c>
      <c r="S14" s="114"/>
    </row>
    <row r="15" spans="2:21" x14ac:dyDescent="0.25">
      <c r="B15" s="145" t="str">
        <f>B5</f>
        <v>Sterile</v>
      </c>
      <c r="C15" s="188">
        <v>1</v>
      </c>
      <c r="D15" s="34">
        <v>1</v>
      </c>
      <c r="E15" s="187">
        <f ca="1">M15</f>
        <v>1</v>
      </c>
      <c r="F15" s="187">
        <f t="shared" ref="F15:F20" ca="1" si="24">N15</f>
        <v>0</v>
      </c>
      <c r="G15" s="187">
        <f t="shared" ref="G15:G20" ca="1" si="25">O15</f>
        <v>0</v>
      </c>
      <c r="H15" s="187">
        <f t="shared" ref="H15:H20" ca="1" si="26">P15</f>
        <v>0</v>
      </c>
      <c r="I15" s="187">
        <f t="shared" ref="I15:I20" ca="1" si="27">Q15</f>
        <v>0</v>
      </c>
      <c r="J15" s="187">
        <f t="shared" ref="J15:J20" ca="1" si="28">R15</f>
        <v>0</v>
      </c>
      <c r="K15" s="16">
        <f t="shared" ref="K15:K20" ca="1" si="29">SUM(E15:J15)</f>
        <v>1</v>
      </c>
      <c r="M15" s="25">
        <f t="shared" ref="M15:R18" ca="1" si="30">IF(M$12=$D15,$C15,(1-$C15)*M$13/(1-OFFSET($L$13,0,$D15)))</f>
        <v>1</v>
      </c>
      <c r="N15" s="25">
        <f t="shared" ca="1" si="30"/>
        <v>0</v>
      </c>
      <c r="O15" s="25">
        <f t="shared" ca="1" si="30"/>
        <v>0</v>
      </c>
      <c r="P15" s="25">
        <f t="shared" ca="1" si="30"/>
        <v>0</v>
      </c>
      <c r="Q15" s="25">
        <f t="shared" ca="1" si="30"/>
        <v>0</v>
      </c>
      <c r="R15" s="25">
        <f t="shared" ca="1" si="30"/>
        <v>0</v>
      </c>
      <c r="S15" s="185">
        <f ca="1">SUM(M15:R15)</f>
        <v>1</v>
      </c>
    </row>
    <row r="16" spans="2:21" x14ac:dyDescent="0.25">
      <c r="B16" s="145" t="str">
        <f>B6</f>
        <v>Inactive</v>
      </c>
      <c r="C16" s="178">
        <v>0.75</v>
      </c>
      <c r="D16" s="34">
        <v>2</v>
      </c>
      <c r="E16" s="187">
        <f t="shared" ref="E16:E20" ca="1" si="31">M16</f>
        <v>3.889872245323743E-3</v>
      </c>
      <c r="F16" s="187">
        <f t="shared" ca="1" si="24"/>
        <v>0.75</v>
      </c>
      <c r="G16" s="187">
        <f t="shared" ca="1" si="25"/>
        <v>0.15561105351885729</v>
      </c>
      <c r="H16" s="187">
        <f t="shared" ca="1" si="26"/>
        <v>7.1623177211342176E-2</v>
      </c>
      <c r="I16" s="187">
        <f t="shared" ca="1" si="27"/>
        <v>6.5769676043473074E-4</v>
      </c>
      <c r="J16" s="187">
        <f t="shared" ca="1" si="28"/>
        <v>1.8218200264042042E-2</v>
      </c>
      <c r="K16" s="16">
        <f t="shared" ca="1" si="29"/>
        <v>1</v>
      </c>
      <c r="M16" s="25">
        <f t="shared" ca="1" si="30"/>
        <v>3.889872245323743E-3</v>
      </c>
      <c r="N16" s="25">
        <f t="shared" ca="1" si="30"/>
        <v>0.75</v>
      </c>
      <c r="O16" s="25">
        <f t="shared" ca="1" si="30"/>
        <v>0.15561105351885729</v>
      </c>
      <c r="P16" s="25">
        <f t="shared" ca="1" si="30"/>
        <v>7.1623177211342176E-2</v>
      </c>
      <c r="Q16" s="25">
        <f t="shared" ca="1" si="30"/>
        <v>6.5769676043473074E-4</v>
      </c>
      <c r="R16" s="25">
        <f t="shared" ca="1" si="30"/>
        <v>1.8218200264042042E-2</v>
      </c>
      <c r="S16" s="185">
        <f t="shared" ref="S16:S20" ca="1" si="32">SUM(M16:R16)</f>
        <v>1</v>
      </c>
    </row>
    <row r="17" spans="2:21" x14ac:dyDescent="0.25">
      <c r="B17" s="145" t="str">
        <f>B7</f>
        <v>Careful sex</v>
      </c>
      <c r="C17" s="179">
        <v>0.8</v>
      </c>
      <c r="D17" s="34">
        <v>3</v>
      </c>
      <c r="E17" s="187">
        <f t="shared" ca="1" si="31"/>
        <v>1.5617304626833642E-3</v>
      </c>
      <c r="F17" s="187">
        <f t="shared" ca="1" si="24"/>
        <v>0.16210412996534751</v>
      </c>
      <c r="G17" s="187">
        <f t="shared" ca="1" si="25"/>
        <v>0.8</v>
      </c>
      <c r="H17" s="187">
        <f t="shared" ca="1" si="26"/>
        <v>2.8755725286245877E-2</v>
      </c>
      <c r="I17" s="187">
        <f t="shared" ca="1" si="27"/>
        <v>2.6405624688931019E-4</v>
      </c>
      <c r="J17" s="187">
        <f t="shared" ca="1" si="28"/>
        <v>7.3143580388338918E-3</v>
      </c>
      <c r="K17" s="16">
        <f t="shared" ca="1" si="29"/>
        <v>1</v>
      </c>
      <c r="M17" s="25">
        <f t="shared" ca="1" si="30"/>
        <v>1.5617304626833642E-3</v>
      </c>
      <c r="N17" s="25">
        <f t="shared" ca="1" si="30"/>
        <v>0.16210412996534751</v>
      </c>
      <c r="O17" s="25">
        <f t="shared" ca="1" si="30"/>
        <v>0.8</v>
      </c>
      <c r="P17" s="25">
        <f t="shared" ca="1" si="30"/>
        <v>2.8755725286245877E-2</v>
      </c>
      <c r="Q17" s="25">
        <f t="shared" ca="1" si="30"/>
        <v>2.6405624688931019E-4</v>
      </c>
      <c r="R17" s="25">
        <f t="shared" ca="1" si="30"/>
        <v>7.3143580388338918E-3</v>
      </c>
      <c r="S17" s="185">
        <f t="shared" ca="1" si="32"/>
        <v>1</v>
      </c>
    </row>
    <row r="18" spans="2:21" s="23" customFormat="1" x14ac:dyDescent="0.25">
      <c r="B18" s="145" t="str">
        <f>B8</f>
        <v>Unsafe Sex</v>
      </c>
      <c r="C18" s="179">
        <v>0.8</v>
      </c>
      <c r="D18" s="34">
        <v>4</v>
      </c>
      <c r="E18" s="187">
        <f t="shared" ca="1" si="31"/>
        <v>1.3364115848857089E-3</v>
      </c>
      <c r="F18" s="187">
        <f t="shared" ca="1" si="24"/>
        <v>0.13871653426755987</v>
      </c>
      <c r="G18" s="187">
        <f t="shared" ca="1" si="25"/>
        <v>5.3462016627634244E-2</v>
      </c>
      <c r="H18" s="187">
        <f t="shared" ca="1" si="26"/>
        <v>0.8</v>
      </c>
      <c r="I18" s="187">
        <f t="shared" ca="1" si="27"/>
        <v>2.259594954676004E-4</v>
      </c>
      <c r="J18" s="187">
        <f t="shared" ca="1" si="28"/>
        <v>6.2590780244525298E-3</v>
      </c>
      <c r="K18" s="16">
        <f t="shared" ca="1" si="29"/>
        <v>1</v>
      </c>
      <c r="M18" s="25">
        <f t="shared" ca="1" si="30"/>
        <v>1.3364115848857089E-3</v>
      </c>
      <c r="N18" s="25">
        <f t="shared" ca="1" si="30"/>
        <v>0.13871653426755987</v>
      </c>
      <c r="O18" s="25">
        <f t="shared" ca="1" si="30"/>
        <v>5.3462016627634244E-2</v>
      </c>
      <c r="P18" s="25">
        <f t="shared" ca="1" si="30"/>
        <v>0.8</v>
      </c>
      <c r="Q18" s="25">
        <f t="shared" ca="1" si="30"/>
        <v>2.259594954676004E-4</v>
      </c>
      <c r="R18" s="25">
        <f t="shared" ca="1" si="30"/>
        <v>6.2590780244525298E-3</v>
      </c>
      <c r="S18" s="185">
        <f t="shared" ca="1" si="32"/>
        <v>1</v>
      </c>
    </row>
    <row r="19" spans="2:21" s="23" customFormat="1" x14ac:dyDescent="0.25">
      <c r="B19" s="145" t="str">
        <f t="shared" ref="B19:B20" si="33">B9</f>
        <v>Seeking Pregnancy</v>
      </c>
      <c r="C19" s="179">
        <v>0</v>
      </c>
      <c r="D19" s="34">
        <v>5</v>
      </c>
      <c r="E19" s="187">
        <f t="shared" ca="1" si="31"/>
        <v>5.9559918568011872E-3</v>
      </c>
      <c r="F19" s="187">
        <f t="shared" ca="1" si="24"/>
        <v>0.61821863701662416</v>
      </c>
      <c r="G19" s="187">
        <f t="shared" ca="1" si="25"/>
        <v>0.23826442338839107</v>
      </c>
      <c r="H19" s="187">
        <f t="shared" ca="1" si="26"/>
        <v>0.10966608498307602</v>
      </c>
      <c r="I19" s="187">
        <f t="shared" ca="1" si="27"/>
        <v>0</v>
      </c>
      <c r="J19" s="187">
        <f t="shared" ca="1" si="28"/>
        <v>2.7894862755107493E-2</v>
      </c>
      <c r="K19" s="16">
        <f t="shared" ca="1" si="29"/>
        <v>0.99999999999999989</v>
      </c>
      <c r="M19" s="25">
        <f t="shared" ref="M19:R20" ca="1" si="34">IF(M$12=$D19,$C19,(1-$C19)*M$13/(1-OFFSET($L$13,0,$D19)))</f>
        <v>5.9559918568011872E-3</v>
      </c>
      <c r="N19" s="25">
        <f t="shared" ca="1" si="34"/>
        <v>0.61821863701662416</v>
      </c>
      <c r="O19" s="25">
        <f t="shared" ca="1" si="34"/>
        <v>0.23826442338839107</v>
      </c>
      <c r="P19" s="25">
        <f t="shared" ca="1" si="34"/>
        <v>0.10966608498307602</v>
      </c>
      <c r="Q19" s="25">
        <f t="shared" ca="1" si="34"/>
        <v>0</v>
      </c>
      <c r="R19" s="25">
        <f t="shared" ca="1" si="34"/>
        <v>2.7894862755107493E-2</v>
      </c>
      <c r="S19" s="185">
        <f t="shared" ca="1" si="32"/>
        <v>0.99999999999999989</v>
      </c>
    </row>
    <row r="20" spans="2:21" x14ac:dyDescent="0.25">
      <c r="B20" s="145" t="str">
        <f t="shared" si="33"/>
        <v>Pregnant</v>
      </c>
      <c r="C20" s="188">
        <v>0</v>
      </c>
      <c r="D20" s="34">
        <v>6</v>
      </c>
      <c r="E20" s="187">
        <f t="shared" ca="1" si="31"/>
        <v>6.1205604329781747E-3</v>
      </c>
      <c r="F20" s="187">
        <f t="shared" ca="1" si="24"/>
        <v>0.63530048724510058</v>
      </c>
      <c r="G20" s="187">
        <f t="shared" ca="1" si="25"/>
        <v>0.2448478502723421</v>
      </c>
      <c r="H20" s="187">
        <f t="shared" ca="1" si="26"/>
        <v>0.11269624215831807</v>
      </c>
      <c r="I20" s="187">
        <f t="shared" ca="1" si="27"/>
        <v>1.0348598912609556E-3</v>
      </c>
      <c r="J20" s="187">
        <f t="shared" ca="1" si="28"/>
        <v>0</v>
      </c>
      <c r="K20" s="16">
        <f t="shared" ca="1" si="29"/>
        <v>0.99999999999999989</v>
      </c>
      <c r="M20" s="25">
        <f t="shared" ca="1" si="34"/>
        <v>6.1205604329781747E-3</v>
      </c>
      <c r="N20" s="25">
        <f t="shared" ca="1" si="34"/>
        <v>0.63530048724510058</v>
      </c>
      <c r="O20" s="25">
        <f t="shared" ca="1" si="34"/>
        <v>0.2448478502723421</v>
      </c>
      <c r="P20" s="25">
        <f t="shared" ca="1" si="34"/>
        <v>0.11269624215831807</v>
      </c>
      <c r="Q20" s="25">
        <f t="shared" ca="1" si="34"/>
        <v>1.0348598912609556E-3</v>
      </c>
      <c r="R20" s="25">
        <f t="shared" ca="1" si="34"/>
        <v>0</v>
      </c>
      <c r="S20" s="185">
        <f t="shared" ca="1" si="32"/>
        <v>0.99999999999999989</v>
      </c>
    </row>
    <row r="22" spans="2:21" x14ac:dyDescent="0.25">
      <c r="B22" s="114"/>
      <c r="D22" s="114"/>
      <c r="E22" s="114"/>
      <c r="F22" s="114"/>
      <c r="G22" s="114"/>
      <c r="H22" s="114"/>
      <c r="I22" s="114"/>
      <c r="K22" s="114"/>
      <c r="L22" s="114"/>
      <c r="M22" s="125">
        <v>1</v>
      </c>
      <c r="N22" s="125">
        <v>2</v>
      </c>
      <c r="O22" s="125">
        <v>3</v>
      </c>
      <c r="P22" s="125">
        <v>4</v>
      </c>
      <c r="Q22" s="125">
        <v>5</v>
      </c>
      <c r="R22" s="125">
        <v>6</v>
      </c>
      <c r="S22" s="114"/>
    </row>
    <row r="23" spans="2:21" x14ac:dyDescent="0.25">
      <c r="B23" s="177" t="str">
        <f>"Non-pregnant | "&amp; Parameters!G18</f>
        <v>Non-pregnant | 20-24</v>
      </c>
      <c r="C23" s="177"/>
      <c r="D23" s="180" t="s">
        <v>122</v>
      </c>
      <c r="E23" s="181">
        <f t="array" ref="E23:J23">TRANSPOSE(Parameters!G19:G24)</f>
        <v>3.27E-2</v>
      </c>
      <c r="F23" s="181">
        <v>0.1888</v>
      </c>
      <c r="G23" s="181">
        <v>0.54320000000000002</v>
      </c>
      <c r="H23" s="181">
        <v>0.1424</v>
      </c>
      <c r="I23" s="181">
        <v>2.64E-2</v>
      </c>
      <c r="J23" s="181">
        <v>6.6500000000000004E-2</v>
      </c>
      <c r="K23" s="186">
        <f>SUM(E23:J23)</f>
        <v>1</v>
      </c>
      <c r="L23" s="114"/>
      <c r="M23" s="25">
        <f>E23*ratioSterile</f>
        <v>1.635E-2</v>
      </c>
      <c r="N23" s="25">
        <f>F23*$U23</f>
        <v>0.19199123332988732</v>
      </c>
      <c r="O23" s="25">
        <f t="shared" ref="O23" si="35">G23*$U23</f>
        <v>0.55238155691098945</v>
      </c>
      <c r="P23" s="25">
        <f t="shared" ref="P23" si="36">H23*$U23</f>
        <v>0.14480694717254214</v>
      </c>
      <c r="Q23" s="25">
        <f t="shared" ref="Q23" si="37">I23*$U23</f>
        <v>2.684623177917916E-2</v>
      </c>
      <c r="R23" s="25">
        <f t="shared" ref="R23" si="38">J23*$U23</f>
        <v>6.762403080740205E-2</v>
      </c>
      <c r="S23" s="185">
        <f>SUM(M23:R23)</f>
        <v>1</v>
      </c>
      <c r="T23" s="114"/>
      <c r="U23" s="114">
        <f>(1-E23*ratioSterile)/(1-E23)</f>
        <v>1.0169027189083015</v>
      </c>
    </row>
    <row r="24" spans="2:21" ht="30" x14ac:dyDescent="0.25">
      <c r="B24" s="33"/>
      <c r="C24" s="20" t="s">
        <v>121</v>
      </c>
      <c r="D24" s="20" t="s">
        <v>14</v>
      </c>
      <c r="E24" s="182" t="str">
        <f t="array" ref="E24:J24">TRANSPOSE(B25:B30)</f>
        <v>Sterile</v>
      </c>
      <c r="F24" s="183" t="str">
        <v>Inactive</v>
      </c>
      <c r="G24" s="184" t="str">
        <v>Careful sex</v>
      </c>
      <c r="H24" s="184" t="str">
        <v>Unsafe Sex</v>
      </c>
      <c r="I24" s="184" t="str">
        <v>Seeking Pregnancy</v>
      </c>
      <c r="J24" s="184" t="str">
        <v>Pregnant</v>
      </c>
      <c r="K24" s="14" t="s">
        <v>57</v>
      </c>
      <c r="L24" s="114"/>
      <c r="M24" s="182" t="str">
        <f>E24</f>
        <v>Sterile</v>
      </c>
      <c r="N24" s="183" t="str">
        <f t="shared" ref="N24" si="39">F24</f>
        <v>Inactive</v>
      </c>
      <c r="O24" s="184" t="str">
        <f t="shared" ref="O24" si="40">G24</f>
        <v>Careful sex</v>
      </c>
      <c r="P24" s="184" t="str">
        <f t="shared" ref="P24" si="41">H24</f>
        <v>Unsafe Sex</v>
      </c>
      <c r="Q24" s="184" t="str">
        <f t="shared" ref="Q24" si="42">I24</f>
        <v>Seeking Pregnancy</v>
      </c>
      <c r="R24" s="184" t="str">
        <f t="shared" ref="R24" si="43">J24</f>
        <v>Pregnant</v>
      </c>
      <c r="S24" s="114"/>
    </row>
    <row r="25" spans="2:21" x14ac:dyDescent="0.25">
      <c r="B25" s="145" t="str">
        <f>B15</f>
        <v>Sterile</v>
      </c>
      <c r="C25" s="188">
        <v>1</v>
      </c>
      <c r="D25" s="34">
        <v>1</v>
      </c>
      <c r="E25" s="187">
        <f ca="1">M25</f>
        <v>1</v>
      </c>
      <c r="F25" s="187">
        <f t="shared" ref="F25:F30" ca="1" si="44">N25</f>
        <v>0</v>
      </c>
      <c r="G25" s="187">
        <f t="shared" ref="G25:G30" ca="1" si="45">O25</f>
        <v>0</v>
      </c>
      <c r="H25" s="187">
        <f t="shared" ref="H25:H30" ca="1" si="46">P25</f>
        <v>0</v>
      </c>
      <c r="I25" s="187">
        <f t="shared" ref="I25:I30" ca="1" si="47">Q25</f>
        <v>0</v>
      </c>
      <c r="J25" s="187">
        <f t="shared" ref="J25:J30" ca="1" si="48">R25</f>
        <v>0</v>
      </c>
      <c r="K25" s="16">
        <f t="shared" ref="K25:K30" ca="1" si="49">SUM(E25:J25)</f>
        <v>1</v>
      </c>
      <c r="L25" s="114"/>
      <c r="M25" s="25">
        <f ca="1">IF(M$22=$D25,$C25,(1-$C25)*M$23/(1-OFFSET($L$23,0,$D25)))</f>
        <v>1</v>
      </c>
      <c r="N25" s="25">
        <f t="shared" ref="N25:R30" ca="1" si="50">IF(N$22=$D25,$C25,(1-$C25)*N$23/(1-OFFSET($L$23,0,$D25)))</f>
        <v>0</v>
      </c>
      <c r="O25" s="25">
        <f t="shared" ca="1" si="50"/>
        <v>0</v>
      </c>
      <c r="P25" s="25">
        <f t="shared" ca="1" si="50"/>
        <v>0</v>
      </c>
      <c r="Q25" s="25">
        <f t="shared" ca="1" si="50"/>
        <v>0</v>
      </c>
      <c r="R25" s="25">
        <f t="shared" ca="1" si="50"/>
        <v>0</v>
      </c>
      <c r="S25" s="185">
        <f ca="1">SUM(M25:R25)</f>
        <v>1</v>
      </c>
    </row>
    <row r="26" spans="2:21" x14ac:dyDescent="0.25">
      <c r="B26" s="145" t="str">
        <f>B16</f>
        <v>Inactive</v>
      </c>
      <c r="C26" s="178">
        <v>0.5</v>
      </c>
      <c r="D26" s="34">
        <v>2</v>
      </c>
      <c r="E26" s="187">
        <f t="shared" ref="E26:E30" ca="1" si="51">M26</f>
        <v>1.0117464484562484E-2</v>
      </c>
      <c r="F26" s="187">
        <f t="shared" ca="1" si="44"/>
        <v>0.5</v>
      </c>
      <c r="G26" s="187">
        <f t="shared" ca="1" si="45"/>
        <v>0.34181656171096431</v>
      </c>
      <c r="H26" s="187">
        <f t="shared" ca="1" si="46"/>
        <v>8.9607287164288132E-2</v>
      </c>
      <c r="I26" s="187">
        <f t="shared" ca="1" si="47"/>
        <v>1.6612586946188248E-2</v>
      </c>
      <c r="J26" s="187">
        <f t="shared" ca="1" si="48"/>
        <v>4.1846099693996913E-2</v>
      </c>
      <c r="K26" s="16">
        <f t="shared" ca="1" si="49"/>
        <v>1.0000000000000002</v>
      </c>
      <c r="L26" s="114"/>
      <c r="M26" s="25">
        <f t="shared" ref="M26:M30" ca="1" si="52">IF(M$22=$D26,$C26,(1-$C26)*M$23/(1-OFFSET($L$23,0,$D26)))</f>
        <v>1.0117464484562484E-2</v>
      </c>
      <c r="N26" s="25">
        <f t="shared" ca="1" si="50"/>
        <v>0.5</v>
      </c>
      <c r="O26" s="25">
        <f t="shared" ca="1" si="50"/>
        <v>0.34181656171096431</v>
      </c>
      <c r="P26" s="25">
        <f t="shared" ca="1" si="50"/>
        <v>8.9607287164288132E-2</v>
      </c>
      <c r="Q26" s="25">
        <f t="shared" ca="1" si="50"/>
        <v>1.6612586946188248E-2</v>
      </c>
      <c r="R26" s="25">
        <f t="shared" ca="1" si="50"/>
        <v>4.1846099693996913E-2</v>
      </c>
      <c r="S26" s="185">
        <f t="shared" ref="S26:S30" ca="1" si="53">SUM(M26:R26)</f>
        <v>1.0000000000000002</v>
      </c>
    </row>
    <row r="27" spans="2:21" x14ac:dyDescent="0.25">
      <c r="B27" s="145" t="str">
        <f>B17</f>
        <v>Careful sex</v>
      </c>
      <c r="C27" s="179">
        <v>0.85</v>
      </c>
      <c r="D27" s="34">
        <v>3</v>
      </c>
      <c r="E27" s="187">
        <f t="shared" ca="1" si="51"/>
        <v>5.4789967613383429E-3</v>
      </c>
      <c r="F27" s="187">
        <f t="shared" ca="1" si="44"/>
        <v>6.4337574655645671E-2</v>
      </c>
      <c r="G27" s="187">
        <f t="shared" ca="1" si="45"/>
        <v>0.85</v>
      </c>
      <c r="H27" s="187">
        <f t="shared" ca="1" si="46"/>
        <v>4.852579783349547E-2</v>
      </c>
      <c r="I27" s="187">
        <f t="shared" ca="1" si="47"/>
        <v>8.9963557781199462E-3</v>
      </c>
      <c r="J27" s="187">
        <f t="shared" ca="1" si="48"/>
        <v>2.2661274971400625E-2</v>
      </c>
      <c r="K27" s="16">
        <f t="shared" ca="1" si="49"/>
        <v>1</v>
      </c>
      <c r="L27" s="114"/>
      <c r="M27" s="25">
        <f t="shared" ca="1" si="52"/>
        <v>5.4789967613383429E-3</v>
      </c>
      <c r="N27" s="25">
        <f t="shared" ca="1" si="50"/>
        <v>6.4337574655645671E-2</v>
      </c>
      <c r="O27" s="25">
        <f t="shared" ca="1" si="50"/>
        <v>0.85</v>
      </c>
      <c r="P27" s="25">
        <f t="shared" ca="1" si="50"/>
        <v>4.852579783349547E-2</v>
      </c>
      <c r="Q27" s="25">
        <f t="shared" ca="1" si="50"/>
        <v>8.9963557781199462E-3</v>
      </c>
      <c r="R27" s="25">
        <f t="shared" ca="1" si="50"/>
        <v>2.2661274971400625E-2</v>
      </c>
      <c r="S27" s="185">
        <f t="shared" ca="1" si="53"/>
        <v>1</v>
      </c>
    </row>
    <row r="28" spans="2:21" x14ac:dyDescent="0.25">
      <c r="B28" s="145" t="str">
        <f>B18</f>
        <v>Unsafe Sex</v>
      </c>
      <c r="C28" s="179">
        <v>0.7</v>
      </c>
      <c r="D28" s="34">
        <v>4</v>
      </c>
      <c r="E28" s="187">
        <f t="shared" ca="1" si="51"/>
        <v>5.7355470601438861E-3</v>
      </c>
      <c r="F28" s="187">
        <f t="shared" ca="1" si="44"/>
        <v>6.7350137853127462E-2</v>
      </c>
      <c r="G28" s="187">
        <f t="shared" ca="1" si="45"/>
        <v>0.1937743372977693</v>
      </c>
      <c r="H28" s="187">
        <f t="shared" ca="1" si="46"/>
        <v>0.7</v>
      </c>
      <c r="I28" s="187">
        <f t="shared" ca="1" si="47"/>
        <v>9.4176040218356214E-3</v>
      </c>
      <c r="J28" s="187">
        <f t="shared" ca="1" si="48"/>
        <v>2.3722373767123817E-2</v>
      </c>
      <c r="K28" s="16">
        <f t="shared" ca="1" si="49"/>
        <v>1</v>
      </c>
      <c r="L28" s="114"/>
      <c r="M28" s="25">
        <f t="shared" ca="1" si="52"/>
        <v>5.7355470601438861E-3</v>
      </c>
      <c r="N28" s="25">
        <f t="shared" ca="1" si="50"/>
        <v>6.7350137853127462E-2</v>
      </c>
      <c r="O28" s="25">
        <f t="shared" ca="1" si="50"/>
        <v>0.1937743372977693</v>
      </c>
      <c r="P28" s="25">
        <f t="shared" ca="1" si="50"/>
        <v>0.7</v>
      </c>
      <c r="Q28" s="25">
        <f t="shared" ca="1" si="50"/>
        <v>9.4176040218356214E-3</v>
      </c>
      <c r="R28" s="25">
        <f t="shared" ca="1" si="50"/>
        <v>2.3722373767123817E-2</v>
      </c>
      <c r="S28" s="185">
        <f t="shared" ca="1" si="53"/>
        <v>1</v>
      </c>
    </row>
    <row r="29" spans="2:21" s="114" customFormat="1" x14ac:dyDescent="0.25">
      <c r="B29" s="145" t="str">
        <f t="shared" ref="B29:B30" si="54">B19</f>
        <v>Seeking Pregnancy</v>
      </c>
      <c r="C29" s="179">
        <v>0.95</v>
      </c>
      <c r="D29" s="34">
        <v>5</v>
      </c>
      <c r="E29" s="187">
        <f t="shared" ca="1" si="51"/>
        <v>8.4005223706280676E-4</v>
      </c>
      <c r="F29" s="187">
        <f t="shared" ca="1" si="44"/>
        <v>9.8643831838054526E-3</v>
      </c>
      <c r="G29" s="187">
        <f t="shared" ca="1" si="45"/>
        <v>2.8381000770355522E-2</v>
      </c>
      <c r="H29" s="187">
        <f t="shared" ca="1" si="46"/>
        <v>7.4400856216837738E-3</v>
      </c>
      <c r="I29" s="187">
        <f t="shared" ca="1" si="47"/>
        <v>0.95</v>
      </c>
      <c r="J29" s="187">
        <f t="shared" ca="1" si="48"/>
        <v>3.4744781870924926E-3</v>
      </c>
      <c r="K29" s="16">
        <f t="shared" ca="1" si="49"/>
        <v>1</v>
      </c>
      <c r="M29" s="25">
        <f t="shared" ca="1" si="52"/>
        <v>8.4005223706280676E-4</v>
      </c>
      <c r="N29" s="25">
        <f t="shared" ca="1" si="50"/>
        <v>9.8643831838054526E-3</v>
      </c>
      <c r="O29" s="25">
        <f t="shared" ca="1" si="50"/>
        <v>2.8381000770355522E-2</v>
      </c>
      <c r="P29" s="25">
        <f t="shared" ca="1" si="50"/>
        <v>7.4400856216837738E-3</v>
      </c>
      <c r="Q29" s="25">
        <f t="shared" ca="1" si="50"/>
        <v>0.95</v>
      </c>
      <c r="R29" s="25">
        <f t="shared" ca="1" si="50"/>
        <v>3.4744781870924926E-3</v>
      </c>
      <c r="S29" s="185">
        <f t="shared" ca="1" si="53"/>
        <v>1</v>
      </c>
    </row>
    <row r="30" spans="2:21" x14ac:dyDescent="0.25">
      <c r="B30" s="145" t="str">
        <f t="shared" si="54"/>
        <v>Pregnant</v>
      </c>
      <c r="C30" s="188">
        <v>0</v>
      </c>
      <c r="D30" s="34">
        <v>6</v>
      </c>
      <c r="E30" s="187">
        <f t="shared" ca="1" si="51"/>
        <v>1.7535844487882368E-2</v>
      </c>
      <c r="F30" s="187">
        <f t="shared" ca="1" si="44"/>
        <v>0.20591611074676713</v>
      </c>
      <c r="G30" s="187">
        <f t="shared" ca="1" si="45"/>
        <v>0.59244508134345297</v>
      </c>
      <c r="H30" s="187">
        <f t="shared" ca="1" si="46"/>
        <v>0.15530960895307011</v>
      </c>
      <c r="I30" s="187">
        <f t="shared" ca="1" si="47"/>
        <v>2.8793354468827609E-2</v>
      </c>
      <c r="J30" s="187">
        <f t="shared" ca="1" si="48"/>
        <v>0</v>
      </c>
      <c r="K30" s="16">
        <f t="shared" ca="1" si="49"/>
        <v>1.0000000000000002</v>
      </c>
      <c r="L30" s="114"/>
      <c r="M30" s="25">
        <f t="shared" ca="1" si="52"/>
        <v>1.7535844487882368E-2</v>
      </c>
      <c r="N30" s="25">
        <f t="shared" ca="1" si="50"/>
        <v>0.20591611074676713</v>
      </c>
      <c r="O30" s="25">
        <f t="shared" ca="1" si="50"/>
        <v>0.59244508134345297</v>
      </c>
      <c r="P30" s="25">
        <f t="shared" ca="1" si="50"/>
        <v>0.15530960895307011</v>
      </c>
      <c r="Q30" s="25">
        <f t="shared" ca="1" si="50"/>
        <v>2.8793354468827609E-2</v>
      </c>
      <c r="R30" s="25">
        <f t="shared" ca="1" si="50"/>
        <v>0</v>
      </c>
      <c r="S30" s="185">
        <f t="shared" ca="1" si="53"/>
        <v>1.0000000000000002</v>
      </c>
    </row>
    <row r="32" spans="2:21" x14ac:dyDescent="0.25">
      <c r="B32" s="114"/>
      <c r="D32" s="114"/>
      <c r="E32" s="114"/>
      <c r="F32" s="114"/>
      <c r="G32" s="114"/>
      <c r="H32" s="114"/>
      <c r="I32" s="114"/>
      <c r="K32" s="114"/>
      <c r="L32" s="114"/>
      <c r="M32" s="125">
        <v>1</v>
      </c>
      <c r="N32" s="125">
        <v>2</v>
      </c>
      <c r="O32" s="125">
        <v>3</v>
      </c>
      <c r="P32" s="125">
        <v>4</v>
      </c>
      <c r="Q32" s="125">
        <v>5</v>
      </c>
      <c r="R32" s="125">
        <v>6</v>
      </c>
      <c r="S32" s="114"/>
    </row>
    <row r="33" spans="2:21" x14ac:dyDescent="0.25">
      <c r="B33" s="177" t="str">
        <f>"Non-pregnant | "&amp; Parameters!H18</f>
        <v>Non-pregnant | 25-29</v>
      </c>
      <c r="C33" s="177"/>
      <c r="D33" s="180" t="s">
        <v>122</v>
      </c>
      <c r="E33" s="181">
        <f t="array" ref="E33:J33">TRANSPOSE(Parameters!H19:H24)</f>
        <v>0.1119</v>
      </c>
      <c r="F33" s="181">
        <v>0.1273</v>
      </c>
      <c r="G33" s="181">
        <v>0.50529999999999997</v>
      </c>
      <c r="H33" s="181">
        <v>0.12920000000000001</v>
      </c>
      <c r="I33" s="181">
        <v>5.2999999999999999E-2</v>
      </c>
      <c r="J33" s="181">
        <v>7.3300000000000004E-2</v>
      </c>
      <c r="K33" s="186">
        <f>SUM(E33:J33)</f>
        <v>1</v>
      </c>
      <c r="L33" s="114"/>
      <c r="M33" s="25">
        <f>E33*ratioSterile</f>
        <v>5.595E-2</v>
      </c>
      <c r="N33" s="25">
        <f>F33*$U33</f>
        <v>0.1353198569980858</v>
      </c>
      <c r="O33" s="25">
        <f t="shared" ref="O33" si="55">G33*$U33</f>
        <v>0.53713372930976244</v>
      </c>
      <c r="P33" s="25">
        <f t="shared" ref="P33" si="56">H33*$U33</f>
        <v>0.13733955635626621</v>
      </c>
      <c r="Q33" s="25">
        <f t="shared" ref="Q33" si="57">I33*$U33</f>
        <v>5.6338982096610743E-2</v>
      </c>
      <c r="R33" s="25">
        <f t="shared" ref="R33" si="58">J33*$U33</f>
        <v>7.7917875239274861E-2</v>
      </c>
      <c r="S33" s="185">
        <f>SUM(M33:R33)</f>
        <v>1</v>
      </c>
      <c r="T33" s="114"/>
      <c r="U33" s="114">
        <f>(1-E33*ratioSterile)/(1-E33)</f>
        <v>1.0629996622002027</v>
      </c>
    </row>
    <row r="34" spans="2:21" ht="30" x14ac:dyDescent="0.25">
      <c r="B34" s="33"/>
      <c r="C34" s="20" t="s">
        <v>121</v>
      </c>
      <c r="D34" s="20" t="s">
        <v>14</v>
      </c>
      <c r="E34" s="182" t="str">
        <f t="array" ref="E34:J34">TRANSPOSE(B35:B40)</f>
        <v>Sterile</v>
      </c>
      <c r="F34" s="183" t="str">
        <v>Inactive</v>
      </c>
      <c r="G34" s="184" t="str">
        <v>Careful sex</v>
      </c>
      <c r="H34" s="184" t="str">
        <v>Unsafe Sex</v>
      </c>
      <c r="I34" s="184" t="str">
        <v>Seeking Pregnancy</v>
      </c>
      <c r="J34" s="184" t="str">
        <v>Pregnant</v>
      </c>
      <c r="K34" s="14" t="s">
        <v>57</v>
      </c>
      <c r="L34" s="114"/>
      <c r="M34" s="182" t="str">
        <f>E34</f>
        <v>Sterile</v>
      </c>
      <c r="N34" s="183" t="str">
        <f t="shared" ref="N34" si="59">F34</f>
        <v>Inactive</v>
      </c>
      <c r="O34" s="184" t="str">
        <f t="shared" ref="O34" si="60">G34</f>
        <v>Careful sex</v>
      </c>
      <c r="P34" s="184" t="str">
        <f t="shared" ref="P34" si="61">H34</f>
        <v>Unsafe Sex</v>
      </c>
      <c r="Q34" s="184" t="str">
        <f t="shared" ref="Q34" si="62">I34</f>
        <v>Seeking Pregnancy</v>
      </c>
      <c r="R34" s="184" t="str">
        <f t="shared" ref="R34" si="63">J34</f>
        <v>Pregnant</v>
      </c>
      <c r="S34" s="114"/>
    </row>
    <row r="35" spans="2:21" x14ac:dyDescent="0.25">
      <c r="B35" s="145" t="str">
        <f>B25</f>
        <v>Sterile</v>
      </c>
      <c r="C35" s="188">
        <v>1</v>
      </c>
      <c r="D35" s="34">
        <v>1</v>
      </c>
      <c r="E35" s="187">
        <f ca="1">M35</f>
        <v>1</v>
      </c>
      <c r="F35" s="187">
        <f t="shared" ref="F35:F40" ca="1" si="64">N35</f>
        <v>0</v>
      </c>
      <c r="G35" s="187">
        <f t="shared" ref="G35:G40" ca="1" si="65">O35</f>
        <v>0</v>
      </c>
      <c r="H35" s="187">
        <f t="shared" ref="H35:H40" ca="1" si="66">P35</f>
        <v>0</v>
      </c>
      <c r="I35" s="187">
        <f t="shared" ref="I35:I40" ca="1" si="67">Q35</f>
        <v>0</v>
      </c>
      <c r="J35" s="187">
        <f t="shared" ref="J35:J40" ca="1" si="68">R35</f>
        <v>0</v>
      </c>
      <c r="K35" s="16">
        <f t="shared" ref="K35:K40" ca="1" si="69">SUM(E35:J35)</f>
        <v>1</v>
      </c>
      <c r="L35" s="114"/>
      <c r="M35" s="25">
        <f ca="1">IF(M$32=$D35,$C35,(1-$C35)*M$33/(1-OFFSET($L$33,0,$D35)))</f>
        <v>1</v>
      </c>
      <c r="N35" s="25">
        <f t="shared" ref="N35:R40" ca="1" si="70">IF(N$32=$D35,$C35,(1-$C35)*N$33/(1-OFFSET($L$33,0,$D35)))</f>
        <v>0</v>
      </c>
      <c r="O35" s="25">
        <f t="shared" ca="1" si="70"/>
        <v>0</v>
      </c>
      <c r="P35" s="25">
        <f t="shared" ca="1" si="70"/>
        <v>0</v>
      </c>
      <c r="Q35" s="25">
        <f t="shared" ca="1" si="70"/>
        <v>0</v>
      </c>
      <c r="R35" s="25">
        <f t="shared" ca="1" si="70"/>
        <v>0</v>
      </c>
      <c r="S35" s="185">
        <f ca="1">SUM(M35:R35)</f>
        <v>1</v>
      </c>
    </row>
    <row r="36" spans="2:21" x14ac:dyDescent="0.25">
      <c r="B36" s="145" t="str">
        <f>B26</f>
        <v>Inactive</v>
      </c>
      <c r="C36" s="178">
        <v>0.5</v>
      </c>
      <c r="D36" s="34">
        <v>2</v>
      </c>
      <c r="E36" s="187">
        <f t="shared" ref="E36:E40" ca="1" si="71">M36</f>
        <v>3.2353003855135447E-2</v>
      </c>
      <c r="F36" s="187">
        <f t="shared" ca="1" si="64"/>
        <v>0.5</v>
      </c>
      <c r="G36" s="187">
        <f t="shared" ca="1" si="65"/>
        <v>0.31059677596214519</v>
      </c>
      <c r="H36" s="187">
        <f t="shared" ca="1" si="66"/>
        <v>7.9416393141320332E-2</v>
      </c>
      <c r="I36" s="187">
        <f t="shared" ca="1" si="67"/>
        <v>3.2577932170975057E-2</v>
      </c>
      <c r="J36" s="187">
        <f t="shared" ca="1" si="68"/>
        <v>4.5055894870423996E-2</v>
      </c>
      <c r="K36" s="16">
        <f t="shared" ca="1" si="69"/>
        <v>1</v>
      </c>
      <c r="L36" s="114"/>
      <c r="M36" s="25">
        <f t="shared" ref="M36:M40" ca="1" si="72">IF(M$32=$D36,$C36,(1-$C36)*M$33/(1-OFFSET($L$33,0,$D36)))</f>
        <v>3.2353003855135447E-2</v>
      </c>
      <c r="N36" s="25">
        <f t="shared" ca="1" si="70"/>
        <v>0.5</v>
      </c>
      <c r="O36" s="25">
        <f t="shared" ca="1" si="70"/>
        <v>0.31059677596214519</v>
      </c>
      <c r="P36" s="25">
        <f t="shared" ca="1" si="70"/>
        <v>7.9416393141320332E-2</v>
      </c>
      <c r="Q36" s="25">
        <f t="shared" ca="1" si="70"/>
        <v>3.2577932170975057E-2</v>
      </c>
      <c r="R36" s="25">
        <f t="shared" ca="1" si="70"/>
        <v>4.5055894870423996E-2</v>
      </c>
      <c r="S36" s="185">
        <f t="shared" ref="S36:S40" ca="1" si="73">SUM(M36:R36)</f>
        <v>1</v>
      </c>
    </row>
    <row r="37" spans="2:21" x14ac:dyDescent="0.25">
      <c r="B37" s="145" t="str">
        <f>B27</f>
        <v>Careful sex</v>
      </c>
      <c r="C37" s="179">
        <v>0.8</v>
      </c>
      <c r="D37" s="34">
        <v>3</v>
      </c>
      <c r="E37" s="187">
        <f t="shared" ca="1" si="71"/>
        <v>2.4175449170908896E-2</v>
      </c>
      <c r="F37" s="187">
        <f t="shared" ca="1" si="64"/>
        <v>5.8470390074564504E-2</v>
      </c>
      <c r="G37" s="187">
        <f t="shared" ca="1" si="65"/>
        <v>0.8</v>
      </c>
      <c r="H37" s="187">
        <f t="shared" ca="1" si="66"/>
        <v>5.9343082463737123E-2</v>
      </c>
      <c r="I37" s="187">
        <f t="shared" ca="1" si="67"/>
        <v>2.4343524540077918E-2</v>
      </c>
      <c r="J37" s="187">
        <f t="shared" ca="1" si="68"/>
        <v>3.3667553750711537E-2</v>
      </c>
      <c r="K37" s="16">
        <f t="shared" ca="1" si="69"/>
        <v>1</v>
      </c>
      <c r="L37" s="114"/>
      <c r="M37" s="25">
        <f t="shared" ca="1" si="72"/>
        <v>2.4175449170908896E-2</v>
      </c>
      <c r="N37" s="25">
        <f t="shared" ca="1" si="70"/>
        <v>5.8470390074564504E-2</v>
      </c>
      <c r="O37" s="25">
        <f t="shared" ca="1" si="70"/>
        <v>0.8</v>
      </c>
      <c r="P37" s="25">
        <f t="shared" ca="1" si="70"/>
        <v>5.9343082463737123E-2</v>
      </c>
      <c r="Q37" s="25">
        <f t="shared" ca="1" si="70"/>
        <v>2.4343524540077918E-2</v>
      </c>
      <c r="R37" s="25">
        <f t="shared" ca="1" si="70"/>
        <v>3.3667553750711537E-2</v>
      </c>
      <c r="S37" s="185">
        <f t="shared" ca="1" si="73"/>
        <v>1</v>
      </c>
    </row>
    <row r="38" spans="2:21" x14ac:dyDescent="0.25">
      <c r="B38" s="145" t="str">
        <f>B28</f>
        <v>Unsafe Sex</v>
      </c>
      <c r="C38" s="179">
        <v>0.7</v>
      </c>
      <c r="D38" s="34">
        <v>4</v>
      </c>
      <c r="E38" s="187">
        <f t="shared" ca="1" si="71"/>
        <v>1.9457250096113092E-2</v>
      </c>
      <c r="F38" s="187">
        <f t="shared" ca="1" si="64"/>
        <v>4.7059022351778647E-2</v>
      </c>
      <c r="G38" s="187">
        <f t="shared" ca="1" si="65"/>
        <v>0.18679437544661232</v>
      </c>
      <c r="H38" s="187">
        <f t="shared" ca="1" si="66"/>
        <v>0.7</v>
      </c>
      <c r="I38" s="187">
        <f t="shared" ca="1" si="67"/>
        <v>1.9592523052979326E-2</v>
      </c>
      <c r="J38" s="187">
        <f t="shared" ca="1" si="68"/>
        <v>2.7096829052516692E-2</v>
      </c>
      <c r="K38" s="16">
        <f t="shared" ca="1" si="69"/>
        <v>1</v>
      </c>
      <c r="L38" s="114"/>
      <c r="M38" s="25">
        <f t="shared" ca="1" si="72"/>
        <v>1.9457250096113092E-2</v>
      </c>
      <c r="N38" s="25">
        <f t="shared" ca="1" si="70"/>
        <v>4.7059022351778647E-2</v>
      </c>
      <c r="O38" s="25">
        <f t="shared" ca="1" si="70"/>
        <v>0.18679437544661232</v>
      </c>
      <c r="P38" s="25">
        <f t="shared" ca="1" si="70"/>
        <v>0.7</v>
      </c>
      <c r="Q38" s="25">
        <f t="shared" ca="1" si="70"/>
        <v>1.9592523052979326E-2</v>
      </c>
      <c r="R38" s="25">
        <f t="shared" ca="1" si="70"/>
        <v>2.7096829052516692E-2</v>
      </c>
      <c r="S38" s="185">
        <f t="shared" ca="1" si="73"/>
        <v>1</v>
      </c>
    </row>
    <row r="39" spans="2:21" s="114" customFormat="1" x14ac:dyDescent="0.25">
      <c r="B39" s="145" t="str">
        <f t="shared" ref="B39:B40" si="74">B29</f>
        <v>Seeking Pregnancy</v>
      </c>
      <c r="C39" s="179">
        <v>0.95</v>
      </c>
      <c r="D39" s="34">
        <v>5</v>
      </c>
      <c r="E39" s="187">
        <f t="shared" ca="1" si="71"/>
        <v>2.9645179221405612E-3</v>
      </c>
      <c r="F39" s="187">
        <f t="shared" ca="1" si="64"/>
        <v>7.1699399694785193E-3</v>
      </c>
      <c r="G39" s="187">
        <f t="shared" ca="1" si="65"/>
        <v>2.8460099501787087E-2</v>
      </c>
      <c r="H39" s="187">
        <f t="shared" ca="1" si="66"/>
        <v>7.2769539988737234E-3</v>
      </c>
      <c r="I39" s="187">
        <f t="shared" ca="1" si="67"/>
        <v>0.95</v>
      </c>
      <c r="J39" s="187">
        <f t="shared" ca="1" si="68"/>
        <v>4.1284886077201533E-3</v>
      </c>
      <c r="K39" s="16">
        <f t="shared" ca="1" si="69"/>
        <v>1</v>
      </c>
      <c r="M39" s="25">
        <f t="shared" ca="1" si="72"/>
        <v>2.9645179221405612E-3</v>
      </c>
      <c r="N39" s="25">
        <f t="shared" ca="1" si="70"/>
        <v>7.1699399694785193E-3</v>
      </c>
      <c r="O39" s="25">
        <f t="shared" ca="1" si="70"/>
        <v>2.8460099501787087E-2</v>
      </c>
      <c r="P39" s="25">
        <f t="shared" ca="1" si="70"/>
        <v>7.2769539988737234E-3</v>
      </c>
      <c r="Q39" s="25">
        <f t="shared" ca="1" si="70"/>
        <v>0.95</v>
      </c>
      <c r="R39" s="25">
        <f t="shared" ca="1" si="70"/>
        <v>4.1284886077201533E-3</v>
      </c>
      <c r="S39" s="185">
        <f t="shared" ca="1" si="73"/>
        <v>1</v>
      </c>
    </row>
    <row r="40" spans="2:21" x14ac:dyDescent="0.25">
      <c r="B40" s="145" t="str">
        <f t="shared" si="74"/>
        <v>Pregnant</v>
      </c>
      <c r="C40" s="188">
        <v>0</v>
      </c>
      <c r="D40" s="34">
        <v>6</v>
      </c>
      <c r="E40" s="187">
        <f t="shared" ca="1" si="71"/>
        <v>6.0677892454013997E-2</v>
      </c>
      <c r="F40" s="187">
        <f t="shared" ca="1" si="64"/>
        <v>0.1467546689869956</v>
      </c>
      <c r="G40" s="187">
        <f t="shared" ca="1" si="65"/>
        <v>0.58252265702379324</v>
      </c>
      <c r="H40" s="187">
        <f t="shared" ca="1" si="66"/>
        <v>0.14894503718083138</v>
      </c>
      <c r="I40" s="187">
        <f t="shared" ca="1" si="67"/>
        <v>6.1099744354365805E-2</v>
      </c>
      <c r="J40" s="187">
        <f t="shared" ca="1" si="68"/>
        <v>0</v>
      </c>
      <c r="K40" s="16">
        <f t="shared" ca="1" si="69"/>
        <v>1</v>
      </c>
      <c r="L40" s="114"/>
      <c r="M40" s="25">
        <f t="shared" ca="1" si="72"/>
        <v>6.0677892454013997E-2</v>
      </c>
      <c r="N40" s="25">
        <f t="shared" ca="1" si="70"/>
        <v>0.1467546689869956</v>
      </c>
      <c r="O40" s="25">
        <f t="shared" ca="1" si="70"/>
        <v>0.58252265702379324</v>
      </c>
      <c r="P40" s="25">
        <f t="shared" ca="1" si="70"/>
        <v>0.14894503718083138</v>
      </c>
      <c r="Q40" s="25">
        <f t="shared" ca="1" si="70"/>
        <v>6.1099744354365805E-2</v>
      </c>
      <c r="R40" s="25">
        <f t="shared" ca="1" si="70"/>
        <v>0</v>
      </c>
      <c r="S40" s="185">
        <f t="shared" ca="1" si="73"/>
        <v>1</v>
      </c>
    </row>
    <row r="42" spans="2:21" x14ac:dyDescent="0.25">
      <c r="B42" s="114"/>
      <c r="D42" s="114"/>
      <c r="E42" s="114"/>
      <c r="F42" s="114"/>
      <c r="G42" s="114"/>
      <c r="H42" s="114"/>
      <c r="I42" s="114"/>
      <c r="K42" s="114"/>
      <c r="L42" s="114"/>
      <c r="M42" s="125">
        <v>1</v>
      </c>
      <c r="N42" s="125">
        <v>2</v>
      </c>
      <c r="O42" s="125">
        <v>3</v>
      </c>
      <c r="P42" s="125">
        <v>4</v>
      </c>
      <c r="Q42" s="125">
        <v>5</v>
      </c>
      <c r="R42" s="125">
        <v>6</v>
      </c>
      <c r="S42" s="114"/>
    </row>
    <row r="43" spans="2:21" x14ac:dyDescent="0.25">
      <c r="B43" s="177" t="str">
        <f>"Non-pregnant | "&amp; Parameters!I18</f>
        <v>Non-pregnant | 30-34</v>
      </c>
      <c r="C43" s="177"/>
      <c r="D43" s="180" t="s">
        <v>122</v>
      </c>
      <c r="E43" s="181">
        <f t="array" ref="E43:J43">TRANSPOSE(Parameters!I19:I24)</f>
        <v>0.2364</v>
      </c>
      <c r="F43" s="181">
        <v>7.7799999999999994E-2</v>
      </c>
      <c r="G43" s="181">
        <v>0.42120000000000002</v>
      </c>
      <c r="H43" s="181">
        <v>0.14199999999999999</v>
      </c>
      <c r="I43" s="181">
        <v>6.7100000000000007E-2</v>
      </c>
      <c r="J43" s="181">
        <v>5.5500000000000001E-2</v>
      </c>
      <c r="K43" s="186">
        <f>SUM(E43:J43)</f>
        <v>1.0000000000000002</v>
      </c>
      <c r="L43" s="114"/>
      <c r="M43" s="25">
        <f>E43*ratioSterile</f>
        <v>0.1182</v>
      </c>
      <c r="N43" s="25">
        <f>F43*$U43</f>
        <v>8.984290204295442E-2</v>
      </c>
      <c r="O43" s="25">
        <f t="shared" ref="O43" si="75">G43*$U43</f>
        <v>0.48639884756416973</v>
      </c>
      <c r="P43" s="25">
        <f t="shared" ref="P43" si="76">H43*$U43</f>
        <v>0.1639806181246726</v>
      </c>
      <c r="Q43" s="25">
        <f t="shared" ref="Q43" si="77">I43*$U43</f>
        <v>7.7486616029334737E-2</v>
      </c>
      <c r="R43" s="25">
        <f t="shared" ref="R43" si="78">J43*$U43</f>
        <v>6.4091016238868523E-2</v>
      </c>
      <c r="S43" s="185">
        <f>SUM(M43:R43)</f>
        <v>0.99999999999999989</v>
      </c>
      <c r="T43" s="114"/>
      <c r="U43" s="114">
        <f>(1-E43*ratioSterile)/(1-E43)</f>
        <v>1.1547930853850183</v>
      </c>
    </row>
    <row r="44" spans="2:21" ht="30" x14ac:dyDescent="0.25">
      <c r="B44" s="33"/>
      <c r="C44" s="20" t="s">
        <v>121</v>
      </c>
      <c r="D44" s="20" t="s">
        <v>14</v>
      </c>
      <c r="E44" s="182" t="str">
        <f t="array" ref="E44:J44">TRANSPOSE(B45:B50)</f>
        <v>Sterile</v>
      </c>
      <c r="F44" s="183" t="str">
        <v>Inactive</v>
      </c>
      <c r="G44" s="184" t="str">
        <v>Careful sex</v>
      </c>
      <c r="H44" s="184" t="str">
        <v>Unsafe Sex</v>
      </c>
      <c r="I44" s="184" t="str">
        <v>Seeking Pregnancy</v>
      </c>
      <c r="J44" s="184" t="str">
        <v>Pregnant</v>
      </c>
      <c r="K44" s="14" t="s">
        <v>57</v>
      </c>
      <c r="L44" s="114"/>
      <c r="M44" s="182" t="str">
        <f>E44</f>
        <v>Sterile</v>
      </c>
      <c r="N44" s="183" t="str">
        <f t="shared" ref="N44" si="79">F44</f>
        <v>Inactive</v>
      </c>
      <c r="O44" s="184" t="str">
        <f t="shared" ref="O44" si="80">G44</f>
        <v>Careful sex</v>
      </c>
      <c r="P44" s="184" t="str">
        <f t="shared" ref="P44" si="81">H44</f>
        <v>Unsafe Sex</v>
      </c>
      <c r="Q44" s="184" t="str">
        <f t="shared" ref="Q44" si="82">I44</f>
        <v>Seeking Pregnancy</v>
      </c>
      <c r="R44" s="184" t="str">
        <f t="shared" ref="R44" si="83">J44</f>
        <v>Pregnant</v>
      </c>
      <c r="S44" s="114"/>
    </row>
    <row r="45" spans="2:21" x14ac:dyDescent="0.25">
      <c r="B45" s="145" t="str">
        <f>B35</f>
        <v>Sterile</v>
      </c>
      <c r="C45" s="188">
        <v>1</v>
      </c>
      <c r="D45" s="34">
        <v>1</v>
      </c>
      <c r="E45" s="187">
        <f ca="1">M45</f>
        <v>1</v>
      </c>
      <c r="F45" s="187">
        <f t="shared" ref="F45:F50" ca="1" si="84">N45</f>
        <v>0</v>
      </c>
      <c r="G45" s="187">
        <f t="shared" ref="G45:G50" ca="1" si="85">O45</f>
        <v>0</v>
      </c>
      <c r="H45" s="187">
        <f t="shared" ref="H45:H50" ca="1" si="86">P45</f>
        <v>0</v>
      </c>
      <c r="I45" s="187">
        <f t="shared" ref="I45:I50" ca="1" si="87">Q45</f>
        <v>0</v>
      </c>
      <c r="J45" s="187">
        <f t="shared" ref="J45:J50" ca="1" si="88">R45</f>
        <v>0</v>
      </c>
      <c r="K45" s="16">
        <f t="shared" ref="K45:K50" ca="1" si="89">SUM(E45:J45)</f>
        <v>1</v>
      </c>
      <c r="L45" s="114"/>
      <c r="M45" s="25">
        <f ca="1">IF(M$42=$D45,$C45,(1-$C45)*M$43/(1-OFFSET($L$43,0,$D45)))</f>
        <v>1</v>
      </c>
      <c r="N45" s="25">
        <f t="shared" ref="N45:R50" ca="1" si="90">IF(N$42=$D45,$C45,(1-$C45)*N$43/(1-OFFSET($L$43,0,$D45)))</f>
        <v>0</v>
      </c>
      <c r="O45" s="25">
        <f t="shared" ca="1" si="90"/>
        <v>0</v>
      </c>
      <c r="P45" s="25">
        <f t="shared" ca="1" si="90"/>
        <v>0</v>
      </c>
      <c r="Q45" s="25">
        <f t="shared" ca="1" si="90"/>
        <v>0</v>
      </c>
      <c r="R45" s="25">
        <f t="shared" ca="1" si="90"/>
        <v>0</v>
      </c>
      <c r="S45" s="185">
        <f ca="1">SUM(M45:R45)</f>
        <v>1</v>
      </c>
    </row>
    <row r="46" spans="2:21" x14ac:dyDescent="0.25">
      <c r="B46" s="145" t="str">
        <f>B36</f>
        <v>Inactive</v>
      </c>
      <c r="C46" s="178">
        <v>0.5</v>
      </c>
      <c r="D46" s="34">
        <v>2</v>
      </c>
      <c r="E46" s="187">
        <f t="shared" ref="E46:E50" ca="1" si="91">M46</f>
        <v>6.4933845083070693E-2</v>
      </c>
      <c r="F46" s="187">
        <f t="shared" ca="1" si="84"/>
        <v>0.5</v>
      </c>
      <c r="G46" s="187">
        <f t="shared" ca="1" si="85"/>
        <v>0.26720598490961012</v>
      </c>
      <c r="H46" s="187">
        <f t="shared" ca="1" si="86"/>
        <v>9.0083689119574165E-2</v>
      </c>
      <c r="I46" s="187">
        <f t="shared" ca="1" si="87"/>
        <v>4.2567715069883286E-2</v>
      </c>
      <c r="J46" s="187">
        <f t="shared" ca="1" si="88"/>
        <v>3.5208765817861733E-2</v>
      </c>
      <c r="K46" s="16">
        <f t="shared" ca="1" si="89"/>
        <v>1</v>
      </c>
      <c r="L46" s="114"/>
      <c r="M46" s="25">
        <f t="shared" ref="M46:M50" ca="1" si="92">IF(M$42=$D46,$C46,(1-$C46)*M$43/(1-OFFSET($L$43,0,$D46)))</f>
        <v>6.4933845083070693E-2</v>
      </c>
      <c r="N46" s="25">
        <f t="shared" ca="1" si="90"/>
        <v>0.5</v>
      </c>
      <c r="O46" s="25">
        <f t="shared" ca="1" si="90"/>
        <v>0.26720598490961012</v>
      </c>
      <c r="P46" s="25">
        <f t="shared" ca="1" si="90"/>
        <v>9.0083689119574165E-2</v>
      </c>
      <c r="Q46" s="25">
        <f t="shared" ca="1" si="90"/>
        <v>4.2567715069883286E-2</v>
      </c>
      <c r="R46" s="25">
        <f t="shared" ca="1" si="90"/>
        <v>3.5208765817861733E-2</v>
      </c>
      <c r="S46" s="185">
        <f t="shared" ref="S46:S50" ca="1" si="93">SUM(M46:R46)</f>
        <v>1</v>
      </c>
    </row>
    <row r="47" spans="2:21" x14ac:dyDescent="0.25">
      <c r="B47" s="145" t="str">
        <f>B37</f>
        <v>Careful sex</v>
      </c>
      <c r="C47" s="179">
        <v>0.8</v>
      </c>
      <c r="D47" s="34">
        <v>3</v>
      </c>
      <c r="E47" s="187">
        <f t="shared" ca="1" si="91"/>
        <v>4.6027934103893185E-2</v>
      </c>
      <c r="F47" s="187">
        <f t="shared" ca="1" si="84"/>
        <v>3.498547525326258E-2</v>
      </c>
      <c r="G47" s="187">
        <f t="shared" ca="1" si="85"/>
        <v>0.8</v>
      </c>
      <c r="H47" s="187">
        <f t="shared" ca="1" si="86"/>
        <v>6.3855237608782589E-2</v>
      </c>
      <c r="I47" s="187">
        <f t="shared" ca="1" si="87"/>
        <v>3.0173848194009246E-2</v>
      </c>
      <c r="J47" s="187">
        <f t="shared" ca="1" si="88"/>
        <v>2.4957504840052356E-2</v>
      </c>
      <c r="K47" s="16">
        <f t="shared" ca="1" si="89"/>
        <v>1</v>
      </c>
      <c r="L47" s="114"/>
      <c r="M47" s="25">
        <f t="shared" ca="1" si="92"/>
        <v>4.6027934103893185E-2</v>
      </c>
      <c r="N47" s="25">
        <f t="shared" ca="1" si="90"/>
        <v>3.498547525326258E-2</v>
      </c>
      <c r="O47" s="25">
        <f t="shared" ca="1" si="90"/>
        <v>0.8</v>
      </c>
      <c r="P47" s="25">
        <f t="shared" ca="1" si="90"/>
        <v>6.3855237608782589E-2</v>
      </c>
      <c r="Q47" s="25">
        <f t="shared" ca="1" si="90"/>
        <v>3.0173848194009246E-2</v>
      </c>
      <c r="R47" s="25">
        <f t="shared" ca="1" si="90"/>
        <v>2.4957504840052356E-2</v>
      </c>
      <c r="S47" s="185">
        <f t="shared" ca="1" si="93"/>
        <v>1</v>
      </c>
    </row>
    <row r="48" spans="2:21" x14ac:dyDescent="0.25">
      <c r="B48" s="145" t="str">
        <f>B38</f>
        <v>Unsafe Sex</v>
      </c>
      <c r="C48" s="179">
        <v>0.7</v>
      </c>
      <c r="D48" s="34">
        <v>4</v>
      </c>
      <c r="E48" s="187">
        <f t="shared" ca="1" si="91"/>
        <v>4.2415284584021794E-2</v>
      </c>
      <c r="F48" s="187">
        <f t="shared" ca="1" si="84"/>
        <v>3.2239528409528803E-2</v>
      </c>
      <c r="G48" s="187">
        <f t="shared" ca="1" si="85"/>
        <v>0.17454099442279605</v>
      </c>
      <c r="H48" s="187">
        <f t="shared" ca="1" si="86"/>
        <v>0.7</v>
      </c>
      <c r="I48" s="187">
        <f t="shared" ca="1" si="87"/>
        <v>2.7805557278655309E-2</v>
      </c>
      <c r="J48" s="187">
        <f t="shared" ca="1" si="88"/>
        <v>2.2998635304998058E-2</v>
      </c>
      <c r="K48" s="16">
        <f t="shared" ca="1" si="89"/>
        <v>0.99999999999999989</v>
      </c>
      <c r="L48" s="114"/>
      <c r="M48" s="25">
        <f t="shared" ca="1" si="92"/>
        <v>4.2415284584021794E-2</v>
      </c>
      <c r="N48" s="25">
        <f t="shared" ca="1" si="90"/>
        <v>3.2239528409528803E-2</v>
      </c>
      <c r="O48" s="25">
        <f t="shared" ca="1" si="90"/>
        <v>0.17454099442279605</v>
      </c>
      <c r="P48" s="25">
        <f t="shared" ca="1" si="90"/>
        <v>0.7</v>
      </c>
      <c r="Q48" s="25">
        <f t="shared" ca="1" si="90"/>
        <v>2.7805557278655309E-2</v>
      </c>
      <c r="R48" s="25">
        <f t="shared" ca="1" si="90"/>
        <v>2.2998635304998058E-2</v>
      </c>
      <c r="S48" s="185">
        <f t="shared" ca="1" si="93"/>
        <v>0.99999999999999989</v>
      </c>
    </row>
    <row r="49" spans="2:21" s="114" customFormat="1" x14ac:dyDescent="0.25">
      <c r="B49" s="145" t="str">
        <f t="shared" ref="B49:B50" si="94">B39</f>
        <v>Seeking Pregnancy</v>
      </c>
      <c r="C49" s="179">
        <v>1</v>
      </c>
      <c r="D49" s="34">
        <v>5</v>
      </c>
      <c r="E49" s="187">
        <f t="shared" ca="1" si="91"/>
        <v>0</v>
      </c>
      <c r="F49" s="187">
        <f t="shared" ca="1" si="84"/>
        <v>0</v>
      </c>
      <c r="G49" s="187">
        <f t="shared" ca="1" si="85"/>
        <v>0</v>
      </c>
      <c r="H49" s="187">
        <f t="shared" ca="1" si="86"/>
        <v>0</v>
      </c>
      <c r="I49" s="187">
        <f t="shared" ca="1" si="87"/>
        <v>1</v>
      </c>
      <c r="J49" s="187">
        <f t="shared" ca="1" si="88"/>
        <v>0</v>
      </c>
      <c r="K49" s="16">
        <f t="shared" ca="1" si="89"/>
        <v>1</v>
      </c>
      <c r="M49" s="25">
        <f t="shared" ca="1" si="92"/>
        <v>0</v>
      </c>
      <c r="N49" s="25">
        <f t="shared" ca="1" si="90"/>
        <v>0</v>
      </c>
      <c r="O49" s="25">
        <f t="shared" ca="1" si="90"/>
        <v>0</v>
      </c>
      <c r="P49" s="25">
        <f t="shared" ca="1" si="90"/>
        <v>0</v>
      </c>
      <c r="Q49" s="25">
        <f t="shared" ca="1" si="90"/>
        <v>1</v>
      </c>
      <c r="R49" s="25">
        <f t="shared" ca="1" si="90"/>
        <v>0</v>
      </c>
      <c r="S49" s="185">
        <f t="shared" ca="1" si="93"/>
        <v>1</v>
      </c>
    </row>
    <row r="50" spans="2:21" x14ac:dyDescent="0.25">
      <c r="B50" s="145" t="str">
        <f t="shared" si="94"/>
        <v>Pregnant</v>
      </c>
      <c r="C50" s="188">
        <v>0</v>
      </c>
      <c r="D50" s="34">
        <v>6</v>
      </c>
      <c r="E50" s="187">
        <f t="shared" ca="1" si="91"/>
        <v>0.12629433208877899</v>
      </c>
      <c r="F50" s="187">
        <f t="shared" ca="1" si="84"/>
        <v>9.5995341001967216E-2</v>
      </c>
      <c r="G50" s="187">
        <f t="shared" ca="1" si="85"/>
        <v>0.51970742455049612</v>
      </c>
      <c r="H50" s="187">
        <f t="shared" ca="1" si="86"/>
        <v>0.17521000542775508</v>
      </c>
      <c r="I50" s="187">
        <f t="shared" ca="1" si="87"/>
        <v>8.2792896931002585E-2</v>
      </c>
      <c r="J50" s="187">
        <f t="shared" ca="1" si="88"/>
        <v>0</v>
      </c>
      <c r="K50" s="16">
        <f t="shared" ca="1" si="89"/>
        <v>1</v>
      </c>
      <c r="L50" s="114"/>
      <c r="M50" s="25">
        <f t="shared" ca="1" si="92"/>
        <v>0.12629433208877899</v>
      </c>
      <c r="N50" s="25">
        <f t="shared" ca="1" si="90"/>
        <v>9.5995341001967216E-2</v>
      </c>
      <c r="O50" s="25">
        <f t="shared" ca="1" si="90"/>
        <v>0.51970742455049612</v>
      </c>
      <c r="P50" s="25">
        <f t="shared" ca="1" si="90"/>
        <v>0.17521000542775508</v>
      </c>
      <c r="Q50" s="25">
        <f t="shared" ca="1" si="90"/>
        <v>8.2792896931002585E-2</v>
      </c>
      <c r="R50" s="25">
        <f t="shared" ca="1" si="90"/>
        <v>0</v>
      </c>
      <c r="S50" s="185">
        <f t="shared" ca="1" si="93"/>
        <v>1</v>
      </c>
    </row>
    <row r="52" spans="2:21" x14ac:dyDescent="0.25">
      <c r="B52" s="114"/>
      <c r="D52" s="114"/>
      <c r="E52" s="114"/>
      <c r="F52" s="114"/>
      <c r="G52" s="114"/>
      <c r="H52" s="114"/>
      <c r="I52" s="114"/>
      <c r="K52" s="114"/>
      <c r="L52" s="114"/>
      <c r="M52" s="125">
        <v>1</v>
      </c>
      <c r="N52" s="125">
        <v>2</v>
      </c>
      <c r="O52" s="125">
        <v>3</v>
      </c>
      <c r="P52" s="125">
        <v>4</v>
      </c>
      <c r="Q52" s="125">
        <v>5</v>
      </c>
      <c r="R52" s="125">
        <v>6</v>
      </c>
      <c r="S52" s="114"/>
    </row>
    <row r="53" spans="2:21" x14ac:dyDescent="0.25">
      <c r="B53" s="177" t="str">
        <f>"Non-pregnant | "&amp;Parameters!J18</f>
        <v>Non-pregnant | 35-39</v>
      </c>
      <c r="C53" s="177"/>
      <c r="D53" s="180" t="s">
        <v>122</v>
      </c>
      <c r="E53" s="181">
        <f t="array" ref="E53:J53">TRANSPOSE(Parameters!J19:J24)</f>
        <v>0.36130000000000001</v>
      </c>
      <c r="F53" s="181">
        <v>9.9000000000000005E-2</v>
      </c>
      <c r="G53" s="181">
        <v>0.34289999999999998</v>
      </c>
      <c r="H53" s="181">
        <v>0.1197</v>
      </c>
      <c r="I53" s="181">
        <v>5.4100000000000002E-2</v>
      </c>
      <c r="J53" s="181">
        <v>2.3E-2</v>
      </c>
      <c r="K53" s="186">
        <f>SUM(E53:J53)</f>
        <v>1</v>
      </c>
      <c r="L53" s="114"/>
      <c r="M53" s="25">
        <f>E53*ratioSterile</f>
        <v>0.18065000000000001</v>
      </c>
      <c r="N53" s="25">
        <f>F53*$U53</f>
        <v>0.12700117426021607</v>
      </c>
      <c r="O53" s="25">
        <f t="shared" ref="O53" si="95">G53*$U53</f>
        <v>0.43988588539220291</v>
      </c>
      <c r="P53" s="25">
        <f t="shared" ref="P53" si="96">H53*$U53</f>
        <v>0.1535559652418976</v>
      </c>
      <c r="Q53" s="25">
        <f t="shared" ref="Q53" si="97">I53*$U53</f>
        <v>6.9401651792703939E-2</v>
      </c>
      <c r="R53" s="25">
        <f t="shared" ref="R53" si="98">J53*$U53</f>
        <v>2.950532331297949E-2</v>
      </c>
      <c r="S53" s="185">
        <f>SUM(M53:R53)</f>
        <v>1</v>
      </c>
      <c r="T53" s="114"/>
      <c r="U53" s="114">
        <f>(1-E53*ratioSterile)/(1-E53)</f>
        <v>1.2828401440425865</v>
      </c>
    </row>
    <row r="54" spans="2:21" ht="30" x14ac:dyDescent="0.25">
      <c r="B54" s="33"/>
      <c r="C54" s="20" t="s">
        <v>121</v>
      </c>
      <c r="D54" s="20" t="s">
        <v>14</v>
      </c>
      <c r="E54" s="182" t="str">
        <f t="array" ref="E54:J54">TRANSPOSE(B55:B60)</f>
        <v>Sterile</v>
      </c>
      <c r="F54" s="183" t="str">
        <v>Inactive</v>
      </c>
      <c r="G54" s="184" t="str">
        <v>Careful sex</v>
      </c>
      <c r="H54" s="184" t="str">
        <v>Unsafe Sex</v>
      </c>
      <c r="I54" s="184" t="str">
        <v>Seeking Pregnancy</v>
      </c>
      <c r="J54" s="184" t="str">
        <v>Pregnant</v>
      </c>
      <c r="K54" s="14" t="s">
        <v>57</v>
      </c>
      <c r="L54" s="114"/>
      <c r="M54" s="182" t="str">
        <f>E54</f>
        <v>Sterile</v>
      </c>
      <c r="N54" s="183" t="str">
        <f t="shared" ref="N54" si="99">F54</f>
        <v>Inactive</v>
      </c>
      <c r="O54" s="184" t="str">
        <f t="shared" ref="O54" si="100">G54</f>
        <v>Careful sex</v>
      </c>
      <c r="P54" s="184" t="str">
        <f t="shared" ref="P54" si="101">H54</f>
        <v>Unsafe Sex</v>
      </c>
      <c r="Q54" s="184" t="str">
        <f t="shared" ref="Q54" si="102">I54</f>
        <v>Seeking Pregnancy</v>
      </c>
      <c r="R54" s="184" t="str">
        <f t="shared" ref="R54" si="103">J54</f>
        <v>Pregnant</v>
      </c>
      <c r="S54" s="114"/>
    </row>
    <row r="55" spans="2:21" x14ac:dyDescent="0.25">
      <c r="B55" s="145" t="str">
        <f>B45</f>
        <v>Sterile</v>
      </c>
      <c r="C55" s="188">
        <v>1</v>
      </c>
      <c r="D55" s="34">
        <v>1</v>
      </c>
      <c r="E55" s="187">
        <f ca="1">M55</f>
        <v>1</v>
      </c>
      <c r="F55" s="187">
        <f t="shared" ref="F55:F60" ca="1" si="104">N55</f>
        <v>0</v>
      </c>
      <c r="G55" s="187">
        <f t="shared" ref="G55:G60" ca="1" si="105">O55</f>
        <v>0</v>
      </c>
      <c r="H55" s="187">
        <f t="shared" ref="H55:H60" ca="1" si="106">P55</f>
        <v>0</v>
      </c>
      <c r="I55" s="187">
        <f t="shared" ref="I55:I60" ca="1" si="107">Q55</f>
        <v>0</v>
      </c>
      <c r="J55" s="187">
        <f t="shared" ref="J55:J60" ca="1" si="108">R55</f>
        <v>0</v>
      </c>
      <c r="K55" s="16">
        <f t="shared" ref="K55:K60" ca="1" si="109">SUM(E55:J55)</f>
        <v>1</v>
      </c>
      <c r="L55" s="114"/>
      <c r="M55" s="25">
        <f ca="1">IF(M$52=$D55,$C55,(1-$C55)*M$53/(1-OFFSET($L$53,0,$D55)))</f>
        <v>1</v>
      </c>
      <c r="N55" s="25">
        <f t="shared" ref="N55:R60" ca="1" si="110">IF(N$52=$D55,$C55,(1-$C55)*N$53/(1-OFFSET($L$53,0,$D55)))</f>
        <v>0</v>
      </c>
      <c r="O55" s="25">
        <f t="shared" ca="1" si="110"/>
        <v>0</v>
      </c>
      <c r="P55" s="25">
        <f t="shared" ca="1" si="110"/>
        <v>0</v>
      </c>
      <c r="Q55" s="25">
        <f t="shared" ca="1" si="110"/>
        <v>0</v>
      </c>
      <c r="R55" s="25">
        <f t="shared" ca="1" si="110"/>
        <v>0</v>
      </c>
      <c r="S55" s="185">
        <f ca="1">SUM(M55:R55)</f>
        <v>1</v>
      </c>
    </row>
    <row r="56" spans="2:21" x14ac:dyDescent="0.25">
      <c r="B56" s="145" t="str">
        <f>B46</f>
        <v>Inactive</v>
      </c>
      <c r="C56" s="178">
        <v>0.7</v>
      </c>
      <c r="D56" s="34">
        <v>2</v>
      </c>
      <c r="E56" s="187">
        <f t="shared" ref="E56:E60" ca="1" si="111">M56</f>
        <v>6.207912130245407E-2</v>
      </c>
      <c r="F56" s="187">
        <f t="shared" ca="1" si="104"/>
        <v>0.7</v>
      </c>
      <c r="G56" s="187">
        <f t="shared" ca="1" si="105"/>
        <v>0.1511637378272902</v>
      </c>
      <c r="H56" s="187">
        <f t="shared" ca="1" si="106"/>
        <v>5.2768443913463504E-2</v>
      </c>
      <c r="I56" s="187">
        <f t="shared" ca="1" si="107"/>
        <v>2.384939695671158E-2</v>
      </c>
      <c r="J56" s="187">
        <f t="shared" ca="1" si="108"/>
        <v>1.0139300000080708E-2</v>
      </c>
      <c r="K56" s="16">
        <f t="shared" ca="1" si="109"/>
        <v>1</v>
      </c>
      <c r="L56" s="114"/>
      <c r="M56" s="25">
        <f t="shared" ref="M56:M60" ca="1" si="112">IF(M$52=$D56,$C56,(1-$C56)*M$53/(1-OFFSET($L$53,0,$D56)))</f>
        <v>6.207912130245407E-2</v>
      </c>
      <c r="N56" s="25">
        <f t="shared" ca="1" si="110"/>
        <v>0.7</v>
      </c>
      <c r="O56" s="25">
        <f t="shared" ca="1" si="110"/>
        <v>0.1511637378272902</v>
      </c>
      <c r="P56" s="25">
        <f t="shared" ca="1" si="110"/>
        <v>5.2768443913463504E-2</v>
      </c>
      <c r="Q56" s="25">
        <f t="shared" ca="1" si="110"/>
        <v>2.384939695671158E-2</v>
      </c>
      <c r="R56" s="25">
        <f t="shared" ca="1" si="110"/>
        <v>1.0139300000080708E-2</v>
      </c>
      <c r="S56" s="185">
        <f t="shared" ref="S56:S60" ca="1" si="113">SUM(M56:R56)</f>
        <v>1</v>
      </c>
    </row>
    <row r="57" spans="2:21" x14ac:dyDescent="0.25">
      <c r="B57" s="145" t="str">
        <f>B47</f>
        <v>Careful sex</v>
      </c>
      <c r="C57" s="179">
        <v>0.85</v>
      </c>
      <c r="D57" s="34">
        <v>3</v>
      </c>
      <c r="E57" s="187">
        <f t="shared" ca="1" si="111"/>
        <v>4.8378534468773757E-2</v>
      </c>
      <c r="F57" s="187">
        <f t="shared" ca="1" si="104"/>
        <v>3.4011240999294798E-2</v>
      </c>
      <c r="G57" s="187">
        <f t="shared" ca="1" si="105"/>
        <v>0.85</v>
      </c>
      <c r="H57" s="187">
        <f t="shared" ca="1" si="106"/>
        <v>4.1122682299147346E-2</v>
      </c>
      <c r="I57" s="187">
        <f t="shared" ca="1" si="107"/>
        <v>1.8585940788503525E-2</v>
      </c>
      <c r="J57" s="187">
        <f t="shared" ca="1" si="108"/>
        <v>7.90160144428061E-3</v>
      </c>
      <c r="K57" s="16">
        <f t="shared" ca="1" si="109"/>
        <v>1</v>
      </c>
      <c r="L57" s="114"/>
      <c r="M57" s="25">
        <f t="shared" ca="1" si="112"/>
        <v>4.8378534468773757E-2</v>
      </c>
      <c r="N57" s="25">
        <f t="shared" ca="1" si="110"/>
        <v>3.4011240999294798E-2</v>
      </c>
      <c r="O57" s="25">
        <f t="shared" ca="1" si="110"/>
        <v>0.85</v>
      </c>
      <c r="P57" s="25">
        <f t="shared" ca="1" si="110"/>
        <v>4.1122682299147346E-2</v>
      </c>
      <c r="Q57" s="25">
        <f t="shared" ca="1" si="110"/>
        <v>1.8585940788503525E-2</v>
      </c>
      <c r="R57" s="25">
        <f t="shared" ca="1" si="110"/>
        <v>7.90160144428061E-3</v>
      </c>
      <c r="S57" s="185">
        <f t="shared" ca="1" si="113"/>
        <v>1</v>
      </c>
    </row>
    <row r="58" spans="2:21" x14ac:dyDescent="0.25">
      <c r="B58" s="145" t="str">
        <f>B48</f>
        <v>Unsafe Sex</v>
      </c>
      <c r="C58" s="179">
        <v>0.7</v>
      </c>
      <c r="D58" s="34">
        <v>4</v>
      </c>
      <c r="E58" s="187">
        <f t="shared" ca="1" si="111"/>
        <v>6.4026678403478754E-2</v>
      </c>
      <c r="F58" s="187">
        <f t="shared" ca="1" si="104"/>
        <v>4.5012252096446263E-2</v>
      </c>
      <c r="G58" s="187">
        <f t="shared" ca="1" si="105"/>
        <v>0.15590607317041844</v>
      </c>
      <c r="H58" s="187">
        <f t="shared" ca="1" si="106"/>
        <v>0.7</v>
      </c>
      <c r="I58" s="187">
        <f t="shared" ca="1" si="107"/>
        <v>2.4597604428462053E-2</v>
      </c>
      <c r="J58" s="187">
        <f t="shared" ca="1" si="108"/>
        <v>1.0457391901194586E-2</v>
      </c>
      <c r="K58" s="16">
        <f t="shared" ca="1" si="109"/>
        <v>1</v>
      </c>
      <c r="L58" s="114"/>
      <c r="M58" s="25">
        <f t="shared" ca="1" si="112"/>
        <v>6.4026678403478754E-2</v>
      </c>
      <c r="N58" s="25">
        <f t="shared" ca="1" si="110"/>
        <v>4.5012252096446263E-2</v>
      </c>
      <c r="O58" s="25">
        <f t="shared" ca="1" si="110"/>
        <v>0.15590607317041844</v>
      </c>
      <c r="P58" s="25">
        <f t="shared" ca="1" si="110"/>
        <v>0.7</v>
      </c>
      <c r="Q58" s="25">
        <f t="shared" ca="1" si="110"/>
        <v>2.4597604428462053E-2</v>
      </c>
      <c r="R58" s="25">
        <f t="shared" ca="1" si="110"/>
        <v>1.0457391901194586E-2</v>
      </c>
      <c r="S58" s="185">
        <f t="shared" ca="1" si="113"/>
        <v>1</v>
      </c>
    </row>
    <row r="59" spans="2:21" s="114" customFormat="1" x14ac:dyDescent="0.25">
      <c r="B59" s="145" t="str">
        <f t="shared" ref="B59:B60" si="114">B49</f>
        <v>Seeking Pregnancy</v>
      </c>
      <c r="C59" s="179">
        <v>1</v>
      </c>
      <c r="D59" s="34">
        <v>5</v>
      </c>
      <c r="E59" s="187">
        <f t="shared" ca="1" si="111"/>
        <v>0</v>
      </c>
      <c r="F59" s="187">
        <f t="shared" ca="1" si="104"/>
        <v>0</v>
      </c>
      <c r="G59" s="187">
        <f t="shared" ca="1" si="105"/>
        <v>0</v>
      </c>
      <c r="H59" s="187">
        <f t="shared" ca="1" si="106"/>
        <v>0</v>
      </c>
      <c r="I59" s="187">
        <f t="shared" ca="1" si="107"/>
        <v>1</v>
      </c>
      <c r="J59" s="187">
        <f t="shared" ca="1" si="108"/>
        <v>0</v>
      </c>
      <c r="K59" s="16">
        <f t="shared" ca="1" si="109"/>
        <v>1</v>
      </c>
      <c r="M59" s="25">
        <f t="shared" ca="1" si="112"/>
        <v>0</v>
      </c>
      <c r="N59" s="25">
        <f t="shared" ca="1" si="110"/>
        <v>0</v>
      </c>
      <c r="O59" s="25">
        <f t="shared" ca="1" si="110"/>
        <v>0</v>
      </c>
      <c r="P59" s="25">
        <f t="shared" ca="1" si="110"/>
        <v>0</v>
      </c>
      <c r="Q59" s="25">
        <f t="shared" ca="1" si="110"/>
        <v>1</v>
      </c>
      <c r="R59" s="25">
        <f t="shared" ca="1" si="110"/>
        <v>0</v>
      </c>
      <c r="S59" s="185">
        <f t="shared" ca="1" si="113"/>
        <v>1</v>
      </c>
    </row>
    <row r="60" spans="2:21" x14ac:dyDescent="0.25">
      <c r="B60" s="145" t="str">
        <f t="shared" si="114"/>
        <v>Pregnant</v>
      </c>
      <c r="C60" s="188">
        <v>0</v>
      </c>
      <c r="D60" s="34">
        <v>6</v>
      </c>
      <c r="E60" s="187">
        <f t="shared" ca="1" si="111"/>
        <v>0.18614218536126881</v>
      </c>
      <c r="F60" s="187">
        <f t="shared" ca="1" si="104"/>
        <v>0.13086230899664511</v>
      </c>
      <c r="G60" s="187">
        <f t="shared" ca="1" si="105"/>
        <v>0.45325945207019802</v>
      </c>
      <c r="H60" s="187">
        <f t="shared" ca="1" si="106"/>
        <v>0.15822442815048907</v>
      </c>
      <c r="I60" s="187">
        <f t="shared" ca="1" si="107"/>
        <v>7.1511625421398994E-2</v>
      </c>
      <c r="J60" s="187">
        <f t="shared" ca="1" si="108"/>
        <v>0</v>
      </c>
      <c r="K60" s="16">
        <f t="shared" ca="1" si="109"/>
        <v>1</v>
      </c>
      <c r="L60" s="114"/>
      <c r="M60" s="25">
        <f t="shared" ca="1" si="112"/>
        <v>0.18614218536126881</v>
      </c>
      <c r="N60" s="25">
        <f t="shared" ca="1" si="110"/>
        <v>0.13086230899664511</v>
      </c>
      <c r="O60" s="25">
        <f t="shared" ca="1" si="110"/>
        <v>0.45325945207019802</v>
      </c>
      <c r="P60" s="25">
        <f t="shared" ca="1" si="110"/>
        <v>0.15822442815048907</v>
      </c>
      <c r="Q60" s="25">
        <f t="shared" ca="1" si="110"/>
        <v>7.1511625421398994E-2</v>
      </c>
      <c r="R60" s="25">
        <f t="shared" ca="1" si="110"/>
        <v>0</v>
      </c>
      <c r="S60" s="185">
        <f t="shared" ca="1" si="113"/>
        <v>1</v>
      </c>
    </row>
    <row r="62" spans="2:21" x14ac:dyDescent="0.25">
      <c r="B62" s="114"/>
      <c r="D62" s="114"/>
      <c r="E62" s="114"/>
      <c r="F62" s="114"/>
      <c r="G62" s="114"/>
      <c r="H62" s="114"/>
      <c r="I62" s="114"/>
      <c r="K62" s="114"/>
      <c r="L62" s="114"/>
      <c r="M62" s="125">
        <v>1</v>
      </c>
      <c r="N62" s="125">
        <v>2</v>
      </c>
      <c r="O62" s="125">
        <v>3</v>
      </c>
      <c r="P62" s="125">
        <v>4</v>
      </c>
      <c r="Q62" s="125">
        <v>5</v>
      </c>
      <c r="R62" s="125">
        <v>6</v>
      </c>
      <c r="S62" s="114"/>
    </row>
    <row r="63" spans="2:21" x14ac:dyDescent="0.25">
      <c r="B63" s="177" t="str">
        <f>"Non-pregnant | "&amp;Parameters!K18</f>
        <v>Non-pregnant | 40-44</v>
      </c>
      <c r="C63" s="177"/>
      <c r="D63" s="180" t="s">
        <v>122</v>
      </c>
      <c r="E63" s="181">
        <f t="array" ref="E63:J63">TRANSPOSE(Parameters!K19:K24)</f>
        <v>0.51859999999999995</v>
      </c>
      <c r="F63" s="181">
        <v>0.1014</v>
      </c>
      <c r="G63" s="181">
        <v>0.22589999999999999</v>
      </c>
      <c r="H63" s="181">
        <v>9.11E-2</v>
      </c>
      <c r="I63" s="181">
        <v>5.6500000000000002E-2</v>
      </c>
      <c r="J63" s="181">
        <v>6.4999999999999997E-3</v>
      </c>
      <c r="K63" s="186">
        <f>SUM(E63:J63)</f>
        <v>0.99999999999999989</v>
      </c>
      <c r="L63" s="114"/>
      <c r="M63" s="25">
        <f>E63*ratioSterile*1.5</f>
        <v>0.38894999999999996</v>
      </c>
      <c r="N63" s="25">
        <f>F63*$U63</f>
        <v>0.15601782301620273</v>
      </c>
      <c r="O63" s="25">
        <f t="shared" ref="O63" si="115">G63*$U63</f>
        <v>0.34757816784378887</v>
      </c>
      <c r="P63" s="25">
        <f t="shared" ref="P63" si="116">H63*$U63</f>
        <v>0.14016985874532611</v>
      </c>
      <c r="Q63" s="25">
        <f t="shared" ref="Q63" si="117">I63*$U63</f>
        <v>8.6933007893643527E-2</v>
      </c>
      <c r="R63" s="25">
        <f t="shared" ref="R63" si="118">J63*$U63</f>
        <v>1.0001142501038635E-2</v>
      </c>
      <c r="S63" s="185">
        <f>SUM(M63:R63)</f>
        <v>1.1296499999999998</v>
      </c>
      <c r="T63" s="114"/>
      <c r="U63" s="114">
        <f>(1-E63*ratioSterile)/(1-E63)</f>
        <v>1.5386373078520978</v>
      </c>
    </row>
    <row r="64" spans="2:21" ht="30" x14ac:dyDescent="0.25">
      <c r="B64" s="33"/>
      <c r="C64" s="20" t="s">
        <v>121</v>
      </c>
      <c r="D64" s="20" t="s">
        <v>14</v>
      </c>
      <c r="E64" s="182" t="str">
        <f t="array" ref="E64:J64">TRANSPOSE(B65:B70)</f>
        <v>Sterile</v>
      </c>
      <c r="F64" s="183" t="str">
        <v>Inactive</v>
      </c>
      <c r="G64" s="184" t="str">
        <v>Careful sex</v>
      </c>
      <c r="H64" s="184" t="str">
        <v>Unsafe Sex</v>
      </c>
      <c r="I64" s="184" t="str">
        <v>Seeking Pregnancy</v>
      </c>
      <c r="J64" s="184" t="str">
        <v>Pregnant</v>
      </c>
      <c r="K64" s="14" t="s">
        <v>57</v>
      </c>
      <c r="L64" s="114"/>
      <c r="M64" s="182" t="str">
        <f>E64</f>
        <v>Sterile</v>
      </c>
      <c r="N64" s="183" t="str">
        <f t="shared" ref="N64" si="119">F64</f>
        <v>Inactive</v>
      </c>
      <c r="O64" s="184" t="str">
        <f t="shared" ref="O64" si="120">G64</f>
        <v>Careful sex</v>
      </c>
      <c r="P64" s="184" t="str">
        <f t="shared" ref="P64" si="121">H64</f>
        <v>Unsafe Sex</v>
      </c>
      <c r="Q64" s="184" t="str">
        <f t="shared" ref="Q64" si="122">I64</f>
        <v>Seeking Pregnancy</v>
      </c>
      <c r="R64" s="184" t="str">
        <f t="shared" ref="R64" si="123">J64</f>
        <v>Pregnant</v>
      </c>
      <c r="S64" s="114"/>
    </row>
    <row r="65" spans="2:19" x14ac:dyDescent="0.25">
      <c r="B65" s="145" t="str">
        <f>B55</f>
        <v>Sterile</v>
      </c>
      <c r="C65" s="188">
        <v>1</v>
      </c>
      <c r="D65" s="34">
        <v>1</v>
      </c>
      <c r="E65" s="187">
        <f ca="1">M65</f>
        <v>1</v>
      </c>
      <c r="F65" s="187">
        <f t="shared" ref="F65:F70" ca="1" si="124">N65</f>
        <v>0</v>
      </c>
      <c r="G65" s="187">
        <f t="shared" ref="G65:G70" ca="1" si="125">O65</f>
        <v>0</v>
      </c>
      <c r="H65" s="187">
        <f t="shared" ref="H65:H70" ca="1" si="126">P65</f>
        <v>0</v>
      </c>
      <c r="I65" s="187">
        <f t="shared" ref="I65:I70" ca="1" si="127">Q65</f>
        <v>0</v>
      </c>
      <c r="J65" s="187">
        <f t="shared" ref="J65:J70" ca="1" si="128">R65</f>
        <v>0</v>
      </c>
      <c r="K65" s="16">
        <f t="shared" ref="K65:K70" ca="1" si="129">SUM(E65:J65)</f>
        <v>1</v>
      </c>
      <c r="L65" s="114"/>
      <c r="M65" s="25">
        <f ca="1">IF(M$62=$D65,$C65,(1-$C65)*M$63/(1-OFFSET($L$63,0,$D65)))</f>
        <v>1</v>
      </c>
      <c r="N65" s="25">
        <f t="shared" ref="N65:R70" ca="1" si="130">IF(N$62=$D65,$C65,(1-$C65)*N$63/(1-OFFSET($L$63,0,$D65)))</f>
        <v>0</v>
      </c>
      <c r="O65" s="25">
        <f t="shared" ca="1" si="130"/>
        <v>0</v>
      </c>
      <c r="P65" s="25">
        <f t="shared" ca="1" si="130"/>
        <v>0</v>
      </c>
      <c r="Q65" s="25">
        <f t="shared" ca="1" si="130"/>
        <v>0</v>
      </c>
      <c r="R65" s="25">
        <f t="shared" ca="1" si="130"/>
        <v>0</v>
      </c>
      <c r="S65" s="185">
        <f ca="1">SUM(M65:R65)</f>
        <v>1</v>
      </c>
    </row>
    <row r="66" spans="2:19" x14ac:dyDescent="0.25">
      <c r="B66" s="145" t="str">
        <f>B56</f>
        <v>Inactive</v>
      </c>
      <c r="C66" s="178">
        <v>0.5</v>
      </c>
      <c r="D66" s="34">
        <v>2</v>
      </c>
      <c r="E66" s="187">
        <f t="shared" ref="E66:E70" ca="1" si="131">M66</f>
        <v>0.2304254820818728</v>
      </c>
      <c r="F66" s="187">
        <f t="shared" ca="1" si="124"/>
        <v>0.5</v>
      </c>
      <c r="G66" s="187">
        <f t="shared" ca="1" si="125"/>
        <v>0.2059155852591314</v>
      </c>
      <c r="H66" s="187">
        <f t="shared" ca="1" si="126"/>
        <v>8.3040769442704165E-2</v>
      </c>
      <c r="I66" s="187">
        <f t="shared" ca="1" si="127"/>
        <v>5.1501684670831896E-2</v>
      </c>
      <c r="J66" s="187">
        <f t="shared" ca="1" si="128"/>
        <v>5.9249725727505715E-3</v>
      </c>
      <c r="K66" s="16">
        <f t="shared" ca="1" si="129"/>
        <v>1.0768084940272908</v>
      </c>
      <c r="L66" s="114"/>
      <c r="M66" s="25">
        <f t="shared" ref="M66:M70" ca="1" si="132">IF(M$62=$D66,$C66,(1-$C66)*M$63/(1-OFFSET($L$63,0,$D66)))</f>
        <v>0.2304254820818728</v>
      </c>
      <c r="N66" s="25">
        <f t="shared" ca="1" si="130"/>
        <v>0.5</v>
      </c>
      <c r="O66" s="25">
        <f t="shared" ca="1" si="130"/>
        <v>0.2059155852591314</v>
      </c>
      <c r="P66" s="25">
        <f t="shared" ca="1" si="130"/>
        <v>8.3040769442704165E-2</v>
      </c>
      <c r="Q66" s="25">
        <f t="shared" ca="1" si="130"/>
        <v>5.1501684670831896E-2</v>
      </c>
      <c r="R66" s="25">
        <f t="shared" ca="1" si="130"/>
        <v>5.9249725727505715E-3</v>
      </c>
      <c r="S66" s="185">
        <f t="shared" ref="S66:S70" ca="1" si="133">SUM(M66:R66)</f>
        <v>1.0768084940272908</v>
      </c>
    </row>
    <row r="67" spans="2:19" x14ac:dyDescent="0.25">
      <c r="B67" s="145" t="str">
        <f>B57</f>
        <v>Careful sex</v>
      </c>
      <c r="C67" s="179">
        <v>0.7</v>
      </c>
      <c r="D67" s="34">
        <v>3</v>
      </c>
      <c r="E67" s="187">
        <f t="shared" ca="1" si="131"/>
        <v>0.1788490118645536</v>
      </c>
      <c r="F67" s="187">
        <f t="shared" ca="1" si="124"/>
        <v>7.1740926802176808E-2</v>
      </c>
      <c r="G67" s="187">
        <f t="shared" ca="1" si="125"/>
        <v>0.7</v>
      </c>
      <c r="H67" s="187">
        <f t="shared" ca="1" si="126"/>
        <v>6.4453633448504008E-2</v>
      </c>
      <c r="I67" s="187">
        <f t="shared" ca="1" si="127"/>
        <v>3.9973987813836181E-2</v>
      </c>
      <c r="J67" s="187">
        <f t="shared" ca="1" si="128"/>
        <v>4.5987773591138967E-3</v>
      </c>
      <c r="K67" s="16">
        <f t="shared" ca="1" si="129"/>
        <v>1.0596163372881844</v>
      </c>
      <c r="L67" s="114"/>
      <c r="M67" s="25">
        <f t="shared" ca="1" si="132"/>
        <v>0.1788490118645536</v>
      </c>
      <c r="N67" s="25">
        <f t="shared" ca="1" si="130"/>
        <v>7.1740926802176808E-2</v>
      </c>
      <c r="O67" s="25">
        <f t="shared" ca="1" si="130"/>
        <v>0.7</v>
      </c>
      <c r="P67" s="25">
        <f t="shared" ca="1" si="130"/>
        <v>6.4453633448504008E-2</v>
      </c>
      <c r="Q67" s="25">
        <f t="shared" ca="1" si="130"/>
        <v>3.9973987813836181E-2</v>
      </c>
      <c r="R67" s="25">
        <f t="shared" ca="1" si="130"/>
        <v>4.5987773591138967E-3</v>
      </c>
      <c r="S67" s="185">
        <f t="shared" ca="1" si="133"/>
        <v>1.0596163372881844</v>
      </c>
    </row>
    <row r="68" spans="2:19" x14ac:dyDescent="0.25">
      <c r="B68" s="145" t="str">
        <f>B58</f>
        <v>Unsafe Sex</v>
      </c>
      <c r="C68" s="179">
        <v>0.7</v>
      </c>
      <c r="D68" s="34">
        <v>4</v>
      </c>
      <c r="E68" s="187">
        <f t="shared" ca="1" si="131"/>
        <v>0.13570703607776757</v>
      </c>
      <c r="F68" s="187">
        <f t="shared" ca="1" si="124"/>
        <v>5.4435573561729227E-2</v>
      </c>
      <c r="G68" s="187">
        <f t="shared" ca="1" si="125"/>
        <v>0.12127215056799437</v>
      </c>
      <c r="H68" s="187">
        <f t="shared" ca="1" si="126"/>
        <v>0.7</v>
      </c>
      <c r="I68" s="187">
        <f t="shared" ca="1" si="127"/>
        <v>3.0331458641397444E-2</v>
      </c>
      <c r="J68" s="187">
        <f t="shared" ca="1" si="128"/>
        <v>3.489459843700591E-3</v>
      </c>
      <c r="K68" s="16">
        <f t="shared" ca="1" si="129"/>
        <v>1.0452356786925889</v>
      </c>
      <c r="L68" s="114"/>
      <c r="M68" s="25">
        <f t="shared" ca="1" si="132"/>
        <v>0.13570703607776757</v>
      </c>
      <c r="N68" s="25">
        <f t="shared" ca="1" si="130"/>
        <v>5.4435573561729227E-2</v>
      </c>
      <c r="O68" s="25">
        <f t="shared" ca="1" si="130"/>
        <v>0.12127215056799437</v>
      </c>
      <c r="P68" s="25">
        <f t="shared" ca="1" si="130"/>
        <v>0.7</v>
      </c>
      <c r="Q68" s="25">
        <f t="shared" ca="1" si="130"/>
        <v>3.0331458641397444E-2</v>
      </c>
      <c r="R68" s="25">
        <f t="shared" ca="1" si="130"/>
        <v>3.489459843700591E-3</v>
      </c>
      <c r="S68" s="185">
        <f t="shared" ca="1" si="133"/>
        <v>1.0452356786925889</v>
      </c>
    </row>
    <row r="69" spans="2:19" s="114" customFormat="1" x14ac:dyDescent="0.25">
      <c r="B69" s="145" t="str">
        <f t="shared" ref="B69:B70" si="134">B59</f>
        <v>Seeking Pregnancy</v>
      </c>
      <c r="C69" s="179">
        <v>1</v>
      </c>
      <c r="D69" s="34">
        <v>5</v>
      </c>
      <c r="E69" s="187">
        <f t="shared" ca="1" si="131"/>
        <v>0</v>
      </c>
      <c r="F69" s="187">
        <f t="shared" ca="1" si="124"/>
        <v>0</v>
      </c>
      <c r="G69" s="187">
        <f t="shared" ca="1" si="125"/>
        <v>0</v>
      </c>
      <c r="H69" s="187">
        <f t="shared" ca="1" si="126"/>
        <v>0</v>
      </c>
      <c r="I69" s="187">
        <f t="shared" ca="1" si="127"/>
        <v>1</v>
      </c>
      <c r="J69" s="187">
        <f t="shared" ca="1" si="128"/>
        <v>0</v>
      </c>
      <c r="K69" s="16">
        <f t="shared" ca="1" si="129"/>
        <v>1</v>
      </c>
      <c r="M69" s="25">
        <f t="shared" ca="1" si="132"/>
        <v>0</v>
      </c>
      <c r="N69" s="25">
        <f t="shared" ca="1" si="130"/>
        <v>0</v>
      </c>
      <c r="O69" s="25">
        <f t="shared" ca="1" si="130"/>
        <v>0</v>
      </c>
      <c r="P69" s="25">
        <f t="shared" ca="1" si="130"/>
        <v>0</v>
      </c>
      <c r="Q69" s="25">
        <f t="shared" ca="1" si="130"/>
        <v>1</v>
      </c>
      <c r="R69" s="25">
        <f t="shared" ca="1" si="130"/>
        <v>0</v>
      </c>
      <c r="S69" s="185">
        <f t="shared" ca="1" si="133"/>
        <v>1</v>
      </c>
    </row>
    <row r="70" spans="2:19" x14ac:dyDescent="0.25">
      <c r="B70" s="145" t="str">
        <f t="shared" si="134"/>
        <v>Pregnant</v>
      </c>
      <c r="C70" s="188">
        <v>0</v>
      </c>
      <c r="D70" s="34">
        <v>6</v>
      </c>
      <c r="E70" s="187">
        <f t="shared" ca="1" si="131"/>
        <v>0.39287924127771839</v>
      </c>
      <c r="F70" s="187">
        <f t="shared" ca="1" si="124"/>
        <v>0.15759394249236941</v>
      </c>
      <c r="G70" s="187">
        <f t="shared" ca="1" si="125"/>
        <v>0.35108946359986432</v>
      </c>
      <c r="H70" s="187">
        <f t="shared" ca="1" si="126"/>
        <v>0.14158587930034372</v>
      </c>
      <c r="I70" s="187">
        <f t="shared" ca="1" si="127"/>
        <v>8.7811220422276834E-2</v>
      </c>
      <c r="J70" s="187">
        <f t="shared" ca="1" si="128"/>
        <v>0</v>
      </c>
      <c r="K70" s="16">
        <f t="shared" ca="1" si="129"/>
        <v>1.1309597470925725</v>
      </c>
      <c r="L70" s="114"/>
      <c r="M70" s="25">
        <f t="shared" ca="1" si="132"/>
        <v>0.39287924127771839</v>
      </c>
      <c r="N70" s="25">
        <f t="shared" ca="1" si="130"/>
        <v>0.15759394249236941</v>
      </c>
      <c r="O70" s="25">
        <f t="shared" ca="1" si="130"/>
        <v>0.35108946359986432</v>
      </c>
      <c r="P70" s="25">
        <f t="shared" ca="1" si="130"/>
        <v>0.14158587930034372</v>
      </c>
      <c r="Q70" s="25">
        <f t="shared" ca="1" si="130"/>
        <v>8.7811220422276834E-2</v>
      </c>
      <c r="R70" s="25">
        <f t="shared" ca="1" si="130"/>
        <v>0</v>
      </c>
      <c r="S70" s="185">
        <f t="shared" ca="1" si="133"/>
        <v>1.1309597470925725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utcomes">
    <tabColor theme="5" tint="0.59999389629810485"/>
  </sheetPr>
  <dimension ref="A1:CZ113"/>
  <sheetViews>
    <sheetView showGridLines="0" zoomScale="90" zoomScaleNormal="90" workbookViewId="0">
      <selection activeCell="AX14" sqref="AX14"/>
    </sheetView>
  </sheetViews>
  <sheetFormatPr defaultColWidth="9" defaultRowHeight="15" x14ac:dyDescent="0.25"/>
  <cols>
    <col min="1" max="1" width="9" style="23"/>
    <col min="2" max="8" width="9.140625" style="21"/>
    <col min="9" max="9" width="3.85546875" style="23" customWidth="1"/>
    <col min="10" max="10" width="8.140625" style="23" customWidth="1"/>
    <col min="11" max="16" width="9" style="23"/>
    <col min="17" max="17" width="10.140625" style="23" customWidth="1"/>
    <col min="18" max="19" width="9" style="23"/>
    <col min="20" max="20" width="3" style="23" customWidth="1"/>
    <col min="21" max="24" width="9" style="23"/>
    <col min="25" max="26" width="11.140625" style="23" customWidth="1"/>
    <col min="27" max="27" width="9" style="23"/>
    <col min="28" max="28" width="4.28515625" style="23" customWidth="1"/>
    <col min="29" max="37" width="9" style="23"/>
    <col min="38" max="38" width="4.85546875" style="23" customWidth="1"/>
    <col min="39" max="39" width="9" style="23"/>
    <col min="40" max="40" width="5" style="23" customWidth="1"/>
    <col min="41" max="47" width="9" style="23"/>
    <col min="48" max="48" width="4.28515625" style="23" customWidth="1"/>
    <col min="49" max="50" width="10.42578125" style="23" customWidth="1"/>
    <col min="51" max="51" width="4.28515625" style="23" customWidth="1"/>
    <col min="52" max="60" width="9" style="23"/>
    <col min="61" max="61" width="4.28515625" style="23" customWidth="1"/>
    <col min="62" max="62" width="12.140625" style="23" customWidth="1"/>
    <col min="63" max="64" width="14.28515625" style="23" customWidth="1"/>
    <col min="65" max="65" width="15" style="23" customWidth="1"/>
    <col min="66" max="66" width="12.5703125" style="23" customWidth="1"/>
    <col min="67" max="67" width="6.85546875" style="23" customWidth="1"/>
    <col min="68" max="72" width="9" style="23"/>
    <col min="73" max="73" width="11.140625" style="23" customWidth="1"/>
    <col min="74" max="85" width="9" style="23"/>
    <col min="86" max="86" width="4.28515625" style="23" customWidth="1"/>
    <col min="87" max="96" width="9" style="23"/>
    <col min="97" max="97" width="20.42578125" style="23" customWidth="1"/>
    <col min="98" max="16384" width="9" style="23"/>
  </cols>
  <sheetData>
    <row r="1" spans="1:104" ht="38.25" customHeight="1" x14ac:dyDescent="0.25">
      <c r="B1" s="73" t="s">
        <v>15</v>
      </c>
      <c r="C1" s="73"/>
      <c r="K1" s="69" t="s">
        <v>46</v>
      </c>
      <c r="L1" s="69"/>
      <c r="M1" s="69"/>
      <c r="N1" s="69"/>
      <c r="O1" s="69"/>
      <c r="P1" s="69"/>
      <c r="Q1" s="69"/>
      <c r="R1" s="69"/>
      <c r="U1" s="69" t="s">
        <v>126</v>
      </c>
      <c r="V1" s="69"/>
      <c r="W1" s="69"/>
      <c r="X1" s="69"/>
      <c r="Y1" s="69"/>
      <c r="Z1" s="69"/>
      <c r="AA1" s="69"/>
      <c r="AD1" s="69" t="s">
        <v>70</v>
      </c>
      <c r="AE1" s="69"/>
      <c r="AF1" s="69"/>
      <c r="AG1" s="69"/>
      <c r="AH1" s="69"/>
      <c r="AM1" s="76"/>
      <c r="AN1" s="85" t="s">
        <v>64</v>
      </c>
      <c r="AO1" s="85"/>
      <c r="AP1" s="85"/>
      <c r="AQ1" s="85"/>
      <c r="AR1" s="85"/>
      <c r="AS1" s="76"/>
      <c r="AT1" s="76"/>
      <c r="AU1" s="76"/>
      <c r="AW1" s="76"/>
      <c r="AX1" s="76"/>
      <c r="BA1" s="69" t="s">
        <v>100</v>
      </c>
      <c r="BB1" s="69"/>
      <c r="BC1" s="69"/>
      <c r="BD1" s="69"/>
      <c r="BE1" s="69"/>
      <c r="BP1" s="76"/>
      <c r="BQ1" s="85" t="s">
        <v>110</v>
      </c>
      <c r="BR1" s="85"/>
      <c r="BS1" s="85"/>
      <c r="BT1" s="85"/>
      <c r="BU1" s="85"/>
      <c r="BV1" s="85"/>
      <c r="BW1" s="76"/>
      <c r="BX1" s="76"/>
      <c r="BY1" s="76"/>
      <c r="BZ1" s="85" t="s">
        <v>81</v>
      </c>
      <c r="CA1" s="85"/>
      <c r="CB1" s="85"/>
      <c r="CC1" s="85"/>
      <c r="CD1" s="85"/>
      <c r="CE1" s="76"/>
      <c r="CF1" s="76"/>
      <c r="CG1" s="76"/>
      <c r="CJ1" s="69" t="s">
        <v>81</v>
      </c>
      <c r="CK1" s="69"/>
      <c r="CL1" s="69"/>
      <c r="CM1" s="69"/>
      <c r="CN1" s="69"/>
      <c r="CS1" s="69" t="s">
        <v>56</v>
      </c>
      <c r="CT1" s="41"/>
      <c r="CU1" s="41"/>
      <c r="CV1" s="41"/>
      <c r="CW1" s="41"/>
      <c r="CX1" s="41"/>
      <c r="CY1" s="41"/>
      <c r="CZ1" s="41"/>
    </row>
    <row r="2" spans="1:104" ht="51.75" customHeight="1" x14ac:dyDescent="0.25">
      <c r="A2" s="69"/>
      <c r="B2" s="74" t="s">
        <v>43</v>
      </c>
      <c r="C2" s="20" t="s">
        <v>16</v>
      </c>
      <c r="D2" s="20" t="s">
        <v>17</v>
      </c>
      <c r="E2" s="20" t="s">
        <v>18</v>
      </c>
      <c r="F2" s="20" t="s">
        <v>41</v>
      </c>
      <c r="G2" s="20" t="s">
        <v>19</v>
      </c>
      <c r="H2" s="20" t="s">
        <v>20</v>
      </c>
      <c r="K2" s="75" t="str">
        <f t="array" ref="K2:P2">TRANSPOSE(Parameters!B30:B35)</f>
        <v>Hormonal Implant</v>
      </c>
      <c r="L2" s="75" t="str">
        <v>Depo-Provera</v>
      </c>
      <c r="M2" s="75" t="str">
        <v>Birth Control Pill</v>
      </c>
      <c r="N2" s="75" t="str">
        <v>Vaginal Ring</v>
      </c>
      <c r="O2" s="75" t="str">
        <v>IUD, coil, or loop</v>
      </c>
      <c r="P2" s="75" t="str">
        <v>Partner's Condom Use</v>
      </c>
      <c r="Q2" s="75" t="str">
        <f t="array" ref="Q2:R2">TRANSPOSE(Parameters!B36:B37)</f>
        <v>Withdrawal</v>
      </c>
      <c r="R2" s="75" t="str">
        <v>Other Method</v>
      </c>
      <c r="U2" s="69"/>
      <c r="V2" s="91" t="str">
        <f t="array" ref="V2:AA2">TRANSPOSE(Parameters!B19:B24)</f>
        <v>Sterile</v>
      </c>
      <c r="W2" s="91" t="str">
        <v>Inactive</v>
      </c>
      <c r="X2" s="91" t="str">
        <v>Careful sex</v>
      </c>
      <c r="Y2" s="91" t="str">
        <v>Unsafe Sex</v>
      </c>
      <c r="Z2" s="91" t="str">
        <v>Seeking Pregnancy</v>
      </c>
      <c r="AA2" s="91" t="str">
        <v>Pregnant</v>
      </c>
      <c r="AB2" s="79"/>
      <c r="AC2" s="76"/>
      <c r="AD2" s="77" t="str">
        <f t="shared" ref="AD2:AJ2" si="0">B2</f>
        <v>10-14</v>
      </c>
      <c r="AE2" s="77" t="str">
        <f t="shared" si="0"/>
        <v>15-19</v>
      </c>
      <c r="AF2" s="77" t="str">
        <f t="shared" si="0"/>
        <v>20-24</v>
      </c>
      <c r="AG2" s="77" t="str">
        <f t="shared" si="0"/>
        <v>25-29</v>
      </c>
      <c r="AH2" s="77" t="str">
        <f t="shared" si="0"/>
        <v>30-34</v>
      </c>
      <c r="AI2" s="77" t="str">
        <f t="shared" si="0"/>
        <v>35-39</v>
      </c>
      <c r="AJ2" s="77" t="str">
        <f t="shared" si="0"/>
        <v>40-44</v>
      </c>
      <c r="AK2" s="45" t="s">
        <v>57</v>
      </c>
      <c r="AM2" s="76"/>
      <c r="AN2" s="77" t="s">
        <v>43</v>
      </c>
      <c r="AO2" s="124" t="str">
        <f t="shared" ref="AO2:AT2" si="1">AE2</f>
        <v>15-19</v>
      </c>
      <c r="AP2" s="124" t="str">
        <f t="shared" si="1"/>
        <v>20-24</v>
      </c>
      <c r="AQ2" s="124" t="str">
        <f t="shared" si="1"/>
        <v>25-29</v>
      </c>
      <c r="AR2" s="124" t="str">
        <f t="shared" si="1"/>
        <v>30-34</v>
      </c>
      <c r="AS2" s="124" t="str">
        <f t="shared" si="1"/>
        <v>35-39</v>
      </c>
      <c r="AT2" s="124" t="str">
        <f t="shared" si="1"/>
        <v>40-44</v>
      </c>
      <c r="AU2" s="45" t="s">
        <v>57</v>
      </c>
      <c r="AV2" s="79"/>
      <c r="AW2" s="78" t="s">
        <v>99</v>
      </c>
      <c r="AX2" s="78" t="s">
        <v>138</v>
      </c>
      <c r="AY2" s="79"/>
      <c r="AZ2" s="76"/>
      <c r="BA2" s="77" t="s">
        <v>43</v>
      </c>
      <c r="BB2" s="124" t="str">
        <f t="shared" ref="BB2:BH2" si="2">AO2</f>
        <v>15-19</v>
      </c>
      <c r="BC2" s="124" t="str">
        <f t="shared" si="2"/>
        <v>20-24</v>
      </c>
      <c r="BD2" s="124" t="str">
        <f t="shared" si="2"/>
        <v>25-29</v>
      </c>
      <c r="BE2" s="124" t="str">
        <f t="shared" si="2"/>
        <v>30-34</v>
      </c>
      <c r="BF2" s="124" t="str">
        <f t="shared" si="2"/>
        <v>35-39</v>
      </c>
      <c r="BG2" s="124" t="str">
        <f t="shared" si="2"/>
        <v>40-44</v>
      </c>
      <c r="BH2" s="124" t="str">
        <f t="shared" si="2"/>
        <v>Total</v>
      </c>
      <c r="BI2" s="79"/>
      <c r="BJ2" s="79"/>
      <c r="BK2" s="78" t="s">
        <v>124</v>
      </c>
      <c r="BL2" s="78" t="s">
        <v>125</v>
      </c>
      <c r="BM2" s="78" t="s">
        <v>86</v>
      </c>
      <c r="BN2" s="78" t="s">
        <v>102</v>
      </c>
      <c r="BP2" s="76"/>
      <c r="BQ2" s="85"/>
      <c r="BR2" s="138" t="str">
        <f t="array" ref="BR2:BW2">TRANSPOSE(Parameters!B19:B24)</f>
        <v>Sterile</v>
      </c>
      <c r="BS2" s="138" t="str">
        <v>Inactive</v>
      </c>
      <c r="BT2" s="138" t="str">
        <v>Careful sex</v>
      </c>
      <c r="BU2" s="138" t="str">
        <v>Unsafe Sex</v>
      </c>
      <c r="BV2" s="138" t="str">
        <v>Seeking Pregnancy</v>
      </c>
      <c r="BW2" s="176" t="str">
        <v>Pregnant</v>
      </c>
      <c r="BX2" s="76"/>
      <c r="BY2" s="76"/>
      <c r="BZ2" s="77" t="str">
        <f t="shared" ref="BZ2:CF2" si="3">B2</f>
        <v>10-14</v>
      </c>
      <c r="CA2" s="77" t="str">
        <f t="shared" si="3"/>
        <v>15-19</v>
      </c>
      <c r="CB2" s="77" t="str">
        <f t="shared" si="3"/>
        <v>20-24</v>
      </c>
      <c r="CC2" s="77" t="str">
        <f t="shared" si="3"/>
        <v>25-29</v>
      </c>
      <c r="CD2" s="77" t="str">
        <f t="shared" si="3"/>
        <v>30-34</v>
      </c>
      <c r="CE2" s="77" t="str">
        <f t="shared" si="3"/>
        <v>35-39</v>
      </c>
      <c r="CF2" s="77" t="str">
        <f t="shared" si="3"/>
        <v>40-44</v>
      </c>
      <c r="CG2" s="77" t="s">
        <v>57</v>
      </c>
      <c r="CH2" s="79"/>
      <c r="CI2" s="76"/>
      <c r="CJ2" s="77" t="str">
        <f t="shared" ref="CJ2:CP2" si="4">B2</f>
        <v>10-14</v>
      </c>
      <c r="CK2" s="77" t="str">
        <f t="shared" si="4"/>
        <v>15-19</v>
      </c>
      <c r="CL2" s="77" t="str">
        <f t="shared" si="4"/>
        <v>20-24</v>
      </c>
      <c r="CM2" s="77" t="str">
        <f t="shared" si="4"/>
        <v>25-29</v>
      </c>
      <c r="CN2" s="77" t="str">
        <f t="shared" si="4"/>
        <v>30-34</v>
      </c>
      <c r="CO2" s="77" t="str">
        <f t="shared" si="4"/>
        <v>35-39</v>
      </c>
      <c r="CP2" s="77" t="str">
        <f t="shared" si="4"/>
        <v>40-44</v>
      </c>
      <c r="CQ2" s="45" t="s">
        <v>57</v>
      </c>
      <c r="CS2" s="154" t="s">
        <v>88</v>
      </c>
      <c r="CT2" s="22" t="s">
        <v>43</v>
      </c>
      <c r="CU2" s="20" t="s">
        <v>16</v>
      </c>
      <c r="CV2" s="20" t="s">
        <v>17</v>
      </c>
      <c r="CW2" s="14" t="s">
        <v>18</v>
      </c>
      <c r="CX2" s="14" t="s">
        <v>41</v>
      </c>
      <c r="CY2" s="14" t="s">
        <v>19</v>
      </c>
      <c r="CZ2" s="14" t="s">
        <v>20</v>
      </c>
    </row>
    <row r="3" spans="1:104" x14ac:dyDescent="0.25">
      <c r="A3" s="23" t="s">
        <v>36</v>
      </c>
      <c r="B3" s="80">
        <v>0</v>
      </c>
      <c r="C3" s="80">
        <v>24</v>
      </c>
      <c r="D3" s="80">
        <v>90</v>
      </c>
      <c r="E3" s="80">
        <v>108.3</v>
      </c>
      <c r="F3" s="80">
        <v>96.5</v>
      </c>
      <c r="G3" s="80">
        <v>45.9</v>
      </c>
      <c r="H3" s="80">
        <v>10.199999999999999</v>
      </c>
      <c r="J3" s="23" t="s">
        <v>36</v>
      </c>
      <c r="K3" s="149">
        <f t="array" ref="K3:P3">100*TRANSPOSE(Parameters!D30:D35)</f>
        <v>0.05</v>
      </c>
      <c r="L3" s="149">
        <v>6</v>
      </c>
      <c r="M3" s="149">
        <v>9</v>
      </c>
      <c r="N3" s="149">
        <v>9</v>
      </c>
      <c r="O3" s="149">
        <v>0.05</v>
      </c>
      <c r="P3" s="149">
        <v>18</v>
      </c>
      <c r="Q3" s="149">
        <f t="array" ref="Q3:R3">100*TRANSPOSE(Parameters!D36:D37)</f>
        <v>22</v>
      </c>
      <c r="R3" s="100">
        <v>18.670000000000002</v>
      </c>
      <c r="U3" s="23" t="s">
        <v>36</v>
      </c>
      <c r="V3" s="118">
        <f t="array" ref="V3:AA3">TRANSPOSE(Support!D73:D78)</f>
        <v>0.19652570626425689</v>
      </c>
      <c r="W3" s="118">
        <v>0.20635199157746972</v>
      </c>
      <c r="X3" s="118">
        <v>0.38340059659589404</v>
      </c>
      <c r="Y3" s="118">
        <v>0.12282856641516056</v>
      </c>
      <c r="Z3" s="118">
        <v>4.228812072293385E-2</v>
      </c>
      <c r="AA3" s="119">
        <v>4.3691875767678537E-2</v>
      </c>
      <c r="AB3" s="58"/>
      <c r="AC3" s="76" t="s">
        <v>36</v>
      </c>
      <c r="AD3" s="76">
        <v>0</v>
      </c>
      <c r="AE3" s="84">
        <f t="array" ref="AE3:AK3">TRANSPOSE(Support!C16:C22)</f>
        <v>2.7722772277227723E-2</v>
      </c>
      <c r="AF3" s="96">
        <v>6.5400843881856546E-2</v>
      </c>
      <c r="AG3" s="96">
        <v>7.0395371263259399E-2</v>
      </c>
      <c r="AH3" s="96">
        <v>5.3501945525291826E-2</v>
      </c>
      <c r="AI3" s="96">
        <v>2.3014959723820484E-2</v>
      </c>
      <c r="AJ3" s="96">
        <v>5.1347881899871627E-3</v>
      </c>
      <c r="AK3" s="96">
        <v>4.2673249867748189E-2</v>
      </c>
      <c r="AM3" s="76" t="s">
        <v>36</v>
      </c>
      <c r="AN3" s="76" t="s">
        <v>54</v>
      </c>
      <c r="AO3" s="84">
        <f t="array" ref="AO3:AU3">TRANSPOSE(Support!C61:C67)</f>
        <v>1.5495867768595042E-2</v>
      </c>
      <c r="AP3" s="96">
        <v>5.1643192488262914E-2</v>
      </c>
      <c r="AQ3" s="96">
        <v>8.0664294187425864E-2</v>
      </c>
      <c r="AR3" s="96">
        <v>0.11966987620357634</v>
      </c>
      <c r="AS3" s="96">
        <v>0.10280373831775701</v>
      </c>
      <c r="AT3" s="96">
        <v>0.13008130081300814</v>
      </c>
      <c r="AU3" s="96">
        <v>7.3823940381928271E-2</v>
      </c>
      <c r="AV3" s="58"/>
      <c r="AW3" s="96"/>
      <c r="AX3" s="96"/>
      <c r="AY3" s="58"/>
      <c r="AZ3" s="76" t="s">
        <v>36</v>
      </c>
      <c r="BA3" s="76" t="s">
        <v>54</v>
      </c>
      <c r="BB3" s="84"/>
      <c r="BC3" s="96"/>
      <c r="BD3" s="96"/>
      <c r="BE3" s="96"/>
      <c r="BF3" s="96"/>
      <c r="BG3" s="96"/>
      <c r="BH3" s="96"/>
      <c r="BI3" s="58"/>
      <c r="BJ3" s="76" t="s">
        <v>36</v>
      </c>
      <c r="BQ3" s="23" t="s">
        <v>36</v>
      </c>
      <c r="BR3" s="118">
        <f t="array" ref="BR3:BW3">TRANSPOSE(Support!C39:C44)</f>
        <v>0.60538116591928248</v>
      </c>
      <c r="BS3" s="118">
        <v>0.37735849056603776</v>
      </c>
      <c r="BT3" s="118">
        <v>0.69142066420664205</v>
      </c>
      <c r="BU3" s="118">
        <v>0.59420289855072461</v>
      </c>
      <c r="BV3" s="118">
        <v>0.63485477178423233</v>
      </c>
      <c r="BW3" s="118">
        <v>0.13360323886639677</v>
      </c>
      <c r="BY3" s="76" t="s">
        <v>36</v>
      </c>
      <c r="BZ3" s="76"/>
      <c r="CA3" s="84">
        <f t="array" ref="CA3:CG3">TRANSPOSE(Support!C50:C56)</f>
        <v>0.34583333333333333</v>
      </c>
      <c r="CB3" s="96">
        <v>0.68446026097271651</v>
      </c>
      <c r="CC3" s="96">
        <v>0.67264038231780165</v>
      </c>
      <c r="CD3" s="96">
        <v>0.66204986149584488</v>
      </c>
      <c r="CE3" s="96">
        <v>0.60943396226415092</v>
      </c>
      <c r="CF3" s="96">
        <v>0.6202185792349727</v>
      </c>
      <c r="CG3" s="96">
        <v>0.58713010803193988</v>
      </c>
      <c r="CH3" s="58"/>
      <c r="CI3" s="76" t="s">
        <v>36</v>
      </c>
      <c r="CJ3" s="76"/>
      <c r="CK3" s="84">
        <f t="array" ref="CK3:CQ3">TRANSPOSE(Support!C28:C34)</f>
        <v>3.8580246913580245E-2</v>
      </c>
      <c r="CL3" s="96">
        <v>0.25503355704697989</v>
      </c>
      <c r="CM3" s="96">
        <v>0.36577181208053694</v>
      </c>
      <c r="CN3" s="96">
        <v>0.45787545787545786</v>
      </c>
      <c r="CO3" s="96">
        <v>0.39366515837104071</v>
      </c>
      <c r="CP3" s="96">
        <v>0.40883977900552487</v>
      </c>
      <c r="CQ3" s="96">
        <v>0.2584679520583637</v>
      </c>
      <c r="CS3" s="145" t="s">
        <v>97</v>
      </c>
      <c r="CT3" s="16"/>
      <c r="CU3" s="16">
        <f>Parameters!F19</f>
        <v>1.1900000000000001E-2</v>
      </c>
      <c r="CV3" s="16">
        <f>Parameters!G19</f>
        <v>3.27E-2</v>
      </c>
      <c r="CW3" s="16">
        <f>Parameters!H19</f>
        <v>0.1119</v>
      </c>
      <c r="CX3" s="16">
        <f>Parameters!I19</f>
        <v>0.2364</v>
      </c>
      <c r="CY3" s="16">
        <f>Parameters!J19</f>
        <v>0.36130000000000001</v>
      </c>
      <c r="CZ3" s="16">
        <f>Parameters!K19</f>
        <v>0.51859999999999995</v>
      </c>
    </row>
    <row r="4" spans="1:104" x14ac:dyDescent="0.25">
      <c r="A4" s="23" t="s">
        <v>68</v>
      </c>
      <c r="B4" s="80"/>
      <c r="C4" s="80"/>
      <c r="D4" s="80"/>
      <c r="E4" s="80"/>
      <c r="F4" s="80"/>
      <c r="G4" s="80"/>
      <c r="H4" s="80"/>
      <c r="J4" s="23" t="s">
        <v>68</v>
      </c>
      <c r="K4" s="81"/>
      <c r="L4" s="81"/>
      <c r="M4" s="81"/>
      <c r="N4" s="81"/>
      <c r="O4" s="81"/>
      <c r="P4" s="81"/>
      <c r="Q4" s="81"/>
      <c r="U4" s="23" t="s">
        <v>68</v>
      </c>
      <c r="V4" s="118"/>
      <c r="W4" s="118"/>
      <c r="X4" s="118"/>
      <c r="Y4" s="118"/>
      <c r="Z4" s="118"/>
      <c r="AA4" s="119"/>
      <c r="AB4" s="58"/>
      <c r="AC4" s="23" t="s">
        <v>68</v>
      </c>
      <c r="AD4" s="76">
        <v>0</v>
      </c>
      <c r="AE4" s="84">
        <f t="array" ref="AE4:AK5">TRANSPOSE(Support!H16:I22)</f>
        <v>1.7597638035641832E-2</v>
      </c>
      <c r="AF4" s="96">
        <v>4.9662889189119541E-2</v>
      </c>
      <c r="AG4" s="96">
        <v>5.482568349296274E-2</v>
      </c>
      <c r="AH4" s="96">
        <v>3.9745818296317528E-2</v>
      </c>
      <c r="AI4" s="96">
        <v>1.3045140828403004E-2</v>
      </c>
      <c r="AJ4" s="96">
        <v>1.1572398362363727E-4</v>
      </c>
      <c r="AK4" s="96">
        <v>3.7412759570390135E-2</v>
      </c>
      <c r="AM4" s="23" t="s">
        <v>68</v>
      </c>
      <c r="AN4" s="76"/>
      <c r="AO4" s="84">
        <f t="array" ref="AO4:AU5">TRANSPOSE(Support!H61:I67)</f>
        <v>7.7150161224530823E-3</v>
      </c>
      <c r="AP4" s="96">
        <v>3.6783127200603075E-2</v>
      </c>
      <c r="AQ4" s="96">
        <v>6.228147833669348E-2</v>
      </c>
      <c r="AR4" s="96">
        <v>9.6076174297601999E-2</v>
      </c>
      <c r="AS4" s="96">
        <v>7.7069022226266742E-2</v>
      </c>
      <c r="AT4" s="96">
        <v>9.5758582452925178E-2</v>
      </c>
      <c r="AU4" s="96">
        <v>6.600293729196012E-2</v>
      </c>
      <c r="AV4" s="58"/>
      <c r="AW4" s="96"/>
      <c r="AX4" s="96"/>
      <c r="AY4" s="58"/>
      <c r="AZ4" s="23" t="s">
        <v>68</v>
      </c>
      <c r="BA4" s="76"/>
      <c r="BB4" s="84"/>
      <c r="BC4" s="96"/>
      <c r="BD4" s="96"/>
      <c r="BE4" s="96"/>
      <c r="BF4" s="96"/>
      <c r="BG4" s="96"/>
      <c r="BH4" s="96"/>
      <c r="BI4" s="58"/>
      <c r="BJ4" s="23" t="s">
        <v>68</v>
      </c>
      <c r="BQ4" s="23" t="s">
        <v>68</v>
      </c>
      <c r="BR4" s="118">
        <f t="array" ref="BR4:BW4">TRANSPOSE(Support!H39:H44)</f>
        <v>0.57669225813026681</v>
      </c>
      <c r="BS4" s="118">
        <v>0.34953606981947016</v>
      </c>
      <c r="BT4" s="118">
        <v>0.67197722665676785</v>
      </c>
      <c r="BU4" s="118">
        <v>0.55756374778053175</v>
      </c>
      <c r="BV4" s="118">
        <v>0.57406793018281399</v>
      </c>
      <c r="BW4" s="118">
        <v>9.1173875273053595E-2</v>
      </c>
      <c r="BY4" s="23" t="s">
        <v>68</v>
      </c>
      <c r="BZ4" s="76"/>
      <c r="CA4" s="84">
        <f t="array" ref="CA4:CG5">TRANSPOSE(Support!H50:I56)</f>
        <v>0.31574555608442667</v>
      </c>
      <c r="CB4" s="96">
        <v>0.65308874873724299</v>
      </c>
      <c r="CC4" s="96">
        <v>0.64085046613431418</v>
      </c>
      <c r="CD4" s="96">
        <v>0.62754731449671086</v>
      </c>
      <c r="CE4" s="96">
        <v>0.56789834006706819</v>
      </c>
      <c r="CF4" s="96">
        <v>0.57049678503737999</v>
      </c>
      <c r="CG4" s="96">
        <v>0.57234178103433464</v>
      </c>
      <c r="CH4" s="58"/>
      <c r="CI4" s="23" t="s">
        <v>68</v>
      </c>
      <c r="CJ4" s="76"/>
      <c r="CK4" s="84">
        <f t="array" ref="CK4:CQ5">TRANSPOSE(Support!H28:I34)</f>
        <v>2.3751665365335621E-2</v>
      </c>
      <c r="CL4" s="96">
        <v>0.20554475077204035</v>
      </c>
      <c r="CM4" s="96">
        <v>0.31108685873118769</v>
      </c>
      <c r="CN4" s="96">
        <v>0.39877511715323688</v>
      </c>
      <c r="CO4" s="96">
        <v>0.32925242840558355</v>
      </c>
      <c r="CP4" s="96">
        <v>0.33721917530474493</v>
      </c>
      <c r="CQ4" s="96">
        <v>0.23888045622002596</v>
      </c>
      <c r="CS4" s="145" t="s">
        <v>109</v>
      </c>
      <c r="CT4" s="16"/>
      <c r="CU4" s="16">
        <f>Parameters!F20</f>
        <v>0.6139</v>
      </c>
      <c r="CV4" s="16">
        <f>Parameters!G20</f>
        <v>0.1888</v>
      </c>
      <c r="CW4" s="16">
        <f>Parameters!H20</f>
        <v>0.1273</v>
      </c>
      <c r="CX4" s="16">
        <f>Parameters!I20</f>
        <v>7.7799999999999994E-2</v>
      </c>
      <c r="CY4" s="16">
        <f>Parameters!J20</f>
        <v>9.9000000000000005E-2</v>
      </c>
      <c r="CZ4" s="16">
        <f>Parameters!K20</f>
        <v>0.1014</v>
      </c>
    </row>
    <row r="5" spans="1:104" x14ac:dyDescent="0.25">
      <c r="A5" s="23" t="s">
        <v>69</v>
      </c>
      <c r="B5" s="80"/>
      <c r="C5" s="80"/>
      <c r="D5" s="80"/>
      <c r="E5" s="80"/>
      <c r="F5" s="80"/>
      <c r="G5" s="80"/>
      <c r="H5" s="80"/>
      <c r="J5" s="23" t="s">
        <v>69</v>
      </c>
      <c r="K5" s="81"/>
      <c r="L5" s="81"/>
      <c r="M5" s="81"/>
      <c r="N5" s="81"/>
      <c r="O5" s="81"/>
      <c r="P5" s="81"/>
      <c r="Q5" s="81"/>
      <c r="U5" s="23" t="s">
        <v>69</v>
      </c>
      <c r="V5" s="118"/>
      <c r="W5" s="118"/>
      <c r="X5" s="118"/>
      <c r="Y5" s="118"/>
      <c r="Z5" s="118"/>
      <c r="AA5" s="119"/>
      <c r="AB5" s="58"/>
      <c r="AC5" s="23" t="s">
        <v>69</v>
      </c>
      <c r="AD5" s="76">
        <v>0</v>
      </c>
      <c r="AE5" s="84">
        <v>3.7847906518813618E-2</v>
      </c>
      <c r="AF5" s="96">
        <v>8.1138798574593551E-2</v>
      </c>
      <c r="AG5" s="96">
        <v>8.5965059033556057E-2</v>
      </c>
      <c r="AH5" s="96">
        <v>6.7258072754266124E-2</v>
      </c>
      <c r="AI5" s="96">
        <v>3.2984778619237966E-2</v>
      </c>
      <c r="AJ5" s="96">
        <v>1.0153852396350688E-2</v>
      </c>
      <c r="AK5" s="96">
        <v>4.7933740165106244E-2</v>
      </c>
      <c r="AM5" s="23" t="s">
        <v>69</v>
      </c>
      <c r="AN5" s="76"/>
      <c r="AO5" s="84">
        <v>2.3276719414737003E-2</v>
      </c>
      <c r="AP5" s="96">
        <v>6.6503257775922753E-2</v>
      </c>
      <c r="AQ5" s="96">
        <v>9.9047110038158248E-2</v>
      </c>
      <c r="AR5" s="96">
        <v>0.1432635781095507</v>
      </c>
      <c r="AS5" s="96">
        <v>0.12853845440924727</v>
      </c>
      <c r="AT5" s="96">
        <v>0.16440401917309111</v>
      </c>
      <c r="AU5" s="96">
        <v>8.1644943471896422E-2</v>
      </c>
      <c r="AV5" s="58"/>
      <c r="AW5" s="96"/>
      <c r="AX5" s="96"/>
      <c r="AY5" s="58"/>
      <c r="AZ5" s="23" t="s">
        <v>69</v>
      </c>
      <c r="BA5" s="76"/>
      <c r="BB5" s="84"/>
      <c r="BC5" s="96"/>
      <c r="BD5" s="96"/>
      <c r="BE5" s="96"/>
      <c r="BF5" s="96"/>
      <c r="BG5" s="96"/>
      <c r="BH5" s="96"/>
      <c r="BI5" s="58"/>
      <c r="BJ5" s="23" t="s">
        <v>69</v>
      </c>
      <c r="BQ5" s="23" t="s">
        <v>69</v>
      </c>
      <c r="BR5" s="118">
        <f t="array" ref="BR5:BW5">TRANSPOSE(Support!I39:I44)</f>
        <v>0.63407007370829815</v>
      </c>
      <c r="BS5" s="118">
        <v>0.40518091131260536</v>
      </c>
      <c r="BT5" s="118">
        <v>0.71086410175651626</v>
      </c>
      <c r="BU5" s="118">
        <v>0.63084204932091748</v>
      </c>
      <c r="BV5" s="118">
        <v>0.69564161338565067</v>
      </c>
      <c r="BW5" s="118">
        <v>0.17603260245973995</v>
      </c>
      <c r="BY5" s="23" t="s">
        <v>69</v>
      </c>
      <c r="BZ5" s="76"/>
      <c r="CA5" s="84">
        <v>0.37592111058223998</v>
      </c>
      <c r="CB5" s="96">
        <v>0.71583177320819003</v>
      </c>
      <c r="CC5" s="96">
        <v>0.70443029850128913</v>
      </c>
      <c r="CD5" s="96">
        <v>0.6965524084949789</v>
      </c>
      <c r="CE5" s="96">
        <v>0.65096958446123365</v>
      </c>
      <c r="CF5" s="96">
        <v>0.66994037343256541</v>
      </c>
      <c r="CG5" s="96">
        <v>0.60191843502954512</v>
      </c>
      <c r="CH5" s="58"/>
      <c r="CI5" s="23" t="s">
        <v>69</v>
      </c>
      <c r="CJ5" s="76"/>
      <c r="CK5" s="84">
        <v>5.3408828461824868E-2</v>
      </c>
      <c r="CL5" s="96">
        <v>0.3045223633219194</v>
      </c>
      <c r="CM5" s="96">
        <v>0.42045676542988619</v>
      </c>
      <c r="CN5" s="96">
        <v>0.51697579859767884</v>
      </c>
      <c r="CO5" s="96">
        <v>0.45807788833649787</v>
      </c>
      <c r="CP5" s="96">
        <v>0.48046038270630481</v>
      </c>
      <c r="CQ5" s="96">
        <v>0.27805544789670145</v>
      </c>
      <c r="CS5" s="32" t="s">
        <v>12</v>
      </c>
      <c r="CT5" s="16"/>
      <c r="CU5" s="16">
        <f>Parameters!F21</f>
        <v>0.2366</v>
      </c>
      <c r="CV5" s="16">
        <f>Parameters!G21</f>
        <v>0.54320000000000002</v>
      </c>
      <c r="CW5" s="16">
        <f>Parameters!H21</f>
        <v>0.50529999999999997</v>
      </c>
      <c r="CX5" s="16">
        <f>Parameters!I21</f>
        <v>0.42120000000000002</v>
      </c>
      <c r="CY5" s="16">
        <f>Parameters!J21</f>
        <v>0.34289999999999998</v>
      </c>
      <c r="CZ5" s="16">
        <f>Parameters!K21</f>
        <v>0.22589999999999999</v>
      </c>
    </row>
    <row r="6" spans="1:104" x14ac:dyDescent="0.25">
      <c r="A6" s="23" t="s">
        <v>91</v>
      </c>
      <c r="B6" s="80"/>
      <c r="C6" s="80"/>
      <c r="D6" s="80"/>
      <c r="E6" s="80"/>
      <c r="F6" s="80"/>
      <c r="G6" s="80"/>
      <c r="H6" s="80"/>
      <c r="J6" s="23" t="s">
        <v>91</v>
      </c>
      <c r="K6" s="81"/>
      <c r="L6" s="81"/>
      <c r="M6" s="81"/>
      <c r="N6" s="81"/>
      <c r="O6" s="81"/>
      <c r="P6" s="81"/>
      <c r="Q6" s="81"/>
      <c r="U6" s="23" t="s">
        <v>91</v>
      </c>
      <c r="V6" s="118"/>
      <c r="W6" s="118"/>
      <c r="X6" s="118"/>
      <c r="Y6" s="118"/>
      <c r="Z6" s="118"/>
      <c r="AA6" s="118"/>
      <c r="AB6" s="58"/>
      <c r="AC6" s="23" t="s">
        <v>91</v>
      </c>
      <c r="AD6" s="92"/>
      <c r="AE6" s="84">
        <f t="shared" ref="AE6:AJ6" si="5">AE3-AE4</f>
        <v>1.0125134241585891E-2</v>
      </c>
      <c r="AF6" s="96">
        <f t="shared" si="5"/>
        <v>1.5737954692737005E-2</v>
      </c>
      <c r="AG6" s="96">
        <f t="shared" si="5"/>
        <v>1.5569687770296659E-2</v>
      </c>
      <c r="AH6" s="96">
        <f t="shared" si="5"/>
        <v>1.3756127228974298E-2</v>
      </c>
      <c r="AI6" s="96">
        <f t="shared" si="5"/>
        <v>9.9698188954174798E-3</v>
      </c>
      <c r="AJ6" s="96">
        <f t="shared" si="5"/>
        <v>5.0190642063635254E-3</v>
      </c>
      <c r="AK6" s="96">
        <f t="shared" ref="AK6" si="6">AK3-AK4</f>
        <v>5.2604902973580545E-3</v>
      </c>
      <c r="AM6" s="23" t="s">
        <v>91</v>
      </c>
      <c r="AN6" s="92"/>
      <c r="AO6" s="84">
        <f t="shared" ref="AO6:AU6" si="7">AO3-AO4</f>
        <v>7.7808516461419595E-3</v>
      </c>
      <c r="AP6" s="96">
        <f t="shared" si="7"/>
        <v>1.4860065287659839E-2</v>
      </c>
      <c r="AQ6" s="96">
        <f t="shared" si="7"/>
        <v>1.8382815850732384E-2</v>
      </c>
      <c r="AR6" s="96">
        <f t="shared" si="7"/>
        <v>2.3593701905974346E-2</v>
      </c>
      <c r="AS6" s="96">
        <f t="shared" si="7"/>
        <v>2.5734716091490265E-2</v>
      </c>
      <c r="AT6" s="96">
        <f t="shared" si="7"/>
        <v>3.4322718360082966E-2</v>
      </c>
      <c r="AU6" s="96">
        <f t="shared" si="7"/>
        <v>7.821003089968151E-3</v>
      </c>
      <c r="AV6" s="58"/>
      <c r="AW6" s="96"/>
      <c r="AX6" s="96"/>
      <c r="AY6" s="58"/>
      <c r="AZ6" s="23" t="s">
        <v>91</v>
      </c>
      <c r="BA6" s="92"/>
      <c r="BB6" s="84"/>
      <c r="BC6" s="96"/>
      <c r="BD6" s="96"/>
      <c r="BE6" s="96"/>
      <c r="BF6" s="96"/>
      <c r="BG6" s="96"/>
      <c r="BH6" s="96"/>
      <c r="BI6" s="58"/>
      <c r="BJ6" s="23" t="s">
        <v>91</v>
      </c>
      <c r="BQ6" s="23" t="s">
        <v>91</v>
      </c>
      <c r="BR6" s="118">
        <f>BR3-BR4</f>
        <v>2.8688907789015672E-2</v>
      </c>
      <c r="BS6" s="118">
        <f t="shared" ref="BS6:BW6" si="8">BS3-BS4</f>
        <v>2.78224207465676E-2</v>
      </c>
      <c r="BT6" s="118">
        <f t="shared" si="8"/>
        <v>1.944343754987421E-2</v>
      </c>
      <c r="BU6" s="118">
        <f t="shared" si="8"/>
        <v>3.6639150770192863E-2</v>
      </c>
      <c r="BV6" s="118">
        <f t="shared" si="8"/>
        <v>6.078684160141834E-2</v>
      </c>
      <c r="BW6" s="118">
        <f t="shared" si="8"/>
        <v>4.2429363593343178E-2</v>
      </c>
      <c r="BY6" s="23" t="s">
        <v>91</v>
      </c>
      <c r="BZ6" s="92"/>
      <c r="CA6" s="84">
        <f>CA3-CA4</f>
        <v>3.0087777248906655E-2</v>
      </c>
      <c r="CB6" s="96">
        <f t="shared" ref="CB6:CC6" si="9">CB3-CB4</f>
        <v>3.137151223547352E-2</v>
      </c>
      <c r="CC6" s="96">
        <f t="shared" si="9"/>
        <v>3.1789916183487477E-2</v>
      </c>
      <c r="CD6" s="96">
        <f t="shared" ref="CD6:CF6" si="10">CD3-CD4</f>
        <v>3.4502546999134021E-2</v>
      </c>
      <c r="CE6" s="96">
        <f t="shared" si="10"/>
        <v>4.1535622197082733E-2</v>
      </c>
      <c r="CF6" s="96">
        <f t="shared" si="10"/>
        <v>4.9721794197592706E-2</v>
      </c>
      <c r="CG6" s="96"/>
      <c r="CH6" s="58"/>
      <c r="CI6" s="23" t="s">
        <v>91</v>
      </c>
      <c r="CJ6" s="92"/>
      <c r="CK6" s="84">
        <f t="shared" ref="CK6:CP6" si="11">CK3-CK4</f>
        <v>1.4828581548244624E-2</v>
      </c>
      <c r="CL6" s="96">
        <f t="shared" si="11"/>
        <v>4.948880627493954E-2</v>
      </c>
      <c r="CM6" s="96">
        <f t="shared" si="11"/>
        <v>5.4684953349349252E-2</v>
      </c>
      <c r="CN6" s="96">
        <f t="shared" si="11"/>
        <v>5.9100340722220979E-2</v>
      </c>
      <c r="CO6" s="96">
        <f t="shared" si="11"/>
        <v>6.4412729965457161E-2</v>
      </c>
      <c r="CP6" s="96">
        <f t="shared" si="11"/>
        <v>7.1620603700779939E-2</v>
      </c>
      <c r="CQ6" s="96"/>
      <c r="CS6" s="32" t="s">
        <v>52</v>
      </c>
      <c r="CT6" s="16"/>
      <c r="CU6" s="16">
        <f>Parameters!F22</f>
        <v>0.1089</v>
      </c>
      <c r="CV6" s="16">
        <f>Parameters!G22</f>
        <v>0.1424</v>
      </c>
      <c r="CW6" s="16">
        <f>Parameters!H22</f>
        <v>0.12920000000000001</v>
      </c>
      <c r="CX6" s="16">
        <f>Parameters!I22</f>
        <v>0.14199999999999999</v>
      </c>
      <c r="CY6" s="16">
        <f>Parameters!J22</f>
        <v>0.1197</v>
      </c>
      <c r="CZ6" s="16">
        <f>Parameters!K22</f>
        <v>9.11E-2</v>
      </c>
    </row>
    <row r="7" spans="1:104" x14ac:dyDescent="0.25">
      <c r="A7" s="23" t="s">
        <v>92</v>
      </c>
      <c r="B7" s="80"/>
      <c r="C7" s="80"/>
      <c r="D7" s="80"/>
      <c r="E7" s="80"/>
      <c r="F7" s="80"/>
      <c r="G7" s="80"/>
      <c r="H7" s="80"/>
      <c r="J7" s="23" t="s">
        <v>92</v>
      </c>
      <c r="K7" s="81"/>
      <c r="L7" s="81"/>
      <c r="M7" s="81"/>
      <c r="N7" s="81"/>
      <c r="O7" s="81"/>
      <c r="P7" s="81"/>
      <c r="Q7" s="81"/>
      <c r="U7" s="23" t="s">
        <v>92</v>
      </c>
      <c r="V7" s="118"/>
      <c r="W7" s="118"/>
      <c r="X7" s="118"/>
      <c r="Y7" s="118"/>
      <c r="Z7" s="118"/>
      <c r="AA7" s="118"/>
      <c r="AB7" s="58"/>
      <c r="AC7" s="23" t="s">
        <v>92</v>
      </c>
      <c r="AD7" s="92"/>
      <c r="AE7" s="84">
        <f t="shared" ref="AE7:AJ7" si="12">AE5-AE3</f>
        <v>1.0125134241585895E-2</v>
      </c>
      <c r="AF7" s="96">
        <f t="shared" si="12"/>
        <v>1.5737954692737005E-2</v>
      </c>
      <c r="AG7" s="96">
        <f t="shared" si="12"/>
        <v>1.5569687770296659E-2</v>
      </c>
      <c r="AH7" s="96">
        <f t="shared" si="12"/>
        <v>1.3756127228974298E-2</v>
      </c>
      <c r="AI7" s="96">
        <f t="shared" si="12"/>
        <v>9.9698188954174816E-3</v>
      </c>
      <c r="AJ7" s="96">
        <f t="shared" si="12"/>
        <v>5.0190642063635254E-3</v>
      </c>
      <c r="AK7" s="96">
        <f t="shared" ref="AK7" si="13">AK5-AK3</f>
        <v>5.2604902973580545E-3</v>
      </c>
      <c r="AM7" s="23" t="s">
        <v>92</v>
      </c>
      <c r="AN7" s="92"/>
      <c r="AO7" s="84">
        <f t="shared" ref="AO7:AU7" si="14">AO5-AO3</f>
        <v>7.7808516461419612E-3</v>
      </c>
      <c r="AP7" s="96">
        <f t="shared" si="14"/>
        <v>1.4860065287659839E-2</v>
      </c>
      <c r="AQ7" s="96">
        <f t="shared" si="14"/>
        <v>1.8382815850732384E-2</v>
      </c>
      <c r="AR7" s="96">
        <f t="shared" si="14"/>
        <v>2.359370190597436E-2</v>
      </c>
      <c r="AS7" s="96">
        <f t="shared" si="14"/>
        <v>2.5734716091490265E-2</v>
      </c>
      <c r="AT7" s="96">
        <f t="shared" si="14"/>
        <v>3.4322718360082966E-2</v>
      </c>
      <c r="AU7" s="96">
        <f t="shared" si="14"/>
        <v>7.821003089968151E-3</v>
      </c>
      <c r="AV7" s="58"/>
      <c r="AW7" s="96"/>
      <c r="AX7" s="96"/>
      <c r="AY7" s="58"/>
      <c r="AZ7" s="23" t="s">
        <v>92</v>
      </c>
      <c r="BA7" s="92"/>
      <c r="BB7" s="84"/>
      <c r="BC7" s="96"/>
      <c r="BD7" s="96"/>
      <c r="BE7" s="96"/>
      <c r="BF7" s="96"/>
      <c r="BG7" s="96"/>
      <c r="BH7" s="96"/>
      <c r="BI7" s="58"/>
      <c r="BJ7" s="23" t="s">
        <v>92</v>
      </c>
      <c r="BQ7" s="23" t="s">
        <v>92</v>
      </c>
      <c r="BR7" s="84">
        <f t="shared" ref="BR7:BW7" si="15">BR5-BR3</f>
        <v>2.8688907789015672E-2</v>
      </c>
      <c r="BS7" s="84">
        <f t="shared" si="15"/>
        <v>2.78224207465676E-2</v>
      </c>
      <c r="BT7" s="84">
        <f t="shared" si="15"/>
        <v>1.944343754987421E-2</v>
      </c>
      <c r="BU7" s="84">
        <f t="shared" si="15"/>
        <v>3.6639150770192863E-2</v>
      </c>
      <c r="BV7" s="84">
        <f t="shared" si="15"/>
        <v>6.078684160141834E-2</v>
      </c>
      <c r="BW7" s="84">
        <f t="shared" si="15"/>
        <v>4.2429363593343178E-2</v>
      </c>
      <c r="BY7" s="23" t="s">
        <v>92</v>
      </c>
      <c r="BZ7" s="92"/>
      <c r="CA7" s="84">
        <f t="shared" ref="CA7:CC7" si="16">CA5-CA3</f>
        <v>3.0087777248906655E-2</v>
      </c>
      <c r="CB7" s="96">
        <f t="shared" si="16"/>
        <v>3.137151223547352E-2</v>
      </c>
      <c r="CC7" s="96">
        <f t="shared" si="16"/>
        <v>3.1789916183487477E-2</v>
      </c>
      <c r="CD7" s="96">
        <f t="shared" ref="CD7:CF7" si="17">CD5-CD3</f>
        <v>3.4502546999134021E-2</v>
      </c>
      <c r="CE7" s="96">
        <f t="shared" si="17"/>
        <v>4.1535622197082733E-2</v>
      </c>
      <c r="CF7" s="96">
        <f t="shared" si="17"/>
        <v>4.9721794197592706E-2</v>
      </c>
      <c r="CG7" s="96"/>
      <c r="CH7" s="58"/>
      <c r="CI7" s="23" t="s">
        <v>92</v>
      </c>
      <c r="CJ7" s="92"/>
      <c r="CK7" s="84">
        <f t="shared" ref="CK7:CP7" si="18">CK5-CK3</f>
        <v>1.4828581548244624E-2</v>
      </c>
      <c r="CL7" s="96">
        <f t="shared" si="18"/>
        <v>4.9488806274939512E-2</v>
      </c>
      <c r="CM7" s="96">
        <f t="shared" si="18"/>
        <v>5.4684953349349252E-2</v>
      </c>
      <c r="CN7" s="96">
        <f t="shared" si="18"/>
        <v>5.9100340722220979E-2</v>
      </c>
      <c r="CO7" s="96">
        <f t="shared" si="18"/>
        <v>6.4412729965457161E-2</v>
      </c>
      <c r="CP7" s="96">
        <f t="shared" si="18"/>
        <v>7.1620603700779939E-2</v>
      </c>
      <c r="CQ7" s="96"/>
      <c r="CS7" s="32" t="s">
        <v>13</v>
      </c>
      <c r="CT7" s="16"/>
      <c r="CU7" s="16">
        <f>Parameters!F23</f>
        <v>1E-3</v>
      </c>
      <c r="CV7" s="16">
        <f>Parameters!G23</f>
        <v>2.64E-2</v>
      </c>
      <c r="CW7" s="16">
        <f>Parameters!H23</f>
        <v>5.2999999999999999E-2</v>
      </c>
      <c r="CX7" s="16">
        <f>Parameters!I23</f>
        <v>6.7100000000000007E-2</v>
      </c>
      <c r="CY7" s="16">
        <f>Parameters!J23</f>
        <v>5.4100000000000002E-2</v>
      </c>
      <c r="CZ7" s="16">
        <f>Parameters!K23</f>
        <v>5.6500000000000002E-2</v>
      </c>
    </row>
    <row r="8" spans="1:104" x14ac:dyDescent="0.25">
      <c r="A8" s="23" t="s">
        <v>37</v>
      </c>
      <c r="B8" s="80" t="e">
        <f>MEDIAN(B14:B1007)</f>
        <v>#NUM!</v>
      </c>
      <c r="C8" s="82">
        <f t="shared" ref="C8:H8" si="19">MEDIAN(C14:C1007)</f>
        <v>34.090909090909093</v>
      </c>
      <c r="D8" s="82">
        <f t="shared" si="19"/>
        <v>53.3916247124329</v>
      </c>
      <c r="E8" s="82">
        <f t="shared" si="19"/>
        <v>62.601376678252578</v>
      </c>
      <c r="F8" s="82">
        <f t="shared" si="19"/>
        <v>57.581786030061892</v>
      </c>
      <c r="G8" s="82">
        <f t="shared" si="19"/>
        <v>24.483819946137736</v>
      </c>
      <c r="H8" s="82">
        <f t="shared" si="19"/>
        <v>3.7383308178210073</v>
      </c>
      <c r="J8" s="23" t="s">
        <v>37</v>
      </c>
      <c r="K8" s="23">
        <f>MEDIAN(K14:K1007)</f>
        <v>0</v>
      </c>
      <c r="L8" s="23">
        <f t="shared" ref="L8:R8" si="20">MEDIAN(L14:L1007)</f>
        <v>5.1290481670228507</v>
      </c>
      <c r="M8" s="23">
        <f t="shared" si="20"/>
        <v>9.587115966558958</v>
      </c>
      <c r="N8" s="23">
        <f t="shared" si="20"/>
        <v>10.529556650246306</v>
      </c>
      <c r="O8" s="23">
        <f t="shared" si="20"/>
        <v>0</v>
      </c>
      <c r="P8" s="23">
        <f t="shared" si="20"/>
        <v>18.683196918632646</v>
      </c>
      <c r="Q8" s="23">
        <f t="shared" si="20"/>
        <v>21.875</v>
      </c>
      <c r="R8" s="23">
        <f t="shared" si="20"/>
        <v>18.019480519480521</v>
      </c>
      <c r="U8" s="23" t="s">
        <v>37</v>
      </c>
      <c r="V8" s="119">
        <f>MEDIAN(V14:V1007)</f>
        <v>0.2</v>
      </c>
      <c r="W8" s="119">
        <f t="shared" ref="W8:Y8" si="21">MEDIAN(W14:W1007)</f>
        <v>0.2155</v>
      </c>
      <c r="X8" s="119">
        <f t="shared" si="21"/>
        <v>0.3765</v>
      </c>
      <c r="Y8" s="119">
        <f t="shared" si="21"/>
        <v>0.13225000000000001</v>
      </c>
      <c r="Z8" s="119">
        <f t="shared" ref="Z8:AA8" si="22">MEDIAN(Z14:Z1007)</f>
        <v>3.1E-2</v>
      </c>
      <c r="AA8" s="119">
        <f t="shared" si="22"/>
        <v>4.4499999999999998E-2</v>
      </c>
      <c r="AB8" s="60"/>
      <c r="AC8" s="76" t="s">
        <v>37</v>
      </c>
      <c r="AD8" s="76" t="e">
        <f>MEDIAN(AD14:AD1007)</f>
        <v>#NUM!</v>
      </c>
      <c r="AE8" s="64">
        <f>MEDIAN(AE14:AE1007)</f>
        <v>3.5098313165518168E-2</v>
      </c>
      <c r="AF8" s="64">
        <f t="shared" ref="AF8:AJ8" si="23">MEDIAN(AF14:AF1007)</f>
        <v>6.8148297719171941E-2</v>
      </c>
      <c r="AG8" s="64">
        <f t="shared" si="23"/>
        <v>7.0652173913043473E-2</v>
      </c>
      <c r="AH8" s="64">
        <f t="shared" si="23"/>
        <v>5.5402087170042968E-2</v>
      </c>
      <c r="AI8" s="64">
        <f t="shared" si="23"/>
        <v>2.2418063682377858E-2</v>
      </c>
      <c r="AJ8" s="64">
        <f t="shared" si="23"/>
        <v>3.2419842202450898E-3</v>
      </c>
      <c r="AK8" s="64"/>
      <c r="AM8" s="76" t="s">
        <v>37</v>
      </c>
      <c r="AN8" s="76" t="e">
        <f>MEDIAN(AN14:AN1007)</f>
        <v>#NUM!</v>
      </c>
      <c r="AO8" s="64">
        <f t="shared" ref="AO8:AT8" si="24">MEDIAN(AO14:AO1007)</f>
        <v>8.7849425484479507E-3</v>
      </c>
      <c r="AP8" s="64">
        <f t="shared" si="24"/>
        <v>3.5123360938578332E-2</v>
      </c>
      <c r="AQ8" s="64">
        <f t="shared" si="24"/>
        <v>5.5465074194715885E-2</v>
      </c>
      <c r="AR8" s="64">
        <f t="shared" si="24"/>
        <v>6.6806136680613665E-2</v>
      </c>
      <c r="AS8" s="64">
        <f t="shared" si="24"/>
        <v>7.3631065329357551E-2</v>
      </c>
      <c r="AT8" s="64">
        <f t="shared" si="24"/>
        <v>8.5786375105130375E-2</v>
      </c>
      <c r="AU8" s="59">
        <f t="shared" ref="AU8" si="25">MEDIAN(AU14:AU1007)</f>
        <v>4.7906006197176526E-2</v>
      </c>
      <c r="AV8" s="60"/>
      <c r="AW8" s="59">
        <f t="shared" ref="AW8:AX8" si="26">MEDIAN(AW14:AW1007)</f>
        <v>89</v>
      </c>
      <c r="AX8" s="59">
        <f t="shared" si="26"/>
        <v>36.25</v>
      </c>
      <c r="AY8" s="60"/>
      <c r="AZ8" s="76" t="s">
        <v>37</v>
      </c>
      <c r="BA8" s="76" t="e">
        <f>MEDIAN(BA14:BA1007)</f>
        <v>#NUM!</v>
      </c>
      <c r="BB8" s="64">
        <f t="shared" ref="BB8:BG8" si="27">MEDIAN(BB14:BB1007)</f>
        <v>0.7857142857142857</v>
      </c>
      <c r="BC8" s="64">
        <f t="shared" si="27"/>
        <v>0.82352941176470584</v>
      </c>
      <c r="BD8" s="64">
        <f t="shared" si="27"/>
        <v>0.7857142857142857</v>
      </c>
      <c r="BE8" s="64">
        <f t="shared" si="27"/>
        <v>0.75</v>
      </c>
      <c r="BF8" s="64">
        <f t="shared" si="27"/>
        <v>0.66666666666666663</v>
      </c>
      <c r="BG8" s="64">
        <f t="shared" si="27"/>
        <v>0.5</v>
      </c>
      <c r="BH8" s="64">
        <f>MEDIAN(BH14:BH1007)</f>
        <v>0.77694859038142616</v>
      </c>
      <c r="BI8" s="60"/>
      <c r="BJ8" s="76" t="s">
        <v>37</v>
      </c>
      <c r="BK8" s="64">
        <f>MEDIAN(BK14:BK1007)</f>
        <v>0.11421372461834889</v>
      </c>
      <c r="BL8" s="64">
        <f t="shared" ref="BL8:BN8" si="28">MEDIAN(BL14:BL1007)</f>
        <v>4.7332859174964437E-2</v>
      </c>
      <c r="BM8" s="64">
        <f t="shared" si="28"/>
        <v>0.26145082538944431</v>
      </c>
      <c r="BN8" s="64">
        <f t="shared" si="28"/>
        <v>0.56458333333333333</v>
      </c>
      <c r="BQ8" s="23" t="s">
        <v>37</v>
      </c>
      <c r="BR8" s="119">
        <f>MEDIAN(BR14:BR1007)</f>
        <v>0.61491802328949663</v>
      </c>
      <c r="BS8" s="119">
        <f t="shared" ref="BS8:BU8" si="29">MEDIAN(BS14:BS1007)</f>
        <v>0.50739462209302322</v>
      </c>
      <c r="BT8" s="119">
        <f t="shared" si="29"/>
        <v>0.72154361261463951</v>
      </c>
      <c r="BU8" s="119">
        <f t="shared" si="29"/>
        <v>0.61963395456218429</v>
      </c>
      <c r="BV8" s="119">
        <f t="shared" ref="BV8:BW8" si="30">MEDIAN(BV14:BV1007)</f>
        <v>0.63828502415458932</v>
      </c>
      <c r="BW8" s="119">
        <f t="shared" si="30"/>
        <v>0.15535444947209653</v>
      </c>
      <c r="BY8" s="76" t="s">
        <v>37</v>
      </c>
      <c r="BZ8" s="76" t="e">
        <f>MEDIAN(BZ14:BZ1007)</f>
        <v>#NUM!</v>
      </c>
      <c r="CA8" s="64">
        <f t="shared" ref="CA8:CF8" si="31">MEDIAN(CA14:CA1007)</f>
        <v>0.53580694955333685</v>
      </c>
      <c r="CB8" s="64">
        <f t="shared" si="31"/>
        <v>0.69333333333333336</v>
      </c>
      <c r="CC8" s="64">
        <f t="shared" si="31"/>
        <v>0.69698780413066119</v>
      </c>
      <c r="CD8" s="64">
        <f t="shared" si="31"/>
        <v>0.665994623655914</v>
      </c>
      <c r="CE8" s="64">
        <f t="shared" si="31"/>
        <v>0.61940076761173701</v>
      </c>
      <c r="CF8" s="64">
        <f t="shared" si="31"/>
        <v>0.6271284271284272</v>
      </c>
      <c r="CG8" s="64"/>
      <c r="CH8" s="60"/>
      <c r="CI8" s="76" t="s">
        <v>37</v>
      </c>
      <c r="CJ8" s="76"/>
      <c r="CK8" s="64">
        <f t="shared" ref="CK8:CP8" si="32">MEDIAN(CK14:CK1007)</f>
        <v>2.1877790534506954E-2</v>
      </c>
      <c r="CL8" s="64">
        <f t="shared" si="32"/>
        <v>0.15721610039791858</v>
      </c>
      <c r="CM8" s="64">
        <f t="shared" si="32"/>
        <v>0.27998432192317746</v>
      </c>
      <c r="CN8" s="64">
        <f t="shared" si="32"/>
        <v>0.36354166666666665</v>
      </c>
      <c r="CO8" s="64">
        <f t="shared" si="32"/>
        <v>0.3506756756756757</v>
      </c>
      <c r="CP8" s="64">
        <f t="shared" si="32"/>
        <v>0.3083916083916084</v>
      </c>
      <c r="CQ8" s="64"/>
      <c r="CS8" s="46" t="s">
        <v>58</v>
      </c>
      <c r="CT8" s="18"/>
      <c r="CU8" s="18">
        <f>Parameters!F24</f>
        <v>2.7699999999999999E-2</v>
      </c>
      <c r="CV8" s="18">
        <f>Parameters!G24</f>
        <v>6.6500000000000004E-2</v>
      </c>
      <c r="CW8" s="18">
        <f>Parameters!H24</f>
        <v>7.3300000000000004E-2</v>
      </c>
      <c r="CX8" s="18">
        <f>Parameters!I24</f>
        <v>5.5500000000000001E-2</v>
      </c>
      <c r="CY8" s="18">
        <f>Parameters!J24</f>
        <v>2.3E-2</v>
      </c>
      <c r="CZ8" s="18">
        <f>Parameters!K24</f>
        <v>6.4999999999999997E-3</v>
      </c>
    </row>
    <row r="9" spans="1:104" x14ac:dyDescent="0.25">
      <c r="A9" s="23" t="s">
        <v>38</v>
      </c>
      <c r="B9" s="80" t="e">
        <f>_xlfn.PERCENTILE.INC(B14:B1007,alpha/2)</f>
        <v>#NUM!</v>
      </c>
      <c r="C9" s="82">
        <f t="shared" ref="C9:H9" si="33">_xlfn.PERCENTILE.INC(C14:C1007,alpha/2)</f>
        <v>15.252560521415271</v>
      </c>
      <c r="D9" s="82">
        <f t="shared" si="33"/>
        <v>34.340109024037829</v>
      </c>
      <c r="E9" s="82">
        <f t="shared" si="33"/>
        <v>37.869230769230768</v>
      </c>
      <c r="F9" s="82">
        <f t="shared" si="33"/>
        <v>36.017268142542122</v>
      </c>
      <c r="G9" s="82">
        <f t="shared" si="33"/>
        <v>6.6320132013201318</v>
      </c>
      <c r="H9" s="82">
        <f t="shared" si="33"/>
        <v>0</v>
      </c>
      <c r="J9" s="23" t="s">
        <v>38</v>
      </c>
      <c r="K9" s="23">
        <f t="shared" ref="K9:R9" si="34">_xlfn.PERCENTILE.INC(K14:K1007,alpha/2)</f>
        <v>0</v>
      </c>
      <c r="L9" s="23">
        <f t="shared" si="34"/>
        <v>1.4492753623188406</v>
      </c>
      <c r="M9" s="23">
        <f t="shared" si="34"/>
        <v>6.9730443974630028</v>
      </c>
      <c r="N9" s="23">
        <f t="shared" si="34"/>
        <v>0</v>
      </c>
      <c r="O9" s="23">
        <f t="shared" si="34"/>
        <v>0</v>
      </c>
      <c r="P9" s="23">
        <f t="shared" si="34"/>
        <v>11.077196382428941</v>
      </c>
      <c r="Q9" s="23">
        <f t="shared" si="34"/>
        <v>12.384868421052632</v>
      </c>
      <c r="R9" s="23">
        <f t="shared" si="34"/>
        <v>5.8787878787878789</v>
      </c>
      <c r="U9" s="23" t="s">
        <v>38</v>
      </c>
      <c r="V9" s="119">
        <f>_xlfn.PERCENTILE.INC(V14:V1007,alpha/2)</f>
        <v>0.17899999999999999</v>
      </c>
      <c r="W9" s="119">
        <f t="shared" ref="W9:Y9" si="35">_xlfn.PERCENTILE.INC(W14:W1007,alpha/2)</f>
        <v>0.19573750000000001</v>
      </c>
      <c r="X9" s="119">
        <f t="shared" si="35"/>
        <v>0.35723749999999999</v>
      </c>
      <c r="Y9" s="119">
        <f t="shared" si="35"/>
        <v>0.1195</v>
      </c>
      <c r="Z9" s="119">
        <f t="shared" ref="Z9:AA9" si="36">_xlfn.PERCENTILE.INC(Z14:Z1007,alpha/2)</f>
        <v>2.1237499999999999E-2</v>
      </c>
      <c r="AA9" s="119">
        <f t="shared" si="36"/>
        <v>3.5000000000000003E-2</v>
      </c>
      <c r="AB9" s="83"/>
      <c r="AC9" s="76" t="s">
        <v>38</v>
      </c>
      <c r="AD9" s="76" t="e">
        <f>_xlfn.PERCENTILE.INC(AD14:AD1007,alpha/2)</f>
        <v>#NUM!</v>
      </c>
      <c r="AE9" s="84">
        <f t="shared" ref="AE9:AJ9" si="37">_xlfn.PERCENTILE.INC(AE14:AE1007,alpha/2)</f>
        <v>1.8159623858986465E-2</v>
      </c>
      <c r="AF9" s="84">
        <f t="shared" si="37"/>
        <v>4.2149390243902442E-2</v>
      </c>
      <c r="AG9" s="84">
        <f t="shared" si="37"/>
        <v>4.6629353798646744E-2</v>
      </c>
      <c r="AH9" s="84">
        <f t="shared" si="37"/>
        <v>3.2582204598110856E-2</v>
      </c>
      <c r="AI9" s="84">
        <f t="shared" si="37"/>
        <v>6.5035534498075215E-3</v>
      </c>
      <c r="AJ9" s="84">
        <f t="shared" si="37"/>
        <v>0</v>
      </c>
      <c r="AK9" s="84"/>
      <c r="AM9" s="76" t="s">
        <v>38</v>
      </c>
      <c r="AN9" s="76" t="e">
        <f>_xlfn.PERCENTILE.INC(AN14:AN1007,alpha/2)</f>
        <v>#NUM!</v>
      </c>
      <c r="AO9" s="84">
        <f t="shared" ref="AO9:AT9" si="38">_xlfn.PERCENTILE.INC(AO14:AO1007,alpha/2)</f>
        <v>0</v>
      </c>
      <c r="AP9" s="84">
        <f t="shared" si="38"/>
        <v>1.7210273729114826E-2</v>
      </c>
      <c r="AQ9" s="84">
        <f t="shared" si="38"/>
        <v>3.0931317915854E-2</v>
      </c>
      <c r="AR9" s="84">
        <f t="shared" si="38"/>
        <v>4.1790246747737556E-2</v>
      </c>
      <c r="AS9" s="84">
        <f t="shared" si="38"/>
        <v>4.3911082474226801E-2</v>
      </c>
      <c r="AT9" s="84">
        <f t="shared" si="38"/>
        <v>4.0624999999999994E-2</v>
      </c>
      <c r="AU9" s="83">
        <f t="shared" ref="AU9" si="39">_xlfn.PERCENTILE.INC(AU14:AU1007,alpha/2)</f>
        <v>3.7921360300392559E-2</v>
      </c>
      <c r="AV9" s="83"/>
      <c r="AW9" s="83">
        <f t="shared" ref="AW9:AX9" si="40">_xlfn.PERCENTILE.INC(AW14:AW1007,alpha/2)</f>
        <v>70</v>
      </c>
      <c r="AX9" s="83">
        <f t="shared" si="40"/>
        <v>28.737500000000001</v>
      </c>
      <c r="AY9" s="83"/>
      <c r="AZ9" s="76" t="s">
        <v>38</v>
      </c>
      <c r="BA9" s="76" t="e">
        <f>_xlfn.PERCENTILE.INC(BA14:BA1007,alpha/2)</f>
        <v>#NUM!</v>
      </c>
      <c r="BB9" s="84">
        <f t="shared" ref="BB9:BG9" si="41">_xlfn.PERCENTILE.INC(BB14:BB1007,alpha/2)</f>
        <v>0.46250000000000002</v>
      </c>
      <c r="BC9" s="84">
        <f t="shared" si="41"/>
        <v>0.58823529411764708</v>
      </c>
      <c r="BD9" s="84">
        <f t="shared" si="41"/>
        <v>0.59027777777777779</v>
      </c>
      <c r="BE9" s="84">
        <f t="shared" si="41"/>
        <v>0.51388888888888884</v>
      </c>
      <c r="BF9" s="84">
        <f t="shared" si="41"/>
        <v>0</v>
      </c>
      <c r="BG9" s="84">
        <f t="shared" si="41"/>
        <v>0</v>
      </c>
      <c r="BH9" s="84">
        <f>_xlfn.PERCENTILE.INC(BH14:BH1007,alpha/2)</f>
        <v>0.67500000000000004</v>
      </c>
      <c r="BI9" s="83"/>
      <c r="BJ9" s="76" t="s">
        <v>38</v>
      </c>
      <c r="BK9" s="84">
        <f t="shared" ref="BK9" si="42">_xlfn.PERCENTILE.INC(BK14:BK1007,alpha/2)</f>
        <v>5.7846239761727473E-2</v>
      </c>
      <c r="BL9" s="84">
        <f t="shared" ref="BL9:BN9" si="43">_xlfn.PERCENTILE.INC(BL14:BL1007,alpha/2)</f>
        <v>1.3372561303024879E-2</v>
      </c>
      <c r="BM9" s="84">
        <f t="shared" si="43"/>
        <v>0.17763924550661664</v>
      </c>
      <c r="BN9" s="84">
        <f t="shared" si="43"/>
        <v>0.45941512486098474</v>
      </c>
      <c r="BQ9" s="23" t="s">
        <v>38</v>
      </c>
      <c r="BR9" s="119">
        <f>_xlfn.PERCENTILE.INC(BR14:BR1007,alpha/2)</f>
        <v>0.56428796719760288</v>
      </c>
      <c r="BS9" s="119">
        <f t="shared" ref="BS9:BU9" si="44">_xlfn.PERCENTILE.INC(BS14:BS1007,alpha/2)</f>
        <v>0.46758443563910501</v>
      </c>
      <c r="BT9" s="119">
        <f t="shared" si="44"/>
        <v>0.69067221190918182</v>
      </c>
      <c r="BU9" s="119">
        <f t="shared" si="44"/>
        <v>0.55955945448973332</v>
      </c>
      <c r="BV9" s="119">
        <f t="shared" ref="BV9:BW9" si="45">_xlfn.PERCENTILE.INC(BV14:BV1007,alpha/2)</f>
        <v>0.5078083028083028</v>
      </c>
      <c r="BW9" s="119">
        <f t="shared" si="45"/>
        <v>7.7932254802831141E-2</v>
      </c>
      <c r="BY9" s="76" t="s">
        <v>38</v>
      </c>
      <c r="BZ9" s="76" t="e">
        <f>_xlfn.PERCENTILE.INC(BZ14:BZ1007,alpha/2)</f>
        <v>#NUM!</v>
      </c>
      <c r="CA9" s="84">
        <f t="shared" ref="CA9:CF9" si="46">_xlfn.PERCENTILE.INC(CA14:CA1007,alpha/2)</f>
        <v>0.48234506879655203</v>
      </c>
      <c r="CB9" s="84">
        <f t="shared" si="46"/>
        <v>0.62079447035309798</v>
      </c>
      <c r="CC9" s="84">
        <f t="shared" si="46"/>
        <v>0.65142459492640004</v>
      </c>
      <c r="CD9" s="84">
        <f t="shared" si="46"/>
        <v>0.61542190266442109</v>
      </c>
      <c r="CE9" s="84">
        <f t="shared" si="46"/>
        <v>0.56465881642512084</v>
      </c>
      <c r="CF9" s="84">
        <f t="shared" si="46"/>
        <v>0.55095000000000005</v>
      </c>
      <c r="CG9" s="84"/>
      <c r="CH9" s="83"/>
      <c r="CI9" s="76" t="s">
        <v>38</v>
      </c>
      <c r="CJ9" s="76"/>
      <c r="CK9" s="84">
        <f t="shared" ref="CK9:CP9" si="47">_xlfn.PERCENTILE.INC(CK14:CK1007,alpha/2)</f>
        <v>8.1791569086651066E-3</v>
      </c>
      <c r="CL9" s="84">
        <f t="shared" si="47"/>
        <v>9.2119796091758702E-2</v>
      </c>
      <c r="CM9" s="84">
        <f t="shared" si="47"/>
        <v>0.20712139423076922</v>
      </c>
      <c r="CN9" s="84">
        <f t="shared" si="47"/>
        <v>0.25143072289156626</v>
      </c>
      <c r="CO9" s="84">
        <f t="shared" si="47"/>
        <v>0.25534848484848488</v>
      </c>
      <c r="CP9" s="84">
        <f t="shared" si="47"/>
        <v>0.21222313371616078</v>
      </c>
      <c r="CQ9" s="84"/>
      <c r="CS9" s="13"/>
      <c r="CT9" s="36"/>
      <c r="CU9" s="36">
        <f t="shared" ref="CU9:CZ9" si="48">SUM(CU3:CU8)</f>
        <v>1</v>
      </c>
      <c r="CV9" s="36">
        <f t="shared" si="48"/>
        <v>1</v>
      </c>
      <c r="CW9" s="36">
        <f t="shared" si="48"/>
        <v>1</v>
      </c>
      <c r="CX9" s="36">
        <f t="shared" si="48"/>
        <v>1.0000000000000002</v>
      </c>
      <c r="CY9" s="36">
        <f t="shared" si="48"/>
        <v>1</v>
      </c>
      <c r="CZ9" s="36">
        <f t="shared" si="48"/>
        <v>0.99999999999999989</v>
      </c>
    </row>
    <row r="10" spans="1:104" x14ac:dyDescent="0.25">
      <c r="A10" s="23" t="s">
        <v>39</v>
      </c>
      <c r="B10" s="80" t="e">
        <f>_xlfn.PERCENTILE.INC(B14:B1007,1-alpha/2)</f>
        <v>#NUM!</v>
      </c>
      <c r="C10" s="82">
        <f t="shared" ref="C10:H10" si="49">_xlfn.PERCENTILE.INC(C14:C1007,1-alpha/2)</f>
        <v>52.527162977867185</v>
      </c>
      <c r="D10" s="82">
        <f t="shared" si="49"/>
        <v>78.562684426416709</v>
      </c>
      <c r="E10" s="82">
        <f t="shared" si="49"/>
        <v>84.113103877254815</v>
      </c>
      <c r="F10" s="82">
        <f t="shared" si="49"/>
        <v>83.758090614886726</v>
      </c>
      <c r="G10" s="82">
        <f t="shared" si="49"/>
        <v>40.811877076411946</v>
      </c>
      <c r="H10" s="82">
        <f t="shared" si="49"/>
        <v>16.286688485259386</v>
      </c>
      <c r="J10" s="23" t="s">
        <v>39</v>
      </c>
      <c r="K10" s="23">
        <f t="shared" ref="K10:R10" si="50">_xlfn.PERCENTILE.INC(K14:K1007,1-alpha/2)</f>
        <v>0</v>
      </c>
      <c r="L10" s="23">
        <f t="shared" si="50"/>
        <v>12.818644067796596</v>
      </c>
      <c r="M10" s="23">
        <f t="shared" si="50"/>
        <v>13.376016260162602</v>
      </c>
      <c r="N10" s="23">
        <f t="shared" si="50"/>
        <v>24.086538461538446</v>
      </c>
      <c r="O10" s="23">
        <f t="shared" si="50"/>
        <v>0.60455308894406301</v>
      </c>
      <c r="P10" s="23">
        <f t="shared" si="50"/>
        <v>27.451690821256026</v>
      </c>
      <c r="Q10" s="23">
        <f t="shared" si="50"/>
        <v>34.857536764705877</v>
      </c>
      <c r="R10" s="23">
        <f t="shared" si="50"/>
        <v>34.167857142857109</v>
      </c>
      <c r="U10" s="23" t="s">
        <v>39</v>
      </c>
      <c r="V10" s="119">
        <f>_xlfn.PERCENTILE.INC(V14:V1007,1-alpha/2)</f>
        <v>0.21854999999999999</v>
      </c>
      <c r="W10" s="119">
        <f t="shared" ref="W10:Y10" si="51">_xlfn.PERCENTILE.INC(W14:W1007,1-alpha/2)</f>
        <v>0.22950000000000001</v>
      </c>
      <c r="X10" s="119">
        <f t="shared" si="51"/>
        <v>0.40176250000000002</v>
      </c>
      <c r="Y10" s="119">
        <f t="shared" si="51"/>
        <v>0.14549999999999999</v>
      </c>
      <c r="Z10" s="119">
        <f t="shared" ref="Z10:AA10" si="52">_xlfn.PERCENTILE.INC(Z14:Z1007,1-alpha/2)</f>
        <v>3.9262499999999999E-2</v>
      </c>
      <c r="AA10" s="119">
        <f t="shared" si="52"/>
        <v>5.407499999999997E-2</v>
      </c>
      <c r="AB10" s="83"/>
      <c r="AC10" s="76" t="s">
        <v>39</v>
      </c>
      <c r="AD10" s="76" t="e">
        <f>_xlfn.PERCENTILE.INC(AD14:AD1007,1-alpha/2)</f>
        <v>#NUM!</v>
      </c>
      <c r="AE10" s="84">
        <f t="shared" ref="AE10:AJ10" si="53">_xlfn.PERCENTILE.INC(AE14:AE1007,1-alpha/2)</f>
        <v>5.0317836734021675E-2</v>
      </c>
      <c r="AF10" s="84">
        <f t="shared" si="53"/>
        <v>9.1445158407297819E-2</v>
      </c>
      <c r="AG10" s="84">
        <f t="shared" si="53"/>
        <v>9.6219459961907533E-2</v>
      </c>
      <c r="AH10" s="84">
        <f t="shared" si="53"/>
        <v>8.6219969762339352E-2</v>
      </c>
      <c r="AI10" s="84">
        <f t="shared" si="53"/>
        <v>4.0774071466291133E-2</v>
      </c>
      <c r="AJ10" s="84">
        <f t="shared" si="53"/>
        <v>7.9116684841875635E-3</v>
      </c>
      <c r="AK10" s="84"/>
      <c r="AM10" s="76" t="s">
        <v>39</v>
      </c>
      <c r="AN10" s="76" t="e">
        <f>_xlfn.PERCENTILE.INC(AN14:AN1007,1-alpha/2)</f>
        <v>#NUM!</v>
      </c>
      <c r="AO10" s="84">
        <f t="shared" ref="AO10:AT10" si="54">_xlfn.PERCENTILE.INC(AO14:AO1007,1-alpha/2)</f>
        <v>1.8478619612641457E-2</v>
      </c>
      <c r="AP10" s="84">
        <f t="shared" si="54"/>
        <v>5.5409084072792894E-2</v>
      </c>
      <c r="AQ10" s="84">
        <f t="shared" si="54"/>
        <v>8.8046502384737685E-2</v>
      </c>
      <c r="AR10" s="84">
        <f t="shared" si="54"/>
        <v>9.5951079712076767E-2</v>
      </c>
      <c r="AS10" s="84">
        <f t="shared" si="54"/>
        <v>0.11229975775572397</v>
      </c>
      <c r="AT10" s="84">
        <f t="shared" si="54"/>
        <v>0.13718652037617554</v>
      </c>
      <c r="AU10" s="83">
        <f t="shared" ref="AU10" si="55">_xlfn.PERCENTILE.INC(AU14:AU1007,1-alpha/2)</f>
        <v>5.95029622663222E-2</v>
      </c>
      <c r="AV10" s="83"/>
      <c r="AW10" s="83">
        <f t="shared" ref="AW10:AX10" si="56">_xlfn.PERCENTILE.INC(AW14:AW1007,1-alpha/2)</f>
        <v>108.14999999999995</v>
      </c>
      <c r="AX10" s="83">
        <f t="shared" si="56"/>
        <v>45.287499999999987</v>
      </c>
      <c r="AY10" s="83"/>
      <c r="AZ10" s="76" t="s">
        <v>39</v>
      </c>
      <c r="BA10" s="76" t="e">
        <f>_xlfn.PERCENTILE.INC(BA14:BA1007,1-alpha/2)</f>
        <v>#NUM!</v>
      </c>
      <c r="BB10" s="84">
        <f t="shared" ref="BB10:BG10" si="57">_xlfn.PERCENTILE.INC(BB14:BB1007,1-alpha/2)</f>
        <v>1</v>
      </c>
      <c r="BC10" s="84">
        <f t="shared" si="57"/>
        <v>0.97738095238095191</v>
      </c>
      <c r="BD10" s="84">
        <f t="shared" si="57"/>
        <v>0.94117647058823528</v>
      </c>
      <c r="BE10" s="84">
        <f t="shared" si="57"/>
        <v>0.9374509803921568</v>
      </c>
      <c r="BF10" s="84">
        <f t="shared" si="57"/>
        <v>1</v>
      </c>
      <c r="BG10" s="84">
        <f t="shared" si="57"/>
        <v>1</v>
      </c>
      <c r="BH10" s="84">
        <f>_xlfn.PERCENTILE.INC(BH14:BH1007,1-alpha/2)</f>
        <v>0.87290665317480376</v>
      </c>
      <c r="BI10" s="83"/>
      <c r="BJ10" s="76" t="s">
        <v>39</v>
      </c>
      <c r="BK10" s="84">
        <f t="shared" ref="BK10" si="58">_xlfn.PERCENTILE.INC(BK14:BK1007,1-alpha/2)</f>
        <v>0.18255550343964971</v>
      </c>
      <c r="BL10" s="84">
        <f t="shared" ref="BL10:BN10" si="59">_xlfn.PERCENTILE.INC(BL14:BL1007,1-alpha/2)</f>
        <v>0.11780684104627759</v>
      </c>
      <c r="BM10" s="84">
        <f t="shared" si="59"/>
        <v>0.36280684754521958</v>
      </c>
      <c r="BN10" s="84">
        <f t="shared" si="59"/>
        <v>0.65399545736113973</v>
      </c>
      <c r="BQ10" s="23" t="s">
        <v>39</v>
      </c>
      <c r="BR10" s="119">
        <f>_xlfn.PERCENTILE.INC(BR14:BR1007,1-alpha/2)</f>
        <v>0.66505102040816322</v>
      </c>
      <c r="BS10" s="119">
        <f t="shared" ref="BS10:BU10" si="60">_xlfn.PERCENTILE.INC(BS14:BS1007,1-alpha/2)</f>
        <v>0.5574376179922842</v>
      </c>
      <c r="BT10" s="119">
        <f t="shared" si="60"/>
        <v>0.74884382806395877</v>
      </c>
      <c r="BU10" s="119">
        <f t="shared" si="60"/>
        <v>0.66362681287584002</v>
      </c>
      <c r="BV10" s="119">
        <f t="shared" ref="BV10:BW10" si="61">_xlfn.PERCENTILE.INC(BV14:BV1007,1-alpha/2)</f>
        <v>0.75667372881355921</v>
      </c>
      <c r="BW10" s="119">
        <f t="shared" si="61"/>
        <v>0.24437229437229419</v>
      </c>
      <c r="BY10" s="76" t="s">
        <v>39</v>
      </c>
      <c r="BZ10" s="76" t="e">
        <f>_xlfn.PERCENTILE.INC(BZ14:BZ1007,1-alpha/2)</f>
        <v>#NUM!</v>
      </c>
      <c r="CA10" s="84">
        <f t="shared" ref="CA10:CF10" si="62">_xlfn.PERCENTILE.INC(CA14:CA1007,1-alpha/2)</f>
        <v>0.58849888668975758</v>
      </c>
      <c r="CB10" s="84">
        <f t="shared" si="62"/>
        <v>0.74078571428571427</v>
      </c>
      <c r="CC10" s="84">
        <f t="shared" si="62"/>
        <v>0.7354532468305458</v>
      </c>
      <c r="CD10" s="84">
        <f t="shared" si="62"/>
        <v>0.71463620158807317</v>
      </c>
      <c r="CE10" s="84">
        <f t="shared" si="62"/>
        <v>0.69148924731182781</v>
      </c>
      <c r="CF10" s="84">
        <f t="shared" si="62"/>
        <v>0.71512307692307686</v>
      </c>
      <c r="CG10" s="84"/>
      <c r="CH10" s="83"/>
      <c r="CI10" s="76" t="s">
        <v>39</v>
      </c>
      <c r="CJ10" s="76"/>
      <c r="CK10" s="84">
        <f t="shared" ref="CK10:CP10" si="63">_xlfn.PERCENTILE.INC(CK14:CK1007,1-alpha/2)</f>
        <v>4.3538976566236245E-2</v>
      </c>
      <c r="CL10" s="84">
        <f t="shared" si="63"/>
        <v>0.22278856526429341</v>
      </c>
      <c r="CM10" s="84">
        <f t="shared" si="63"/>
        <v>0.37227744165946414</v>
      </c>
      <c r="CN10" s="84">
        <f t="shared" si="63"/>
        <v>0.45618279569892461</v>
      </c>
      <c r="CO10" s="84">
        <f t="shared" si="63"/>
        <v>0.45039062499999993</v>
      </c>
      <c r="CP10" s="84">
        <f t="shared" si="63"/>
        <v>0.41608823529411754</v>
      </c>
      <c r="CQ10" s="84"/>
    </row>
    <row r="11" spans="1:104" x14ac:dyDescent="0.25">
      <c r="A11" s="23" t="s">
        <v>44</v>
      </c>
      <c r="B11" s="80" t="e">
        <f>B8-B9</f>
        <v>#NUM!</v>
      </c>
      <c r="C11" s="82">
        <f t="shared" ref="C11:H11" si="64">C8-C9</f>
        <v>18.838348569493824</v>
      </c>
      <c r="D11" s="82">
        <f t="shared" si="64"/>
        <v>19.051515688395071</v>
      </c>
      <c r="E11" s="82">
        <f t="shared" si="64"/>
        <v>24.73214590902181</v>
      </c>
      <c r="F11" s="82">
        <f t="shared" si="64"/>
        <v>21.56451788751977</v>
      </c>
      <c r="G11" s="82">
        <f t="shared" si="64"/>
        <v>17.851806744817605</v>
      </c>
      <c r="H11" s="82">
        <f t="shared" si="64"/>
        <v>3.7383308178210073</v>
      </c>
      <c r="J11" s="23" t="s">
        <v>44</v>
      </c>
      <c r="K11" s="23">
        <f>K8-K9</f>
        <v>0</v>
      </c>
      <c r="L11" s="23">
        <f t="shared" ref="L11:R11" si="65">L8-L9</f>
        <v>3.6797728047040099</v>
      </c>
      <c r="M11" s="23">
        <f t="shared" si="65"/>
        <v>2.6140715690959553</v>
      </c>
      <c r="N11" s="23">
        <f t="shared" si="65"/>
        <v>10.529556650246306</v>
      </c>
      <c r="O11" s="23">
        <f t="shared" si="65"/>
        <v>0</v>
      </c>
      <c r="P11" s="23">
        <f t="shared" si="65"/>
        <v>7.6060005362037053</v>
      </c>
      <c r="Q11" s="23">
        <f t="shared" si="65"/>
        <v>9.4901315789473681</v>
      </c>
      <c r="R11" s="23">
        <f t="shared" si="65"/>
        <v>12.140692640692642</v>
      </c>
      <c r="U11" s="23" t="s">
        <v>44</v>
      </c>
      <c r="V11" s="119">
        <f>V8-V9</f>
        <v>2.1000000000000019E-2</v>
      </c>
      <c r="W11" s="119">
        <f t="shared" ref="W11:Y11" si="66">W8-W9</f>
        <v>1.9762499999999988E-2</v>
      </c>
      <c r="X11" s="119">
        <f t="shared" si="66"/>
        <v>1.9262500000000016E-2</v>
      </c>
      <c r="Y11" s="119">
        <f t="shared" si="66"/>
        <v>1.2750000000000011E-2</v>
      </c>
      <c r="Z11" s="119">
        <f t="shared" ref="Z11:AA11" si="67">Z8-Z9</f>
        <v>9.7625000000000003E-3</v>
      </c>
      <c r="AA11" s="119">
        <f t="shared" si="67"/>
        <v>9.4999999999999946E-3</v>
      </c>
      <c r="AB11" s="83"/>
      <c r="AC11" s="76" t="s">
        <v>44</v>
      </c>
      <c r="AD11" s="76" t="e">
        <f>AD8-AD9</f>
        <v>#NUM!</v>
      </c>
      <c r="AE11" s="84">
        <f t="shared" ref="AE11:AJ11" si="68">AE8-AE9</f>
        <v>1.6938689306531703E-2</v>
      </c>
      <c r="AF11" s="84">
        <f t="shared" si="68"/>
        <v>2.5998907475269499E-2</v>
      </c>
      <c r="AG11" s="84">
        <f t="shared" si="68"/>
        <v>2.4022820114396728E-2</v>
      </c>
      <c r="AH11" s="84">
        <f t="shared" si="68"/>
        <v>2.2819882571932112E-2</v>
      </c>
      <c r="AI11" s="84">
        <f t="shared" si="68"/>
        <v>1.5914510232570338E-2</v>
      </c>
      <c r="AJ11" s="84">
        <f t="shared" si="68"/>
        <v>3.2419842202450898E-3</v>
      </c>
      <c r="AK11" s="84"/>
      <c r="AM11" s="76" t="s">
        <v>44</v>
      </c>
      <c r="AN11" s="76" t="e">
        <f>AN8-AN9</f>
        <v>#NUM!</v>
      </c>
      <c r="AO11" s="84">
        <f t="shared" ref="AO11:AT11" si="69">AO8-AO9</f>
        <v>8.7849425484479507E-3</v>
      </c>
      <c r="AP11" s="84">
        <f t="shared" si="69"/>
        <v>1.7913087209463507E-2</v>
      </c>
      <c r="AQ11" s="84">
        <f t="shared" si="69"/>
        <v>2.4533756278861885E-2</v>
      </c>
      <c r="AR11" s="84">
        <f t="shared" si="69"/>
        <v>2.5015889932876109E-2</v>
      </c>
      <c r="AS11" s="84">
        <f t="shared" si="69"/>
        <v>2.971998285513075E-2</v>
      </c>
      <c r="AT11" s="84">
        <f t="shared" si="69"/>
        <v>4.516137510513038E-2</v>
      </c>
      <c r="AU11" s="83">
        <f t="shared" ref="AU11" si="70">AU8-AU9</f>
        <v>9.9846458967839669E-3</v>
      </c>
      <c r="AV11" s="83"/>
      <c r="AW11" s="83">
        <f t="shared" ref="AW11:AX11" si="71">AW8-AW9</f>
        <v>19</v>
      </c>
      <c r="AX11" s="83">
        <f t="shared" si="71"/>
        <v>7.5124999999999993</v>
      </c>
      <c r="AY11" s="83"/>
      <c r="AZ11" s="76" t="s">
        <v>44</v>
      </c>
      <c r="BA11" s="76" t="e">
        <f>BA8-BA9</f>
        <v>#NUM!</v>
      </c>
      <c r="BB11" s="84">
        <f t="shared" ref="BB11:BH11" si="72">BB8-BB9</f>
        <v>0.32321428571428568</v>
      </c>
      <c r="BC11" s="84">
        <f t="shared" si="72"/>
        <v>0.23529411764705876</v>
      </c>
      <c r="BD11" s="84">
        <f t="shared" si="72"/>
        <v>0.19543650793650791</v>
      </c>
      <c r="BE11" s="84">
        <f t="shared" si="72"/>
        <v>0.23611111111111116</v>
      </c>
      <c r="BF11" s="84">
        <f t="shared" si="72"/>
        <v>0.66666666666666663</v>
      </c>
      <c r="BG11" s="84">
        <f t="shared" si="72"/>
        <v>0.5</v>
      </c>
      <c r="BH11" s="84">
        <f t="shared" si="72"/>
        <v>0.10194859038142612</v>
      </c>
      <c r="BI11" s="83"/>
      <c r="BJ11" s="76" t="s">
        <v>44</v>
      </c>
      <c r="BK11" s="84">
        <f t="shared" ref="BK11" si="73">BK8-BK9</f>
        <v>5.6367484856621415E-2</v>
      </c>
      <c r="BL11" s="84">
        <f t="shared" ref="BL11:BN11" si="74">BL8-BL9</f>
        <v>3.3960297871939556E-2</v>
      </c>
      <c r="BM11" s="84">
        <f t="shared" si="74"/>
        <v>8.3811579882827669E-2</v>
      </c>
      <c r="BN11" s="84">
        <f t="shared" si="74"/>
        <v>0.10516820847234859</v>
      </c>
      <c r="BQ11" s="23" t="s">
        <v>44</v>
      </c>
      <c r="BR11" s="119">
        <f>BR8-BR9</f>
        <v>5.0630056091893749E-2</v>
      </c>
      <c r="BS11" s="119">
        <f t="shared" ref="BS11:BU11" si="75">BS8-BS9</f>
        <v>3.9810186453918206E-2</v>
      </c>
      <c r="BT11" s="119">
        <f t="shared" si="75"/>
        <v>3.0871400705457686E-2</v>
      </c>
      <c r="BU11" s="119">
        <f t="shared" si="75"/>
        <v>6.0074500072450965E-2</v>
      </c>
      <c r="BV11" s="119">
        <f t="shared" ref="BV11:BW11" si="76">BV8-BV9</f>
        <v>0.13047672134628652</v>
      </c>
      <c r="BW11" s="119">
        <f t="shared" si="76"/>
        <v>7.7422194669265393E-2</v>
      </c>
      <c r="BY11" s="76" t="s">
        <v>44</v>
      </c>
      <c r="BZ11" s="76" t="e">
        <f>BZ8-BZ9</f>
        <v>#NUM!</v>
      </c>
      <c r="CA11" s="84">
        <f t="shared" ref="CA11:CF11" si="77">CA8-CA9</f>
        <v>5.3461880756784819E-2</v>
      </c>
      <c r="CB11" s="84">
        <f t="shared" si="77"/>
        <v>7.2538862980235375E-2</v>
      </c>
      <c r="CC11" s="84">
        <f t="shared" si="77"/>
        <v>4.5563209204261157E-2</v>
      </c>
      <c r="CD11" s="84">
        <f t="shared" si="77"/>
        <v>5.0572720991492903E-2</v>
      </c>
      <c r="CE11" s="84">
        <f t="shared" si="77"/>
        <v>5.4741951186616178E-2</v>
      </c>
      <c r="CF11" s="84">
        <f t="shared" si="77"/>
        <v>7.6178427128427151E-2</v>
      </c>
      <c r="CG11" s="84"/>
      <c r="CH11" s="83"/>
      <c r="CI11" s="76" t="s">
        <v>44</v>
      </c>
      <c r="CJ11" s="76"/>
      <c r="CK11" s="84">
        <f t="shared" ref="CK11:CP11" si="78">CK8-CK9</f>
        <v>1.3698633625841847E-2</v>
      </c>
      <c r="CL11" s="84">
        <f t="shared" si="78"/>
        <v>6.5096304306159883E-2</v>
      </c>
      <c r="CM11" s="84">
        <f t="shared" si="78"/>
        <v>7.2862927692408236E-2</v>
      </c>
      <c r="CN11" s="84">
        <f t="shared" si="78"/>
        <v>0.11211094377510039</v>
      </c>
      <c r="CO11" s="84">
        <f t="shared" si="78"/>
        <v>9.5327190827190822E-2</v>
      </c>
      <c r="CP11" s="84">
        <f t="shared" si="78"/>
        <v>9.6168474675447618E-2</v>
      </c>
      <c r="CQ11" s="84"/>
      <c r="CS11" s="154" t="s">
        <v>111</v>
      </c>
      <c r="CT11" s="22" t="s">
        <v>43</v>
      </c>
      <c r="CU11" s="20" t="s">
        <v>16</v>
      </c>
      <c r="CV11" s="20" t="s">
        <v>17</v>
      </c>
      <c r="CW11" s="14" t="s">
        <v>18</v>
      </c>
      <c r="CX11" s="14" t="s">
        <v>41</v>
      </c>
      <c r="CY11" s="14" t="s">
        <v>19</v>
      </c>
      <c r="CZ11" s="14" t="s">
        <v>20</v>
      </c>
    </row>
    <row r="12" spans="1:104" x14ac:dyDescent="0.25">
      <c r="A12" s="69" t="s">
        <v>45</v>
      </c>
      <c r="B12" s="86" t="e">
        <f>B10-B8</f>
        <v>#NUM!</v>
      </c>
      <c r="C12" s="87">
        <f t="shared" ref="C12:H12" si="79">C10-C8</f>
        <v>18.436253886958092</v>
      </c>
      <c r="D12" s="87">
        <f t="shared" si="79"/>
        <v>25.171059713983809</v>
      </c>
      <c r="E12" s="87">
        <f t="shared" si="79"/>
        <v>21.511727199002237</v>
      </c>
      <c r="F12" s="87">
        <f t="shared" si="79"/>
        <v>26.176304584824834</v>
      </c>
      <c r="G12" s="87">
        <f t="shared" si="79"/>
        <v>16.32805713027421</v>
      </c>
      <c r="H12" s="87">
        <f t="shared" si="79"/>
        <v>12.548357667438379</v>
      </c>
      <c r="J12" s="69" t="s">
        <v>45</v>
      </c>
      <c r="K12" s="23">
        <f>K10-K8</f>
        <v>0</v>
      </c>
      <c r="L12" s="23">
        <f t="shared" ref="L12:R12" si="80">L10-L8</f>
        <v>7.6895959007737451</v>
      </c>
      <c r="M12" s="23">
        <f t="shared" si="80"/>
        <v>3.7889002936036444</v>
      </c>
      <c r="N12" s="23">
        <f t="shared" si="80"/>
        <v>13.55698181129214</v>
      </c>
      <c r="O12" s="23">
        <f t="shared" si="80"/>
        <v>0.60455308894406301</v>
      </c>
      <c r="P12" s="23">
        <f t="shared" si="80"/>
        <v>8.7684939026233799</v>
      </c>
      <c r="Q12" s="23">
        <f t="shared" si="80"/>
        <v>12.982536764705877</v>
      </c>
      <c r="R12" s="23">
        <f t="shared" si="80"/>
        <v>16.148376623376588</v>
      </c>
      <c r="U12" s="69" t="s">
        <v>45</v>
      </c>
      <c r="V12" s="120">
        <f>V10-V8</f>
        <v>1.8549999999999983E-2</v>
      </c>
      <c r="W12" s="120">
        <f t="shared" ref="W12:Y12" si="81">W10-W8</f>
        <v>1.4000000000000012E-2</v>
      </c>
      <c r="X12" s="120">
        <f t="shared" si="81"/>
        <v>2.5262500000000021E-2</v>
      </c>
      <c r="Y12" s="120">
        <f t="shared" si="81"/>
        <v>1.3249999999999984E-2</v>
      </c>
      <c r="Z12" s="120">
        <f t="shared" ref="Z12:AA12" si="82">Z10-Z8</f>
        <v>8.262499999999999E-3</v>
      </c>
      <c r="AA12" s="120">
        <f t="shared" si="82"/>
        <v>9.5749999999999724E-3</v>
      </c>
      <c r="AB12" s="90"/>
      <c r="AC12" s="85" t="s">
        <v>45</v>
      </c>
      <c r="AD12" s="85" t="e">
        <f>AD10-AD8</f>
        <v>#NUM!</v>
      </c>
      <c r="AE12" s="89">
        <f t="shared" ref="AE12:AJ12" si="83">AE10-AE8</f>
        <v>1.5219523568503507E-2</v>
      </c>
      <c r="AF12" s="89">
        <f t="shared" si="83"/>
        <v>2.3296860688125878E-2</v>
      </c>
      <c r="AG12" s="89">
        <f t="shared" si="83"/>
        <v>2.556728604886406E-2</v>
      </c>
      <c r="AH12" s="89">
        <f t="shared" si="83"/>
        <v>3.0817882592296383E-2</v>
      </c>
      <c r="AI12" s="89">
        <f t="shared" si="83"/>
        <v>1.8356007783913275E-2</v>
      </c>
      <c r="AJ12" s="89">
        <f t="shared" si="83"/>
        <v>4.6696842639424741E-3</v>
      </c>
      <c r="AK12" s="89"/>
      <c r="AM12" s="85" t="s">
        <v>45</v>
      </c>
      <c r="AN12" s="85" t="e">
        <f>AN10-AN8</f>
        <v>#NUM!</v>
      </c>
      <c r="AO12" s="89">
        <f t="shared" ref="AO12:AT12" si="84">AO10-AO8</f>
        <v>9.6936770641935059E-3</v>
      </c>
      <c r="AP12" s="89">
        <f t="shared" si="84"/>
        <v>2.0285723134214562E-2</v>
      </c>
      <c r="AQ12" s="89">
        <f t="shared" si="84"/>
        <v>3.2581428190021799E-2</v>
      </c>
      <c r="AR12" s="89">
        <f t="shared" si="84"/>
        <v>2.9144943031463103E-2</v>
      </c>
      <c r="AS12" s="89">
        <f t="shared" si="84"/>
        <v>3.8668692426366419E-2</v>
      </c>
      <c r="AT12" s="89">
        <f t="shared" si="84"/>
        <v>5.1400145271045167E-2</v>
      </c>
      <c r="AU12" s="88">
        <f t="shared" ref="AU12" si="85">AU10-AU8</f>
        <v>1.1596956069145674E-2</v>
      </c>
      <c r="AV12" s="90"/>
      <c r="AW12" s="88">
        <f t="shared" ref="AW12:AX12" si="86">AW10-AW8</f>
        <v>19.149999999999949</v>
      </c>
      <c r="AX12" s="88">
        <f t="shared" si="86"/>
        <v>9.0374999999999872</v>
      </c>
      <c r="AY12" s="90"/>
      <c r="AZ12" s="85" t="s">
        <v>45</v>
      </c>
      <c r="BA12" s="85" t="e">
        <f>BA10-BA8</f>
        <v>#NUM!</v>
      </c>
      <c r="BB12" s="89">
        <f t="shared" ref="BB12:BH12" si="87">BB10-BB8</f>
        <v>0.2142857142857143</v>
      </c>
      <c r="BC12" s="89">
        <f t="shared" si="87"/>
        <v>0.15385154061624606</v>
      </c>
      <c r="BD12" s="89">
        <f t="shared" si="87"/>
        <v>0.15546218487394958</v>
      </c>
      <c r="BE12" s="89">
        <f t="shared" si="87"/>
        <v>0.1874509803921568</v>
      </c>
      <c r="BF12" s="89">
        <f t="shared" si="87"/>
        <v>0.33333333333333337</v>
      </c>
      <c r="BG12" s="89">
        <f t="shared" si="87"/>
        <v>0.5</v>
      </c>
      <c r="BH12" s="89">
        <f t="shared" si="87"/>
        <v>9.5958062793377596E-2</v>
      </c>
      <c r="BI12" s="90"/>
      <c r="BJ12" s="85" t="s">
        <v>45</v>
      </c>
      <c r="BK12" s="89">
        <f t="shared" ref="BK12" si="88">BK10-BK8</f>
        <v>6.8341778821300825E-2</v>
      </c>
      <c r="BL12" s="89">
        <f t="shared" ref="BL12:BN12" si="89">BL10-BL8</f>
        <v>7.0473981871313152E-2</v>
      </c>
      <c r="BM12" s="89">
        <f t="shared" si="89"/>
        <v>0.10135602215577527</v>
      </c>
      <c r="BN12" s="89">
        <f t="shared" si="89"/>
        <v>8.9412124027806406E-2</v>
      </c>
      <c r="BQ12" s="69" t="s">
        <v>45</v>
      </c>
      <c r="BR12" s="120">
        <f>BR10-BR8</f>
        <v>5.0132997118666589E-2</v>
      </c>
      <c r="BS12" s="120">
        <f t="shared" ref="BS12:BU12" si="90">BS10-BS8</f>
        <v>5.0042995899260978E-2</v>
      </c>
      <c r="BT12" s="120">
        <f t="shared" si="90"/>
        <v>2.7300215449319265E-2</v>
      </c>
      <c r="BU12" s="120">
        <f t="shared" si="90"/>
        <v>4.3992858313655736E-2</v>
      </c>
      <c r="BV12" s="120">
        <f t="shared" ref="BV12:BW12" si="91">BV10-BV8</f>
        <v>0.11838870465896989</v>
      </c>
      <c r="BW12" s="120">
        <f t="shared" si="91"/>
        <v>8.9017844900197651E-2</v>
      </c>
      <c r="BY12" s="85" t="s">
        <v>45</v>
      </c>
      <c r="BZ12" s="85" t="e">
        <f>BZ10-BZ8</f>
        <v>#NUM!</v>
      </c>
      <c r="CA12" s="89">
        <f t="shared" ref="CA12:CF12" si="92">CA10-CA8</f>
        <v>5.269193713642073E-2</v>
      </c>
      <c r="CB12" s="89">
        <f t="shared" si="92"/>
        <v>4.7452380952380913E-2</v>
      </c>
      <c r="CC12" s="89">
        <f t="shared" si="92"/>
        <v>3.8465442699884611E-2</v>
      </c>
      <c r="CD12" s="89">
        <f t="shared" si="92"/>
        <v>4.8641577932159175E-2</v>
      </c>
      <c r="CE12" s="89">
        <f t="shared" si="92"/>
        <v>7.2088479700090802E-2</v>
      </c>
      <c r="CF12" s="89">
        <f t="shared" si="92"/>
        <v>8.799464979464966E-2</v>
      </c>
      <c r="CG12" s="89"/>
      <c r="CH12" s="90"/>
      <c r="CI12" s="85" t="s">
        <v>45</v>
      </c>
      <c r="CJ12" s="85"/>
      <c r="CK12" s="89">
        <f t="shared" ref="CK12:CP12" si="93">CK10-CK8</f>
        <v>2.1661186031729292E-2</v>
      </c>
      <c r="CL12" s="89">
        <f t="shared" si="93"/>
        <v>6.557246486637483E-2</v>
      </c>
      <c r="CM12" s="89">
        <f t="shared" si="93"/>
        <v>9.2293119736286677E-2</v>
      </c>
      <c r="CN12" s="89">
        <f t="shared" si="93"/>
        <v>9.2641129032257963E-2</v>
      </c>
      <c r="CO12" s="89">
        <f t="shared" si="93"/>
        <v>9.9714949324324231E-2</v>
      </c>
      <c r="CP12" s="89">
        <f t="shared" si="93"/>
        <v>0.10769662690250914</v>
      </c>
      <c r="CQ12" s="89"/>
      <c r="CS12" s="145" t="str">
        <f>CS3</f>
        <v>Sterile</v>
      </c>
      <c r="CT12" s="16"/>
      <c r="CU12" s="16">
        <v>1.1155077224175121E-2</v>
      </c>
      <c r="CV12" s="16">
        <v>3.580181937349472E-2</v>
      </c>
      <c r="CW12" s="16">
        <v>0.11706438436716488</v>
      </c>
      <c r="CX12" s="16">
        <v>0.24372117654245556</v>
      </c>
      <c r="CY12" s="16">
        <v>0.32584770722972406</v>
      </c>
      <c r="CZ12" s="16">
        <v>0.55456700582686491</v>
      </c>
    </row>
    <row r="13" spans="1:104" x14ac:dyDescent="0.25">
      <c r="B13" s="80"/>
      <c r="C13" s="82"/>
      <c r="D13" s="82"/>
      <c r="E13" s="82"/>
      <c r="F13" s="82"/>
      <c r="G13" s="82"/>
      <c r="H13" s="82"/>
      <c r="CS13" s="145" t="str">
        <f t="shared" ref="CS13" si="94">CS4</f>
        <v>Inactive</v>
      </c>
      <c r="CT13" s="16"/>
      <c r="CU13" s="16">
        <v>0.62351039688676946</v>
      </c>
      <c r="CV13" s="16">
        <v>0.20988364945903643</v>
      </c>
      <c r="CW13" s="16">
        <v>0.12541320098993292</v>
      </c>
      <c r="CX13" s="16">
        <v>8.2298585006096339E-2</v>
      </c>
      <c r="CY13" s="16">
        <v>0.11447275949818833</v>
      </c>
      <c r="CZ13" s="16">
        <v>0.10028381711138833</v>
      </c>
    </row>
    <row r="14" spans="1:104" x14ac:dyDescent="0.25">
      <c r="C14" s="21">
        <v>26.01156069364162</v>
      </c>
      <c r="D14" s="21">
        <v>55.072463768115945</v>
      </c>
      <c r="E14" s="21">
        <v>61.403508771929822</v>
      </c>
      <c r="F14" s="21">
        <v>74.074074074074076</v>
      </c>
      <c r="G14" s="21">
        <v>25.559105431309906</v>
      </c>
      <c r="H14" s="21">
        <v>10.869565217391305</v>
      </c>
      <c r="K14" s="23">
        <v>0</v>
      </c>
      <c r="L14" s="23">
        <v>2.4390243902439024</v>
      </c>
      <c r="M14" s="23">
        <v>10.843373493975903</v>
      </c>
      <c r="N14" s="23">
        <v>12.903225806451612</v>
      </c>
      <c r="O14" s="23">
        <v>0</v>
      </c>
      <c r="P14" s="23">
        <v>18.292682926829269</v>
      </c>
      <c r="Q14" s="23">
        <v>24.615384615384617</v>
      </c>
      <c r="R14" s="23">
        <v>31.428571428571427</v>
      </c>
      <c r="V14" s="23">
        <v>0.19350000000000001</v>
      </c>
      <c r="W14" s="23">
        <v>0.21199999999999999</v>
      </c>
      <c r="X14" s="23">
        <v>0.38850000000000001</v>
      </c>
      <c r="Y14" s="23">
        <v>0.12</v>
      </c>
      <c r="Z14" s="23">
        <v>3.3500000000000002E-2</v>
      </c>
      <c r="AA14" s="23">
        <v>5.2499999999999998E-2</v>
      </c>
      <c r="AE14" s="23">
        <v>5.2023121387283239E-2</v>
      </c>
      <c r="AF14" s="23">
        <v>6.9565217391304349E-2</v>
      </c>
      <c r="AG14" s="23">
        <v>8.1871345029239762E-2</v>
      </c>
      <c r="AH14" s="23">
        <v>6.8783068783068779E-2</v>
      </c>
      <c r="AI14" s="23">
        <v>2.2364217252396165E-2</v>
      </c>
      <c r="AJ14" s="23">
        <v>7.246376811594203E-3</v>
      </c>
      <c r="AO14" s="23">
        <v>0</v>
      </c>
      <c r="AP14" s="23">
        <v>1.9672131147540985E-2</v>
      </c>
      <c r="AQ14" s="23">
        <v>6.7924528301886791E-2</v>
      </c>
      <c r="AR14" s="23">
        <v>5.128205128205128E-2</v>
      </c>
      <c r="AS14" s="23">
        <v>9.5022624434389136E-2</v>
      </c>
      <c r="AT14" s="23">
        <v>0.1092436974789916</v>
      </c>
      <c r="AU14" s="23">
        <v>4.7745358090185673E-2</v>
      </c>
      <c r="AW14" s="100">
        <v>105</v>
      </c>
      <c r="AX14" s="100">
        <v>36</v>
      </c>
      <c r="BB14" s="23">
        <v>0.91666666666666663</v>
      </c>
      <c r="BC14" s="23">
        <v>0.8125</v>
      </c>
      <c r="BD14" s="23">
        <v>0.8571428571428571</v>
      </c>
      <c r="BE14" s="23">
        <v>0.70588235294117652</v>
      </c>
      <c r="BF14" s="23">
        <v>0.5</v>
      </c>
      <c r="BG14" s="23">
        <v>0.66666666666666663</v>
      </c>
      <c r="BH14" s="23">
        <v>0.78666666666666663</v>
      </c>
      <c r="BK14" s="23">
        <v>0.10526315789473684</v>
      </c>
      <c r="BL14" s="23">
        <v>2.8708133971291867E-2</v>
      </c>
      <c r="BM14" s="23">
        <v>0.24401913875598086</v>
      </c>
      <c r="BN14" s="23">
        <v>0.62200956937799046</v>
      </c>
      <c r="BR14" s="23">
        <v>0.61240310077519378</v>
      </c>
      <c r="BS14" s="23">
        <v>0.51415094339622647</v>
      </c>
      <c r="BT14" s="23">
        <v>0.71299871299871298</v>
      </c>
      <c r="BU14" s="23">
        <v>0.625</v>
      </c>
      <c r="BV14" s="23">
        <v>0.62686567164179108</v>
      </c>
      <c r="BW14" s="23">
        <v>0.17142857142857143</v>
      </c>
      <c r="CA14" s="23">
        <v>0.53846153846153844</v>
      </c>
      <c r="CB14" s="23">
        <v>0.6622950819672131</v>
      </c>
      <c r="CC14" s="23">
        <v>0.73584905660377353</v>
      </c>
      <c r="CD14" s="23">
        <v>0.67399267399267404</v>
      </c>
      <c r="CE14" s="23">
        <v>0.60633484162895923</v>
      </c>
      <c r="CF14" s="23">
        <v>0.62184873949579833</v>
      </c>
      <c r="CK14" s="23">
        <v>1.3215859030837005E-2</v>
      </c>
      <c r="CL14" s="23">
        <v>9.9009900990099015E-2</v>
      </c>
      <c r="CM14" s="23">
        <v>0.26923076923076922</v>
      </c>
      <c r="CN14" s="23">
        <v>0.25714285714285712</v>
      </c>
      <c r="CO14" s="23">
        <v>0.4935064935064935</v>
      </c>
      <c r="CP14" s="23">
        <v>0.35294117647058826</v>
      </c>
      <c r="CS14" s="32"/>
      <c r="CT14" s="16"/>
      <c r="CU14" s="16">
        <v>0.20366737402847843</v>
      </c>
      <c r="CV14" s="16">
        <v>0.51784141199401212</v>
      </c>
      <c r="CW14" s="16">
        <v>0.50352077727130351</v>
      </c>
      <c r="CX14" s="16">
        <v>0.42163326346804381</v>
      </c>
      <c r="CY14" s="16">
        <v>0.36703816251465066</v>
      </c>
      <c r="CZ14" s="16">
        <v>0.22193108169270248</v>
      </c>
    </row>
    <row r="15" spans="1:104" x14ac:dyDescent="0.25">
      <c r="C15" s="21">
        <v>33.613445378151262</v>
      </c>
      <c r="D15" s="21">
        <v>37.151702786377712</v>
      </c>
      <c r="E15" s="21">
        <v>63.18681318681319</v>
      </c>
      <c r="F15" s="21">
        <v>32.258064516129032</v>
      </c>
      <c r="G15" s="21">
        <v>20.066889632107024</v>
      </c>
      <c r="H15" s="21">
        <v>7.0175438596491224</v>
      </c>
      <c r="K15" s="23">
        <v>0</v>
      </c>
      <c r="L15" s="23">
        <v>5</v>
      </c>
      <c r="M15" s="23">
        <v>9.0301003344481607</v>
      </c>
      <c r="N15" s="23">
        <v>4.1666666666666661</v>
      </c>
      <c r="O15" s="23">
        <v>0</v>
      </c>
      <c r="P15" s="23">
        <v>20.858895705521473</v>
      </c>
      <c r="Q15" s="23">
        <v>21.666666666666668</v>
      </c>
      <c r="R15" s="23">
        <v>19.35483870967742</v>
      </c>
      <c r="V15" s="23">
        <v>0.20250000000000001</v>
      </c>
      <c r="W15" s="23">
        <v>0.2145</v>
      </c>
      <c r="X15" s="23">
        <v>0.38800000000000001</v>
      </c>
      <c r="Y15" s="23">
        <v>0.1235</v>
      </c>
      <c r="Z15" s="23">
        <v>3.1E-2</v>
      </c>
      <c r="AA15" s="23">
        <v>4.0500000000000001E-2</v>
      </c>
      <c r="AE15" s="23">
        <v>3.3613445378151259E-2</v>
      </c>
      <c r="AF15" s="23">
        <v>6.1919504643962849E-2</v>
      </c>
      <c r="AG15" s="23">
        <v>6.043956043956044E-2</v>
      </c>
      <c r="AH15" s="23">
        <v>4.3010752688172046E-2</v>
      </c>
      <c r="AI15" s="23">
        <v>3.0100334448160536E-2</v>
      </c>
      <c r="AJ15" s="23">
        <v>7.0175438596491229E-3</v>
      </c>
      <c r="AO15" s="23">
        <v>5.8309037900874635E-3</v>
      </c>
      <c r="AP15" s="23">
        <v>1.7241379310344827E-2</v>
      </c>
      <c r="AQ15" s="23">
        <v>6.5573770491803282E-2</v>
      </c>
      <c r="AR15" s="23">
        <v>8.0459770114942528E-2</v>
      </c>
      <c r="AS15" s="23">
        <v>3.1578947368421054E-2</v>
      </c>
      <c r="AT15" s="23">
        <v>0.08</v>
      </c>
      <c r="AU15" s="23">
        <v>4.2272126816380449E-2</v>
      </c>
      <c r="AW15" s="100">
        <v>81</v>
      </c>
      <c r="AX15" s="100">
        <v>32</v>
      </c>
      <c r="BB15" s="23">
        <v>0.77777777777777779</v>
      </c>
      <c r="BC15" s="23">
        <v>0.84210526315789469</v>
      </c>
      <c r="BD15" s="23">
        <v>0.66666666666666663</v>
      </c>
      <c r="BE15" s="23">
        <v>0.69230769230769229</v>
      </c>
      <c r="BF15" s="23">
        <v>0.66666666666666663</v>
      </c>
      <c r="BG15" s="23">
        <v>0</v>
      </c>
      <c r="BH15" s="23">
        <v>0.73015873015873012</v>
      </c>
      <c r="BK15" s="23">
        <v>0.10852713178294573</v>
      </c>
      <c r="BL15" s="23">
        <v>4.6511627906976744E-2</v>
      </c>
      <c r="BM15" s="23">
        <v>0.36434108527131781</v>
      </c>
      <c r="BN15" s="23">
        <v>0.48062015503875971</v>
      </c>
      <c r="BR15" s="23">
        <v>0.61975308641975313</v>
      </c>
      <c r="BS15" s="23">
        <v>0.50815850815850816</v>
      </c>
      <c r="BT15" s="23">
        <v>0.72164948453608246</v>
      </c>
      <c r="BU15" s="23">
        <v>0.61943319838056676</v>
      </c>
      <c r="BV15" s="23">
        <v>0.56451612903225812</v>
      </c>
      <c r="BW15" s="23">
        <v>0.1111111111111111</v>
      </c>
      <c r="CA15" s="23">
        <v>0.51311953352769679</v>
      </c>
      <c r="CB15" s="23">
        <v>0.69655172413793098</v>
      </c>
      <c r="CC15" s="23">
        <v>0.67868852459016393</v>
      </c>
      <c r="CD15" s="23">
        <v>0.68582375478927204</v>
      </c>
      <c r="CE15" s="23">
        <v>0.65789473684210531</v>
      </c>
      <c r="CF15" s="23">
        <v>0.61599999999999999</v>
      </c>
      <c r="CK15" s="23">
        <v>2.8806584362139918E-2</v>
      </c>
      <c r="CL15" s="23">
        <v>0.11235955056179775</v>
      </c>
      <c r="CM15" s="23">
        <v>0.31578947368421051</v>
      </c>
      <c r="CN15" s="23">
        <v>0.38750000000000001</v>
      </c>
      <c r="CO15" s="23">
        <v>0.26760563380281688</v>
      </c>
      <c r="CP15" s="23">
        <v>0.26530612244897961</v>
      </c>
      <c r="CS15" s="32"/>
      <c r="CT15" s="16"/>
      <c r="CU15" s="16">
        <v>0.1263493974848087</v>
      </c>
      <c r="CV15" s="16">
        <v>0.15566502135383292</v>
      </c>
      <c r="CW15" s="16">
        <v>0.1458623997788013</v>
      </c>
      <c r="CX15" s="16">
        <v>0.15032287156084378</v>
      </c>
      <c r="CY15" s="16">
        <v>0.1124557836922451</v>
      </c>
      <c r="CZ15" s="16">
        <v>8.9296313942321737E-2</v>
      </c>
    </row>
    <row r="16" spans="1:104" x14ac:dyDescent="0.25">
      <c r="C16" s="21">
        <v>22.408963585434172</v>
      </c>
      <c r="D16" s="21">
        <v>52.795031055900623</v>
      </c>
      <c r="E16" s="21">
        <v>81.743869209809262</v>
      </c>
      <c r="F16" s="21">
        <v>49.04632152588556</v>
      </c>
      <c r="G16" s="21">
        <v>19.292604501607716</v>
      </c>
      <c r="H16" s="21">
        <v>7.2463768115942031</v>
      </c>
      <c r="K16" s="23">
        <v>0</v>
      </c>
      <c r="L16" s="23">
        <v>5.7142857142857144</v>
      </c>
      <c r="M16" s="23">
        <v>7.5342465753424657</v>
      </c>
      <c r="N16" s="23">
        <v>8.3333333333333321</v>
      </c>
      <c r="O16" s="23">
        <v>0</v>
      </c>
      <c r="P16" s="23">
        <v>16.93121693121693</v>
      </c>
      <c r="Q16" s="23">
        <v>22.413793103448278</v>
      </c>
      <c r="R16" s="23">
        <v>7.4074074074074066</v>
      </c>
      <c r="V16" s="23">
        <v>0.20200000000000001</v>
      </c>
      <c r="W16" s="23">
        <v>0.2155</v>
      </c>
      <c r="X16" s="23">
        <v>0.36399999999999999</v>
      </c>
      <c r="Y16" s="23">
        <v>0.14949999999999999</v>
      </c>
      <c r="Z16" s="23">
        <v>2.9000000000000001E-2</v>
      </c>
      <c r="AA16" s="23">
        <v>0.04</v>
      </c>
      <c r="AE16" s="23">
        <v>4.2016806722689079E-2</v>
      </c>
      <c r="AF16" s="23">
        <v>6.5217391304347824E-2</v>
      </c>
      <c r="AG16" s="23">
        <v>5.7220708446866483E-2</v>
      </c>
      <c r="AH16" s="23">
        <v>4.9046321525885561E-2</v>
      </c>
      <c r="AI16" s="23">
        <v>1.2861736334405145E-2</v>
      </c>
      <c r="AJ16" s="23">
        <v>3.6231884057971015E-3</v>
      </c>
      <c r="AO16" s="23">
        <v>1.1764705882352941E-2</v>
      </c>
      <c r="AP16" s="23">
        <v>4.1379310344827586E-2</v>
      </c>
      <c r="AQ16" s="23">
        <v>6.7567567567567571E-2</v>
      </c>
      <c r="AR16" s="23">
        <v>4.7058823529411764E-2</v>
      </c>
      <c r="AS16" s="23">
        <v>9.405940594059406E-2</v>
      </c>
      <c r="AT16" s="23">
        <v>0.13533834586466165</v>
      </c>
      <c r="AU16" s="23">
        <v>5.6068601583113456E-2</v>
      </c>
      <c r="AW16" s="100">
        <v>80</v>
      </c>
      <c r="AX16" s="100">
        <v>42.5</v>
      </c>
      <c r="BB16" s="23">
        <v>0.69230769230769229</v>
      </c>
      <c r="BC16" s="23">
        <v>0.85</v>
      </c>
      <c r="BD16" s="23">
        <v>0.73684210526315785</v>
      </c>
      <c r="BE16" s="23">
        <v>0.72727272727272729</v>
      </c>
      <c r="BF16" s="23">
        <v>1</v>
      </c>
      <c r="BG16" s="23">
        <v>1</v>
      </c>
      <c r="BH16" s="23">
        <v>0.77611940298507465</v>
      </c>
      <c r="BK16" s="23">
        <v>0.17006802721088435</v>
      </c>
      <c r="BL16" s="23">
        <v>5.4421768707482991E-2</v>
      </c>
      <c r="BM16" s="23">
        <v>0.23809523809523808</v>
      </c>
      <c r="BN16" s="23">
        <v>0.5374149659863946</v>
      </c>
      <c r="BR16" s="23">
        <v>0.61138613861386137</v>
      </c>
      <c r="BS16" s="23">
        <v>0.51508120649651967</v>
      </c>
      <c r="BT16" s="23">
        <v>0.73351648351648346</v>
      </c>
      <c r="BU16" s="23">
        <v>0.59531772575250841</v>
      </c>
      <c r="BV16" s="23">
        <v>0.72413793103448276</v>
      </c>
      <c r="BW16" s="23">
        <v>0.13750000000000001</v>
      </c>
      <c r="CA16" s="23">
        <v>0.52058823529411768</v>
      </c>
      <c r="CB16" s="23">
        <v>0.67931034482758623</v>
      </c>
      <c r="CC16" s="23">
        <v>0.70945945945945943</v>
      </c>
      <c r="CD16" s="23">
        <v>0.69803921568627447</v>
      </c>
      <c r="CE16" s="23">
        <v>0.61386138613861385</v>
      </c>
      <c r="CF16" s="23">
        <v>0.67669172932330823</v>
      </c>
      <c r="CK16" s="23">
        <v>1.6597510373443983E-2</v>
      </c>
      <c r="CL16" s="23">
        <v>0.16071428571428573</v>
      </c>
      <c r="CM16" s="23">
        <v>0.29347826086956524</v>
      </c>
      <c r="CN16" s="23">
        <v>0.2696629213483146</v>
      </c>
      <c r="CO16" s="23">
        <v>0.44444444444444442</v>
      </c>
      <c r="CP16" s="23">
        <v>0.39215686274509803</v>
      </c>
      <c r="CS16" s="32"/>
      <c r="CT16" s="16"/>
      <c r="CU16" s="16">
        <v>3.9217724163980323E-4</v>
      </c>
      <c r="CV16" s="16">
        <v>1.3633951170857328E-2</v>
      </c>
      <c r="CW16" s="16">
        <v>3.7103532524291633E-2</v>
      </c>
      <c r="CX16" s="16">
        <v>4.5352390764179192E-2</v>
      </c>
      <c r="CY16" s="16">
        <v>5.8101945137225171E-2</v>
      </c>
      <c r="CZ16" s="16">
        <v>3.122557084133671E-2</v>
      </c>
    </row>
    <row r="17" spans="3:104" x14ac:dyDescent="0.25">
      <c r="C17" s="21">
        <v>24.52316076294278</v>
      </c>
      <c r="D17" s="21">
        <v>67.605633802816897</v>
      </c>
      <c r="E17" s="21">
        <v>59.322033898305087</v>
      </c>
      <c r="F17" s="21">
        <v>45.714285714285715</v>
      </c>
      <c r="G17" s="21">
        <v>26.755852842809364</v>
      </c>
      <c r="H17" s="21">
        <v>0</v>
      </c>
      <c r="K17" s="23">
        <v>0</v>
      </c>
      <c r="L17" s="23">
        <v>5.5555555555555554</v>
      </c>
      <c r="M17" s="23">
        <v>7.7441077441077439</v>
      </c>
      <c r="N17" s="23">
        <v>4</v>
      </c>
      <c r="O17" s="23">
        <v>0.51020408163265307</v>
      </c>
      <c r="P17" s="23">
        <v>17.419354838709676</v>
      </c>
      <c r="Q17" s="23">
        <v>20.689655172413794</v>
      </c>
      <c r="R17" s="23">
        <v>6.0606060606060606</v>
      </c>
      <c r="V17" s="23">
        <v>0.19500000000000001</v>
      </c>
      <c r="W17" s="23">
        <v>0.21249999999999999</v>
      </c>
      <c r="X17" s="23">
        <v>0.376</v>
      </c>
      <c r="Y17" s="23">
        <v>0.14349999999999999</v>
      </c>
      <c r="Z17" s="23">
        <v>3.0499999999999999E-2</v>
      </c>
      <c r="AA17" s="23">
        <v>4.2500000000000003E-2</v>
      </c>
      <c r="AE17" s="23">
        <v>2.7247956403269755E-2</v>
      </c>
      <c r="AF17" s="23">
        <v>7.605633802816901E-2</v>
      </c>
      <c r="AG17" s="23">
        <v>7.6271186440677971E-2</v>
      </c>
      <c r="AH17" s="23">
        <v>3.7142857142857144E-2</v>
      </c>
      <c r="AI17" s="23">
        <v>1.6722408026755852E-2</v>
      </c>
      <c r="AJ17" s="23">
        <v>1.090909090909091E-2</v>
      </c>
      <c r="AO17" s="23">
        <v>8.5470085470085479E-3</v>
      </c>
      <c r="AP17" s="23">
        <v>2.2151898734177215E-2</v>
      </c>
      <c r="AQ17" s="23">
        <v>6.1643835616438353E-2</v>
      </c>
      <c r="AR17" s="23">
        <v>9.2741935483870969E-2</v>
      </c>
      <c r="AS17" s="23">
        <v>7.9601990049751242E-2</v>
      </c>
      <c r="AT17" s="23">
        <v>5.9829059829059832E-2</v>
      </c>
      <c r="AU17" s="23">
        <v>4.8524590163934428E-2</v>
      </c>
      <c r="AW17" s="100">
        <v>85</v>
      </c>
      <c r="AX17" s="100">
        <v>37</v>
      </c>
      <c r="BB17" s="23">
        <v>0.66666666666666663</v>
      </c>
      <c r="BC17" s="23">
        <v>1</v>
      </c>
      <c r="BD17" s="23">
        <v>0.77777777777777779</v>
      </c>
      <c r="BE17" s="23">
        <v>0.875</v>
      </c>
      <c r="BF17" s="23">
        <v>0.75</v>
      </c>
      <c r="BG17" s="23">
        <v>1</v>
      </c>
      <c r="BH17" s="23">
        <v>0.86440677966101698</v>
      </c>
      <c r="BK17" s="23">
        <v>0.1858974358974359</v>
      </c>
      <c r="BL17" s="23">
        <v>6.4102564102564097E-2</v>
      </c>
      <c r="BM17" s="23">
        <v>0.20512820512820512</v>
      </c>
      <c r="BN17" s="23">
        <v>0.54487179487179482</v>
      </c>
      <c r="BR17" s="23">
        <v>0.58974358974358976</v>
      </c>
      <c r="BS17" s="23">
        <v>0.4823529411764706</v>
      </c>
      <c r="BT17" s="23">
        <v>0.69148936170212771</v>
      </c>
      <c r="BU17" s="23">
        <v>0.56445993031358888</v>
      </c>
      <c r="BV17" s="23">
        <v>0.68852459016393441</v>
      </c>
      <c r="BW17" s="23">
        <v>0.18823529411764706</v>
      </c>
      <c r="CA17" s="23">
        <v>0.50997150997150997</v>
      </c>
      <c r="CB17" s="23">
        <v>0.62341772151898733</v>
      </c>
      <c r="CC17" s="23">
        <v>0.69178082191780821</v>
      </c>
      <c r="CD17" s="23">
        <v>0.66532258064516125</v>
      </c>
      <c r="CE17" s="23">
        <v>0.59701492537313428</v>
      </c>
      <c r="CF17" s="23">
        <v>0.5641025641025641</v>
      </c>
      <c r="CK17" s="23">
        <v>2.3166023166023165E-2</v>
      </c>
      <c r="CL17" s="23">
        <v>0.14285714285714285</v>
      </c>
      <c r="CM17" s="23">
        <v>0.35802469135802467</v>
      </c>
      <c r="CN17" s="23">
        <v>0.46052631578947367</v>
      </c>
      <c r="CO17" s="23">
        <v>0.33333333333333331</v>
      </c>
      <c r="CP17" s="23">
        <v>0.27906976744186046</v>
      </c>
      <c r="CS17" s="46"/>
      <c r="CT17" s="18"/>
      <c r="CU17" s="18">
        <v>3.4925577134128478E-2</v>
      </c>
      <c r="CV17" s="18">
        <v>6.71741466487666E-2</v>
      </c>
      <c r="CW17" s="18">
        <v>7.1035705068505955E-2</v>
      </c>
      <c r="CX17" s="18">
        <v>5.6671712658381453E-2</v>
      </c>
      <c r="CY17" s="18">
        <v>2.2083641927966576E-2</v>
      </c>
      <c r="CZ17" s="18">
        <v>2.6962105853863619E-3</v>
      </c>
    </row>
    <row r="18" spans="3:104" x14ac:dyDescent="0.25">
      <c r="C18" s="21">
        <v>36.619718309859152</v>
      </c>
      <c r="D18" s="21">
        <v>47.770700636942678</v>
      </c>
      <c r="E18" s="21">
        <v>69.444444444444443</v>
      </c>
      <c r="F18" s="21">
        <v>55.865921787709496</v>
      </c>
      <c r="G18" s="21">
        <v>15.337423312883436</v>
      </c>
      <c r="H18" s="21">
        <v>10.452961672473867</v>
      </c>
      <c r="K18" s="23">
        <v>0</v>
      </c>
      <c r="L18" s="23">
        <v>7.4626865671641784</v>
      </c>
      <c r="M18" s="23">
        <v>6.9767441860465116</v>
      </c>
      <c r="N18" s="23">
        <v>14.285714285714285</v>
      </c>
      <c r="O18" s="23">
        <v>0</v>
      </c>
      <c r="P18" s="23">
        <v>14.76510067114094</v>
      </c>
      <c r="Q18" s="23">
        <v>24.193548387096776</v>
      </c>
      <c r="R18" s="23">
        <v>12.121212121212121</v>
      </c>
      <c r="V18" s="23">
        <v>0.21049999999999999</v>
      </c>
      <c r="W18" s="23">
        <v>0.20649999999999999</v>
      </c>
      <c r="X18" s="23">
        <v>0.38</v>
      </c>
      <c r="Y18" s="23">
        <v>0.13300000000000001</v>
      </c>
      <c r="Z18" s="23">
        <v>2.5499999999999998E-2</v>
      </c>
      <c r="AA18" s="23">
        <v>4.4499999999999998E-2</v>
      </c>
      <c r="AE18" s="23">
        <v>2.8169014084507043E-2</v>
      </c>
      <c r="AF18" s="23">
        <v>8.598726114649681E-2</v>
      </c>
      <c r="AG18" s="23">
        <v>8.8888888888888892E-2</v>
      </c>
      <c r="AH18" s="23">
        <v>4.189944134078212E-2</v>
      </c>
      <c r="AI18" s="23">
        <v>1.5337423312883436E-2</v>
      </c>
      <c r="AJ18" s="23">
        <v>0</v>
      </c>
      <c r="AO18" s="23">
        <v>5.9171597633136093E-3</v>
      </c>
      <c r="AP18" s="23">
        <v>3.6231884057971016E-2</v>
      </c>
      <c r="AQ18" s="23">
        <v>4.4827586206896551E-2</v>
      </c>
      <c r="AR18" s="23">
        <v>6.25E-2</v>
      </c>
      <c r="AS18" s="23">
        <v>6.3414634146341464E-2</v>
      </c>
      <c r="AT18" s="23">
        <v>8.7999999999999995E-2</v>
      </c>
      <c r="AU18" s="23">
        <v>4.3624161073825503E-2</v>
      </c>
      <c r="AW18" s="100">
        <v>89</v>
      </c>
      <c r="AX18" s="100">
        <v>32.5</v>
      </c>
      <c r="BB18" s="23">
        <v>0.875</v>
      </c>
      <c r="BC18" s="23">
        <v>0.83333333333333337</v>
      </c>
      <c r="BD18" s="23">
        <v>0.85</v>
      </c>
      <c r="BE18" s="23">
        <v>0.83333333333333337</v>
      </c>
      <c r="BF18" s="23">
        <v>0</v>
      </c>
      <c r="BH18" s="23">
        <v>0.81666666666666665</v>
      </c>
      <c r="BK18" s="23">
        <v>0.10948905109489052</v>
      </c>
      <c r="BL18" s="23">
        <v>9.4890510948905105E-2</v>
      </c>
      <c r="BM18" s="23">
        <v>0.21167883211678831</v>
      </c>
      <c r="BN18" s="23">
        <v>0.58394160583941601</v>
      </c>
      <c r="BR18" s="23">
        <v>0.6104513064133017</v>
      </c>
      <c r="BS18" s="23">
        <v>0.50363196125907994</v>
      </c>
      <c r="BT18" s="23">
        <v>0.72368421052631582</v>
      </c>
      <c r="BU18" s="23">
        <v>0.61654135338345861</v>
      </c>
      <c r="BV18" s="23">
        <v>0.66666666666666663</v>
      </c>
      <c r="BW18" s="23">
        <v>0.12359550561797752</v>
      </c>
      <c r="CA18" s="23">
        <v>0.52662721893491127</v>
      </c>
      <c r="CB18" s="23">
        <v>0.67753623188405798</v>
      </c>
      <c r="CC18" s="23">
        <v>0.73103448275862071</v>
      </c>
      <c r="CD18" s="23">
        <v>0.68359375</v>
      </c>
      <c r="CE18" s="23">
        <v>0.59024390243902436</v>
      </c>
      <c r="CF18" s="23">
        <v>0.66400000000000003</v>
      </c>
      <c r="CK18" s="23">
        <v>1.6877637130801686E-2</v>
      </c>
      <c r="CL18" s="23">
        <v>0.19148936170212766</v>
      </c>
      <c r="CM18" s="23">
        <v>0.25609756097560976</v>
      </c>
      <c r="CN18" s="23">
        <v>0.3108108108108108</v>
      </c>
      <c r="CO18" s="23">
        <v>0.375</v>
      </c>
      <c r="CP18" s="23">
        <v>0.32692307692307693</v>
      </c>
    </row>
    <row r="19" spans="3:104" x14ac:dyDescent="0.25">
      <c r="C19" s="21">
        <v>24.193548387096776</v>
      </c>
      <c r="D19" s="21">
        <v>46.511627906976742</v>
      </c>
      <c r="E19" s="21">
        <v>94.444444444444443</v>
      </c>
      <c r="F19" s="21">
        <v>55.072463768115945</v>
      </c>
      <c r="G19" s="21">
        <v>23.48993288590604</v>
      </c>
      <c r="H19" s="21">
        <v>3.5587188612099645</v>
      </c>
      <c r="K19" s="23">
        <v>0</v>
      </c>
      <c r="L19" s="23">
        <v>2.5974025974025974</v>
      </c>
      <c r="M19" s="23">
        <v>12.307692307692308</v>
      </c>
      <c r="N19" s="23">
        <v>8</v>
      </c>
      <c r="O19" s="23">
        <v>0</v>
      </c>
      <c r="P19" s="23">
        <v>20.945945945945947</v>
      </c>
      <c r="Q19" s="23">
        <v>20.967741935483872</v>
      </c>
      <c r="R19" s="23">
        <v>10.714285714285714</v>
      </c>
      <c r="V19" s="23">
        <v>0.1905</v>
      </c>
      <c r="W19" s="23">
        <v>0.215</v>
      </c>
      <c r="X19" s="23">
        <v>0.3695</v>
      </c>
      <c r="Y19" s="23">
        <v>0.14549999999999999</v>
      </c>
      <c r="Z19" s="23">
        <v>3.5000000000000003E-2</v>
      </c>
      <c r="AA19" s="23">
        <v>4.4499999999999998E-2</v>
      </c>
      <c r="AE19" s="23">
        <v>3.7634408602150539E-2</v>
      </c>
      <c r="AF19" s="23">
        <v>7.8488372093023256E-2</v>
      </c>
      <c r="AG19" s="23">
        <v>5.2777777777777778E-2</v>
      </c>
      <c r="AH19" s="23">
        <v>6.0869565217391307E-2</v>
      </c>
      <c r="AI19" s="23">
        <v>2.3489932885906041E-2</v>
      </c>
      <c r="AJ19" s="23">
        <v>3.5587188612099642E-3</v>
      </c>
      <c r="AO19" s="23">
        <v>8.5227272727272721E-3</v>
      </c>
      <c r="AP19" s="23">
        <v>4.1800643086816719E-2</v>
      </c>
      <c r="AQ19" s="23">
        <v>5.2631578947368418E-2</v>
      </c>
      <c r="AR19" s="23">
        <v>6.4777327935222673E-2</v>
      </c>
      <c r="AS19" s="23">
        <v>7.7319587628865982E-2</v>
      </c>
      <c r="AT19" s="23">
        <v>7.3770491803278687E-2</v>
      </c>
      <c r="AU19" s="23">
        <v>4.7058823529411764E-2</v>
      </c>
      <c r="AW19" s="100">
        <v>89</v>
      </c>
      <c r="AX19" s="100">
        <v>36</v>
      </c>
      <c r="BB19" s="23">
        <v>0.6428571428571429</v>
      </c>
      <c r="BC19" s="23">
        <v>0.94117647058823528</v>
      </c>
      <c r="BD19" s="23">
        <v>0.7857142857142857</v>
      </c>
      <c r="BE19" s="23">
        <v>0.8125</v>
      </c>
      <c r="BF19" s="23">
        <v>0.66666666666666663</v>
      </c>
      <c r="BG19" s="23">
        <v>0</v>
      </c>
      <c r="BH19" s="23">
        <v>0.7846153846153846</v>
      </c>
      <c r="BK19" s="23">
        <v>9.7142857142857142E-2</v>
      </c>
      <c r="BL19" s="23">
        <v>1.7142857142857144E-2</v>
      </c>
      <c r="BM19" s="23">
        <v>0.25142857142857145</v>
      </c>
      <c r="BN19" s="23">
        <v>0.63428571428571423</v>
      </c>
      <c r="BR19" s="23">
        <v>0.62467191601049865</v>
      </c>
      <c r="BS19" s="23">
        <v>0.48604651162790696</v>
      </c>
      <c r="BT19" s="23">
        <v>0.74424898511502025</v>
      </c>
      <c r="BU19" s="23">
        <v>0.58762886597938147</v>
      </c>
      <c r="BV19" s="23">
        <v>0.6428571428571429</v>
      </c>
      <c r="BW19" s="23">
        <v>0.14606741573033707</v>
      </c>
      <c r="CA19" s="23">
        <v>0.53693181818181823</v>
      </c>
      <c r="CB19" s="23">
        <v>0.68488745980707399</v>
      </c>
      <c r="CC19" s="23">
        <v>0.71381578947368418</v>
      </c>
      <c r="CD19" s="23">
        <v>0.66801619433198378</v>
      </c>
      <c r="CE19" s="23">
        <v>0.61855670103092786</v>
      </c>
      <c r="CF19" s="23">
        <v>0.58196721311475408</v>
      </c>
      <c r="CK19" s="23">
        <v>2.3809523809523808E-2</v>
      </c>
      <c r="CL19" s="23">
        <v>0.21428571428571427</v>
      </c>
      <c r="CM19" s="23">
        <v>0.22222222222222221</v>
      </c>
      <c r="CN19" s="23">
        <v>0.35616438356164382</v>
      </c>
      <c r="CO19" s="23">
        <v>0.36764705882352944</v>
      </c>
      <c r="CP19" s="23">
        <v>0.33333333333333331</v>
      </c>
    </row>
    <row r="20" spans="3:104" x14ac:dyDescent="0.25">
      <c r="C20" s="21">
        <v>49.586776859504134</v>
      </c>
      <c r="D20" s="21">
        <v>87.323943661971825</v>
      </c>
      <c r="E20" s="21">
        <v>70.496083550913838</v>
      </c>
      <c r="F20" s="21">
        <v>76.271186440677965</v>
      </c>
      <c r="G20" s="21">
        <v>14.336917562724015</v>
      </c>
      <c r="H20" s="21">
        <v>0</v>
      </c>
      <c r="K20" s="23">
        <v>0</v>
      </c>
      <c r="L20" s="23">
        <v>3.3333333333333335</v>
      </c>
      <c r="M20" s="23">
        <v>13.414634146341465</v>
      </c>
      <c r="N20" s="23">
        <v>3.0303030303030303</v>
      </c>
      <c r="O20" s="23">
        <v>0.54054054054054057</v>
      </c>
      <c r="P20" s="23">
        <v>15</v>
      </c>
      <c r="Q20" s="23">
        <v>29.411764705882355</v>
      </c>
      <c r="R20" s="23">
        <v>18.181818181818183</v>
      </c>
      <c r="V20" s="23">
        <v>0.19850000000000001</v>
      </c>
      <c r="W20" s="23">
        <v>0.217</v>
      </c>
      <c r="X20" s="23">
        <v>0.3765</v>
      </c>
      <c r="Y20" s="23">
        <v>0.126</v>
      </c>
      <c r="Z20" s="23">
        <v>3.3500000000000002E-2</v>
      </c>
      <c r="AA20" s="23">
        <v>4.8500000000000001E-2</v>
      </c>
      <c r="AE20" s="23">
        <v>4.4077134986225897E-2</v>
      </c>
      <c r="AF20" s="23">
        <v>6.1971830985915494E-2</v>
      </c>
      <c r="AG20" s="23">
        <v>7.5718015665796348E-2</v>
      </c>
      <c r="AH20" s="23">
        <v>5.9322033898305086E-2</v>
      </c>
      <c r="AI20" s="23">
        <v>2.5089605734767026E-2</v>
      </c>
      <c r="AJ20" s="23">
        <v>7.5187969924812026E-3</v>
      </c>
      <c r="AO20" s="23">
        <v>5.8479532163742687E-3</v>
      </c>
      <c r="AP20" s="23">
        <v>4.1139240506329111E-2</v>
      </c>
      <c r="AQ20" s="23">
        <v>8.3056478405315617E-2</v>
      </c>
      <c r="AR20" s="23">
        <v>6.0728744939271252E-2</v>
      </c>
      <c r="AS20" s="23">
        <v>4.8128342245989303E-2</v>
      </c>
      <c r="AT20" s="23">
        <v>6.1946902654867256E-2</v>
      </c>
      <c r="AU20" s="23">
        <v>4.7144754316069057E-2</v>
      </c>
      <c r="AW20" s="100">
        <v>97</v>
      </c>
      <c r="AX20" s="100">
        <v>35.5</v>
      </c>
      <c r="BB20" s="23">
        <v>0.58823529411764708</v>
      </c>
      <c r="BC20" s="23">
        <v>0.75</v>
      </c>
      <c r="BD20" s="23">
        <v>0.86956521739130432</v>
      </c>
      <c r="BE20" s="23">
        <v>0.93333333333333335</v>
      </c>
      <c r="BF20" s="23">
        <v>0.66666666666666663</v>
      </c>
      <c r="BG20" s="23">
        <v>1</v>
      </c>
      <c r="BH20" s="23">
        <v>0.78205128205128205</v>
      </c>
      <c r="BK20" s="23">
        <v>0.17346938775510204</v>
      </c>
      <c r="BL20" s="23">
        <v>4.5918367346938778E-2</v>
      </c>
      <c r="BM20" s="23">
        <v>0.21938775510204081</v>
      </c>
      <c r="BN20" s="23">
        <v>0.56122448979591832</v>
      </c>
      <c r="BR20" s="23">
        <v>0.60957178841309823</v>
      </c>
      <c r="BS20" s="23">
        <v>0.51843317972350234</v>
      </c>
      <c r="BT20" s="23">
        <v>0.71580345285524571</v>
      </c>
      <c r="BU20" s="23">
        <v>0.60317460317460314</v>
      </c>
      <c r="BV20" s="23">
        <v>0.58208955223880599</v>
      </c>
      <c r="BW20" s="23">
        <v>0.16494845360824742</v>
      </c>
      <c r="CA20" s="23">
        <v>0.53801169590643272</v>
      </c>
      <c r="CB20" s="23">
        <v>0.71518987341772156</v>
      </c>
      <c r="CC20" s="23">
        <v>0.69767441860465118</v>
      </c>
      <c r="CD20" s="23">
        <v>0.61943319838056676</v>
      </c>
      <c r="CE20" s="23">
        <v>0.63636363636363635</v>
      </c>
      <c r="CF20" s="23">
        <v>0.55752212389380529</v>
      </c>
      <c r="CK20" s="23">
        <v>1.5936254980079681E-2</v>
      </c>
      <c r="CL20" s="23">
        <v>0.1941747572815534</v>
      </c>
      <c r="CM20" s="23">
        <v>0.30841121495327101</v>
      </c>
      <c r="CN20" s="23">
        <v>0.421875</v>
      </c>
      <c r="CO20" s="23">
        <v>0.26229508196721313</v>
      </c>
      <c r="CP20" s="23">
        <v>0.24444444444444444</v>
      </c>
    </row>
    <row r="21" spans="3:104" x14ac:dyDescent="0.25">
      <c r="C21" s="21">
        <v>32.835820895522389</v>
      </c>
      <c r="D21" s="21">
        <v>66.465256797583081</v>
      </c>
      <c r="E21" s="21">
        <v>37.234042553191486</v>
      </c>
      <c r="F21" s="21">
        <v>65.963060686015837</v>
      </c>
      <c r="G21" s="21">
        <v>16.393442622950818</v>
      </c>
      <c r="H21" s="21">
        <v>3.6496350364963503</v>
      </c>
      <c r="K21" s="23">
        <v>0</v>
      </c>
      <c r="L21" s="23">
        <v>5.7142857142857144</v>
      </c>
      <c r="M21" s="23">
        <v>6.4615384615384617</v>
      </c>
      <c r="N21" s="23">
        <v>0</v>
      </c>
      <c r="O21" s="23">
        <v>0</v>
      </c>
      <c r="P21" s="23">
        <v>22</v>
      </c>
      <c r="Q21" s="23">
        <v>15</v>
      </c>
      <c r="R21" s="23">
        <v>25</v>
      </c>
      <c r="V21" s="23">
        <v>0.19</v>
      </c>
      <c r="W21" s="23">
        <v>0.216</v>
      </c>
      <c r="X21" s="23">
        <v>0.3775</v>
      </c>
      <c r="Y21" s="23">
        <v>0.14549999999999999</v>
      </c>
      <c r="Z21" s="23">
        <v>3.5999999999999997E-2</v>
      </c>
      <c r="AA21" s="23">
        <v>3.5000000000000003E-2</v>
      </c>
      <c r="AE21" s="23">
        <v>2.0895522388059702E-2</v>
      </c>
      <c r="AF21" s="23">
        <v>5.1359516616314202E-2</v>
      </c>
      <c r="AG21" s="23">
        <v>5.8510638297872342E-2</v>
      </c>
      <c r="AH21" s="23">
        <v>3.9577836411609502E-2</v>
      </c>
      <c r="AI21" s="23">
        <v>2.9508196721311476E-2</v>
      </c>
      <c r="AJ21" s="23">
        <v>0</v>
      </c>
      <c r="AO21" s="23">
        <v>6.1919504643962852E-3</v>
      </c>
      <c r="AP21" s="23">
        <v>4.5307443365695796E-2</v>
      </c>
      <c r="AQ21" s="23">
        <v>5.0473186119873815E-2</v>
      </c>
      <c r="AR21" s="23">
        <v>6.1818181818181821E-2</v>
      </c>
      <c r="AS21" s="23">
        <v>0.13300492610837439</v>
      </c>
      <c r="AT21" s="23">
        <v>0.10569105691056911</v>
      </c>
      <c r="AU21" s="23">
        <v>5.7419354838709677E-2</v>
      </c>
      <c r="AW21" s="100">
        <v>70</v>
      </c>
      <c r="AX21" s="100">
        <v>44.5</v>
      </c>
      <c r="BB21" s="23">
        <v>0.875</v>
      </c>
      <c r="BC21" s="23">
        <v>0.8</v>
      </c>
      <c r="BD21" s="23">
        <v>0.75</v>
      </c>
      <c r="BE21" s="23">
        <v>0.61538461538461542</v>
      </c>
      <c r="BF21" s="23">
        <v>0.75</v>
      </c>
      <c r="BH21" s="23">
        <v>0.75</v>
      </c>
      <c r="BK21" s="23">
        <v>0.1411042944785276</v>
      </c>
      <c r="BL21" s="23">
        <v>6.7484662576687116E-2</v>
      </c>
      <c r="BM21" s="23">
        <v>0.19631901840490798</v>
      </c>
      <c r="BN21" s="23">
        <v>0.59509202453987731</v>
      </c>
      <c r="BR21" s="23">
        <v>0.62368421052631584</v>
      </c>
      <c r="BS21" s="23">
        <v>0.5092592592592593</v>
      </c>
      <c r="BT21" s="23">
        <v>0.69801324503311257</v>
      </c>
      <c r="BU21" s="23">
        <v>0.63917525773195871</v>
      </c>
      <c r="BV21" s="23">
        <v>0.63888888888888884</v>
      </c>
      <c r="BW21" s="23">
        <v>0.15714285714285714</v>
      </c>
      <c r="CA21" s="23">
        <v>0.52321981424148611</v>
      </c>
      <c r="CB21" s="23">
        <v>0.70226537216828477</v>
      </c>
      <c r="CC21" s="23">
        <v>0.65615141955835965</v>
      </c>
      <c r="CD21" s="23">
        <v>0.62545454545454549</v>
      </c>
      <c r="CE21" s="23">
        <v>0.6354679802955665</v>
      </c>
      <c r="CF21" s="23">
        <v>0.68292682926829273</v>
      </c>
      <c r="CK21" s="23">
        <v>2.0661157024793389E-2</v>
      </c>
      <c r="CL21" s="23">
        <v>0.15079365079365079</v>
      </c>
      <c r="CM21" s="23">
        <v>0.27272727272727271</v>
      </c>
      <c r="CN21" s="23">
        <v>0.32291666666666669</v>
      </c>
      <c r="CO21" s="23">
        <v>0.48275862068965519</v>
      </c>
      <c r="CP21" s="23">
        <v>0.34146341463414637</v>
      </c>
    </row>
    <row r="22" spans="3:104" x14ac:dyDescent="0.25">
      <c r="C22" s="21">
        <v>36.184210526315788</v>
      </c>
      <c r="D22" s="21">
        <v>49.122807017543863</v>
      </c>
      <c r="E22" s="21">
        <v>60.606060606060609</v>
      </c>
      <c r="F22" s="21">
        <v>61.904761904761905</v>
      </c>
      <c r="G22" s="21">
        <v>15.24390243902439</v>
      </c>
      <c r="H22" s="21">
        <v>4.2735042735042734</v>
      </c>
      <c r="K22" s="23">
        <v>0</v>
      </c>
      <c r="L22" s="23">
        <v>1.5873015873015872</v>
      </c>
      <c r="M22" s="23">
        <v>11.176470588235295</v>
      </c>
      <c r="N22" s="23">
        <v>15</v>
      </c>
      <c r="O22" s="23">
        <v>0</v>
      </c>
      <c r="P22" s="23">
        <v>15.697674418604651</v>
      </c>
      <c r="Q22" s="23">
        <v>21.53846153846154</v>
      </c>
      <c r="R22" s="23">
        <v>37.142857142857146</v>
      </c>
      <c r="V22" s="23">
        <v>0.19950000000000001</v>
      </c>
      <c r="W22" s="23">
        <v>0.19650000000000001</v>
      </c>
      <c r="X22" s="23">
        <v>0.39800000000000002</v>
      </c>
      <c r="Y22" s="23">
        <v>0.1275</v>
      </c>
      <c r="Z22" s="23">
        <v>2.7E-2</v>
      </c>
      <c r="AA22" s="23">
        <v>5.1499999999999997E-2</v>
      </c>
      <c r="AE22" s="23">
        <v>3.9473684210526314E-2</v>
      </c>
      <c r="AF22" s="23">
        <v>8.0701754385964913E-2</v>
      </c>
      <c r="AG22" s="23">
        <v>7.2261072261072257E-2</v>
      </c>
      <c r="AH22" s="23">
        <v>6.9047619047619052E-2</v>
      </c>
      <c r="AI22" s="23">
        <v>2.4390243902439025E-2</v>
      </c>
      <c r="AJ22" s="23">
        <v>0</v>
      </c>
      <c r="AO22" s="23">
        <v>6.920415224913495E-3</v>
      </c>
      <c r="AP22" s="23">
        <v>3.5856573705179286E-2</v>
      </c>
      <c r="AQ22" s="23">
        <v>3.8235294117647062E-2</v>
      </c>
      <c r="AR22" s="23">
        <v>6.1889250814332247E-2</v>
      </c>
      <c r="AS22" s="23">
        <v>5.4794520547945202E-2</v>
      </c>
      <c r="AT22" s="23">
        <v>7.6086956521739135E-2</v>
      </c>
      <c r="AU22" s="23">
        <v>4.1388518024032039E-2</v>
      </c>
      <c r="AW22" s="100">
        <v>103</v>
      </c>
      <c r="AX22" s="100">
        <v>31</v>
      </c>
      <c r="BB22" s="23">
        <v>0.58333333333333337</v>
      </c>
      <c r="BC22" s="23">
        <v>0.58823529411764708</v>
      </c>
      <c r="BD22" s="23">
        <v>0.68181818181818177</v>
      </c>
      <c r="BE22" s="23">
        <v>0.63636363636363635</v>
      </c>
      <c r="BF22" s="23">
        <v>0.2857142857142857</v>
      </c>
      <c r="BH22" s="23">
        <v>0.6</v>
      </c>
      <c r="BK22" s="23">
        <v>0.12299465240641712</v>
      </c>
      <c r="BL22" s="23">
        <v>3.2085561497326207E-2</v>
      </c>
      <c r="BM22" s="23">
        <v>0.20855614973262032</v>
      </c>
      <c r="BN22" s="23">
        <v>0.63636363636363635</v>
      </c>
      <c r="BR22" s="23">
        <v>0.62406015037593987</v>
      </c>
      <c r="BS22" s="23">
        <v>0.55470737913486001</v>
      </c>
      <c r="BT22" s="23">
        <v>0.72236180904522618</v>
      </c>
      <c r="BU22" s="23">
        <v>0.63529411764705879</v>
      </c>
      <c r="BV22" s="23">
        <v>0.61111111111111116</v>
      </c>
      <c r="BW22" s="23">
        <v>6.7961165048543687E-2</v>
      </c>
      <c r="CA22" s="23">
        <v>0.58131487889273359</v>
      </c>
      <c r="CB22" s="23">
        <v>0.72509960159362552</v>
      </c>
      <c r="CC22" s="23">
        <v>0.68823529411764706</v>
      </c>
      <c r="CD22" s="23">
        <v>0.65798045602605859</v>
      </c>
      <c r="CE22" s="23">
        <v>0.63470319634703198</v>
      </c>
      <c r="CF22" s="23">
        <v>0.68478260869565222</v>
      </c>
      <c r="CK22" s="23">
        <v>1.8957345971563982E-2</v>
      </c>
      <c r="CL22" s="23">
        <v>0.17808219178082191</v>
      </c>
      <c r="CM22" s="23">
        <v>0.25</v>
      </c>
      <c r="CN22" s="23">
        <v>0.38636363636363635</v>
      </c>
      <c r="CO22" s="23">
        <v>0.31481481481481483</v>
      </c>
      <c r="CP22" s="23">
        <v>0.26470588235294118</v>
      </c>
    </row>
    <row r="23" spans="3:104" x14ac:dyDescent="0.25">
      <c r="C23" s="21">
        <v>34.858387799564269</v>
      </c>
      <c r="D23" s="21">
        <v>55.13784461152882</v>
      </c>
      <c r="E23" s="21">
        <v>70.895522388059703</v>
      </c>
      <c r="F23" s="21">
        <v>55.944055944055947</v>
      </c>
      <c r="G23" s="21">
        <v>15.037593984962406</v>
      </c>
      <c r="H23" s="21">
        <v>9.316770186335404</v>
      </c>
      <c r="K23" s="23">
        <v>0</v>
      </c>
      <c r="L23" s="23">
        <v>5.7971014492753623</v>
      </c>
      <c r="M23" s="23">
        <v>10.784313725490197</v>
      </c>
      <c r="N23" s="23">
        <v>4</v>
      </c>
      <c r="O23" s="23">
        <v>0</v>
      </c>
      <c r="P23" s="23">
        <v>18.902439024390244</v>
      </c>
      <c r="Q23" s="23">
        <v>18.96551724137931</v>
      </c>
      <c r="R23" s="23">
        <v>16.666666666666664</v>
      </c>
      <c r="V23" s="23">
        <v>0.1825</v>
      </c>
      <c r="W23" s="23">
        <v>0.2445</v>
      </c>
      <c r="X23" s="23">
        <v>0.36699999999999999</v>
      </c>
      <c r="Y23" s="23">
        <v>0.13900000000000001</v>
      </c>
      <c r="Z23" s="23">
        <v>2.1000000000000001E-2</v>
      </c>
      <c r="AA23" s="23">
        <v>4.5999999999999999E-2</v>
      </c>
      <c r="AE23" s="23">
        <v>3.9215686274509803E-2</v>
      </c>
      <c r="AF23" s="23">
        <v>7.2681704260651625E-2</v>
      </c>
      <c r="AG23" s="23">
        <v>7.0895522388059698E-2</v>
      </c>
      <c r="AH23" s="23">
        <v>4.8951048951048952E-2</v>
      </c>
      <c r="AI23" s="23">
        <v>4.1353383458646614E-2</v>
      </c>
      <c r="AJ23" s="23">
        <v>3.105590062111801E-3</v>
      </c>
      <c r="AO23" s="23">
        <v>1.3888888888888888E-2</v>
      </c>
      <c r="AP23" s="23">
        <v>4.261363636363636E-2</v>
      </c>
      <c r="AQ23" s="23">
        <v>2.7777777777777776E-2</v>
      </c>
      <c r="AR23" s="23">
        <v>4.8309178743961352E-2</v>
      </c>
      <c r="AS23" s="23">
        <v>6.4327485380116955E-2</v>
      </c>
      <c r="AT23" s="23">
        <v>9.696969696969697E-2</v>
      </c>
      <c r="AU23" s="23">
        <v>4.1477640959170448E-2</v>
      </c>
      <c r="AW23" s="100">
        <v>92</v>
      </c>
      <c r="AX23" s="100">
        <v>32</v>
      </c>
      <c r="BB23" s="23">
        <v>1</v>
      </c>
      <c r="BC23" s="23">
        <v>0.75</v>
      </c>
      <c r="BD23" s="23">
        <v>0.76923076923076927</v>
      </c>
      <c r="BE23" s="23">
        <v>0.7</v>
      </c>
      <c r="BF23" s="23">
        <v>0.42857142857142855</v>
      </c>
      <c r="BG23" s="23">
        <v>1</v>
      </c>
      <c r="BH23" s="23">
        <v>0.77049180327868849</v>
      </c>
      <c r="BK23" s="23">
        <v>5.9880239520958084E-2</v>
      </c>
      <c r="BL23" s="23">
        <v>1.7964071856287425E-2</v>
      </c>
      <c r="BM23" s="23">
        <v>0.26946107784431139</v>
      </c>
      <c r="BN23" s="23">
        <v>0.65269461077844315</v>
      </c>
      <c r="BR23" s="23">
        <v>0.61095890410958908</v>
      </c>
      <c r="BS23" s="23">
        <v>0.48670756646216767</v>
      </c>
      <c r="BT23" s="23">
        <v>0.70708446866485009</v>
      </c>
      <c r="BU23" s="23">
        <v>0.6079136690647482</v>
      </c>
      <c r="BV23" s="23">
        <v>0.69047619047619047</v>
      </c>
      <c r="BW23" s="23">
        <v>8.6956521739130432E-2</v>
      </c>
      <c r="CA23" s="23">
        <v>0.5717592592592593</v>
      </c>
      <c r="CB23" s="23">
        <v>0.68465909090909094</v>
      </c>
      <c r="CC23" s="23">
        <v>0.66203703703703709</v>
      </c>
      <c r="CD23" s="23">
        <v>0.64734299516908211</v>
      </c>
      <c r="CE23" s="23">
        <v>0.52046783625730997</v>
      </c>
      <c r="CF23" s="23">
        <v>0.61212121212121207</v>
      </c>
      <c r="CK23" s="23">
        <v>3.3333333333333333E-2</v>
      </c>
      <c r="CL23" s="23">
        <v>0.18045112781954886</v>
      </c>
      <c r="CM23" s="23">
        <v>0.21153846153846154</v>
      </c>
      <c r="CN23" s="23">
        <v>0.28125</v>
      </c>
      <c r="CO23" s="23">
        <v>0.29508196721311475</v>
      </c>
      <c r="CP23" s="23">
        <v>0.35384615384615387</v>
      </c>
    </row>
    <row r="24" spans="3:104" x14ac:dyDescent="0.25">
      <c r="C24" s="21">
        <v>34.090909090909093</v>
      </c>
      <c r="D24" s="21">
        <v>32.608695652173914</v>
      </c>
      <c r="E24" s="21">
        <v>62.189054726368163</v>
      </c>
      <c r="F24" s="21">
        <v>69.124423963133637</v>
      </c>
      <c r="G24" s="21">
        <v>16.393442622950818</v>
      </c>
      <c r="H24" s="21">
        <v>7.7519379844961236</v>
      </c>
      <c r="K24" s="23">
        <v>0</v>
      </c>
      <c r="L24" s="23">
        <v>10.526315789473683</v>
      </c>
      <c r="M24" s="23">
        <v>9.7178683385579934</v>
      </c>
      <c r="N24" s="23">
        <v>3.8461538461538463</v>
      </c>
      <c r="O24" s="23">
        <v>0</v>
      </c>
      <c r="P24" s="23">
        <v>15.723270440251572</v>
      </c>
      <c r="Q24" s="23">
        <v>18.96551724137931</v>
      </c>
      <c r="R24" s="23">
        <v>26.923076923076923</v>
      </c>
      <c r="V24" s="23">
        <v>0.224</v>
      </c>
      <c r="W24" s="23">
        <v>0.17449999999999999</v>
      </c>
      <c r="X24" s="23">
        <v>0.374</v>
      </c>
      <c r="Y24" s="23">
        <v>0.13900000000000001</v>
      </c>
      <c r="Z24" s="23">
        <v>3.95E-2</v>
      </c>
      <c r="AA24" s="23">
        <v>4.9000000000000002E-2</v>
      </c>
      <c r="AE24" s="23">
        <v>4.5454545454545456E-2</v>
      </c>
      <c r="AF24" s="23">
        <v>9.0579710144927536E-2</v>
      </c>
      <c r="AG24" s="23">
        <v>5.9701492537313432E-2</v>
      </c>
      <c r="AH24" s="23">
        <v>5.2995391705069124E-2</v>
      </c>
      <c r="AI24" s="23">
        <v>3.5519125683060107E-2</v>
      </c>
      <c r="AJ24" s="23">
        <v>3.875968992248062E-3</v>
      </c>
      <c r="AO24" s="23">
        <v>1.6064257028112448E-2</v>
      </c>
      <c r="AP24" s="23">
        <v>2.5316455696202531E-2</v>
      </c>
      <c r="AQ24" s="23">
        <v>5.7057057057057055E-2</v>
      </c>
      <c r="AR24" s="23">
        <v>8.9171974522292988E-2</v>
      </c>
      <c r="AS24" s="23">
        <v>9.6330275229357804E-2</v>
      </c>
      <c r="AT24" s="23">
        <v>4.8543689320388349E-2</v>
      </c>
      <c r="AU24" s="23">
        <v>5.7083906464924346E-2</v>
      </c>
      <c r="AW24" s="100">
        <v>98</v>
      </c>
      <c r="AX24" s="100">
        <v>41.5</v>
      </c>
      <c r="BB24" s="23">
        <v>0.90909090909090906</v>
      </c>
      <c r="BC24" s="23">
        <v>0.94117647058823528</v>
      </c>
      <c r="BD24" s="23">
        <v>0.9375</v>
      </c>
      <c r="BE24" s="23">
        <v>0.75</v>
      </c>
      <c r="BF24" s="23">
        <v>0.6</v>
      </c>
      <c r="BG24" s="23">
        <v>1</v>
      </c>
      <c r="BH24" s="23">
        <v>0.84</v>
      </c>
      <c r="BK24" s="23">
        <v>0.11170212765957446</v>
      </c>
      <c r="BL24" s="23">
        <v>4.2553191489361701E-2</v>
      </c>
      <c r="BM24" s="23">
        <v>0.26595744680851063</v>
      </c>
      <c r="BN24" s="23">
        <v>0.57978723404255317</v>
      </c>
      <c r="BR24" s="23">
        <v>0.640625</v>
      </c>
      <c r="BS24" s="23">
        <v>0.47851002865329512</v>
      </c>
      <c r="BT24" s="23">
        <v>0.73796791443850263</v>
      </c>
      <c r="BU24" s="23">
        <v>0.62230215827338131</v>
      </c>
      <c r="BV24" s="23">
        <v>0.67088607594936711</v>
      </c>
      <c r="BW24" s="23">
        <v>0.16326530612244897</v>
      </c>
      <c r="CA24" s="23">
        <v>0.51405622489959835</v>
      </c>
      <c r="CB24" s="23">
        <v>0.73839662447257381</v>
      </c>
      <c r="CC24" s="23">
        <v>0.69669669669669665</v>
      </c>
      <c r="CD24" s="23">
        <v>0.65923566878980888</v>
      </c>
      <c r="CE24" s="23">
        <v>0.63761467889908252</v>
      </c>
      <c r="CF24" s="23">
        <v>0.62135922330097082</v>
      </c>
      <c r="CK24" s="23">
        <v>3.2258064516129031E-2</v>
      </c>
      <c r="CL24" s="23">
        <v>0.16216216216216217</v>
      </c>
      <c r="CM24" s="23">
        <v>0.28282828282828282</v>
      </c>
      <c r="CN24" s="23">
        <v>0.36792452830188677</v>
      </c>
      <c r="CO24" s="23">
        <v>0.38823529411764707</v>
      </c>
      <c r="CP24" s="23">
        <v>0.37142857142857144</v>
      </c>
    </row>
    <row r="25" spans="3:104" x14ac:dyDescent="0.25">
      <c r="C25" s="21">
        <v>32.558139534883722</v>
      </c>
      <c r="D25" s="21">
        <v>44.117647058823529</v>
      </c>
      <c r="E25" s="21">
        <v>56.91056910569106</v>
      </c>
      <c r="F25" s="21">
        <v>39.603960396039604</v>
      </c>
      <c r="G25" s="21">
        <v>28.571428571428573</v>
      </c>
      <c r="H25" s="21">
        <v>10.714285714285714</v>
      </c>
      <c r="K25" s="23">
        <v>0</v>
      </c>
      <c r="L25" s="23">
        <v>13.559322033898304</v>
      </c>
      <c r="M25" s="23">
        <v>9.120521172638437</v>
      </c>
      <c r="N25" s="23">
        <v>11.428571428571429</v>
      </c>
      <c r="O25" s="23">
        <v>0</v>
      </c>
      <c r="P25" s="23">
        <v>20.930232558139537</v>
      </c>
      <c r="Q25" s="23">
        <v>22.388059701492537</v>
      </c>
      <c r="R25" s="23">
        <v>21.212121212121211</v>
      </c>
      <c r="V25" s="23">
        <v>0.17199999999999999</v>
      </c>
      <c r="W25" s="23">
        <v>0.23449999999999999</v>
      </c>
      <c r="X25" s="23">
        <v>0.3745</v>
      </c>
      <c r="Y25" s="23">
        <v>0.13800000000000001</v>
      </c>
      <c r="Z25" s="23">
        <v>2.4E-2</v>
      </c>
      <c r="AA25" s="23">
        <v>5.7000000000000002E-2</v>
      </c>
      <c r="AE25" s="23">
        <v>4.6511627906976744E-2</v>
      </c>
      <c r="AF25" s="23">
        <v>6.8627450980392163E-2</v>
      </c>
      <c r="AG25" s="23">
        <v>9.2140921409214094E-2</v>
      </c>
      <c r="AH25" s="23">
        <v>8.5808580858085806E-2</v>
      </c>
      <c r="AI25" s="23">
        <v>2.8571428571428571E-2</v>
      </c>
      <c r="AJ25" s="23">
        <v>0</v>
      </c>
      <c r="AO25" s="23">
        <v>1.7199017199017199E-2</v>
      </c>
      <c r="AP25" s="23">
        <v>3.0136986301369864E-2</v>
      </c>
      <c r="AQ25" s="23">
        <v>4.6511627906976744E-2</v>
      </c>
      <c r="AR25" s="23">
        <v>5.4726368159203981E-2</v>
      </c>
      <c r="AS25" s="23">
        <v>7.2992700729927001E-2</v>
      </c>
      <c r="AT25" s="23">
        <v>6.8702290076335881E-2</v>
      </c>
      <c r="AU25" s="23">
        <v>4.0207522697795074E-2</v>
      </c>
      <c r="AW25" s="100">
        <v>114</v>
      </c>
      <c r="AX25" s="100">
        <v>31</v>
      </c>
      <c r="BB25" s="23">
        <v>0.75</v>
      </c>
      <c r="BC25" s="23">
        <v>0.76190476190476186</v>
      </c>
      <c r="BD25" s="23">
        <v>0.83333333333333337</v>
      </c>
      <c r="BE25" s="23">
        <v>0.84210526315789469</v>
      </c>
      <c r="BF25" s="23">
        <v>0.75</v>
      </c>
      <c r="BH25" s="23">
        <v>0.79761904761904767</v>
      </c>
      <c r="BK25" s="23">
        <v>0.10752688172043011</v>
      </c>
      <c r="BL25" s="23">
        <v>8.6021505376344093E-2</v>
      </c>
      <c r="BM25" s="23">
        <v>0.33333333333333331</v>
      </c>
      <c r="BN25" s="23">
        <v>0.4731182795698925</v>
      </c>
      <c r="BR25" s="23">
        <v>0.61627906976744184</v>
      </c>
      <c r="BS25" s="23">
        <v>0.49040511727078889</v>
      </c>
      <c r="BT25" s="23">
        <v>0.72496662216288388</v>
      </c>
      <c r="BU25" s="23">
        <v>0.60869565217391308</v>
      </c>
      <c r="BV25" s="23">
        <v>0.60416666666666663</v>
      </c>
      <c r="BW25" s="23">
        <v>0.11403508771929824</v>
      </c>
      <c r="CA25" s="23">
        <v>0.50859950859950864</v>
      </c>
      <c r="CB25" s="23">
        <v>0.67671232876712328</v>
      </c>
      <c r="CC25" s="23">
        <v>0.68770764119601324</v>
      </c>
      <c r="CD25" s="23">
        <v>0.65671641791044777</v>
      </c>
      <c r="CE25" s="23">
        <v>0.66423357664233573</v>
      </c>
      <c r="CF25" s="23">
        <v>0.65648854961832059</v>
      </c>
      <c r="CK25" s="23">
        <v>0.05</v>
      </c>
      <c r="CL25" s="23">
        <v>0.13333333333333333</v>
      </c>
      <c r="CM25" s="23">
        <v>0.25925925925925924</v>
      </c>
      <c r="CN25" s="23">
        <v>0.35185185185185186</v>
      </c>
      <c r="CO25" s="23">
        <v>0.41025641025641024</v>
      </c>
      <c r="CP25" s="23">
        <v>0.265625</v>
      </c>
    </row>
    <row r="26" spans="3:104" x14ac:dyDescent="0.25">
      <c r="C26" s="21">
        <v>26.402640264026402</v>
      </c>
      <c r="D26" s="21">
        <v>40.983606557377051</v>
      </c>
      <c r="E26" s="21">
        <v>36.789297658862878</v>
      </c>
      <c r="F26" s="21">
        <v>62.790697674418603</v>
      </c>
      <c r="G26" s="21">
        <v>26.252983293556085</v>
      </c>
      <c r="H26" s="21">
        <v>6.557377049180328</v>
      </c>
      <c r="K26" s="23">
        <v>0</v>
      </c>
      <c r="L26" s="23">
        <v>12</v>
      </c>
      <c r="M26" s="23">
        <v>9.0909090909090917</v>
      </c>
      <c r="N26" s="23">
        <v>13.793103448275861</v>
      </c>
      <c r="O26" s="23">
        <v>0</v>
      </c>
      <c r="P26" s="23">
        <v>22.727272727272727</v>
      </c>
      <c r="Q26" s="23">
        <v>19.696969696969695</v>
      </c>
      <c r="R26" s="23">
        <v>36</v>
      </c>
      <c r="V26" s="23">
        <v>0.23250000000000001</v>
      </c>
      <c r="W26" s="23">
        <v>0.20499999999999999</v>
      </c>
      <c r="X26" s="23">
        <v>0.35749999999999998</v>
      </c>
      <c r="Y26" s="23">
        <v>0.123</v>
      </c>
      <c r="Z26" s="23">
        <v>3.5999999999999997E-2</v>
      </c>
      <c r="AA26" s="23">
        <v>4.5999999999999999E-2</v>
      </c>
      <c r="AE26" s="23">
        <v>3.3003300330033E-2</v>
      </c>
      <c r="AF26" s="23">
        <v>7.7868852459016397E-2</v>
      </c>
      <c r="AG26" s="23">
        <v>9.6989966555183951E-2</v>
      </c>
      <c r="AH26" s="23">
        <v>5.8139534883720929E-2</v>
      </c>
      <c r="AI26" s="23">
        <v>2.1479713603818614E-2</v>
      </c>
      <c r="AJ26" s="23">
        <v>0</v>
      </c>
      <c r="AO26" s="23">
        <v>3.4965034965034965E-3</v>
      </c>
      <c r="AP26" s="23">
        <v>4.1284403669724773E-2</v>
      </c>
      <c r="AQ26" s="23">
        <v>4.3478260869565216E-2</v>
      </c>
      <c r="AR26" s="23">
        <v>8.3612040133779264E-2</v>
      </c>
      <c r="AS26" s="23">
        <v>6.4150943396226415E-2</v>
      </c>
      <c r="AT26" s="23">
        <v>8.9655172413793102E-2</v>
      </c>
      <c r="AU26" s="23">
        <v>5.1975051975051978E-2</v>
      </c>
      <c r="AW26" s="100">
        <v>92</v>
      </c>
      <c r="AX26" s="100">
        <v>37.5</v>
      </c>
      <c r="BB26" s="23">
        <v>1</v>
      </c>
      <c r="BC26" s="23">
        <v>0.69230769230769229</v>
      </c>
      <c r="BD26" s="23">
        <v>0.875</v>
      </c>
      <c r="BE26" s="23">
        <v>0.61904761904761907</v>
      </c>
      <c r="BF26" s="23">
        <v>0.66666666666666663</v>
      </c>
      <c r="BG26" s="23">
        <v>0</v>
      </c>
      <c r="BH26" s="23">
        <v>0.73529411764705888</v>
      </c>
      <c r="BK26" s="23">
        <v>0.15028901734104047</v>
      </c>
      <c r="BL26" s="23">
        <v>1.7341040462427744E-2</v>
      </c>
      <c r="BM26" s="23">
        <v>0.2138728323699422</v>
      </c>
      <c r="BN26" s="23">
        <v>0.61849710982658956</v>
      </c>
      <c r="BR26" s="23">
        <v>0.62365591397849462</v>
      </c>
      <c r="BS26" s="23">
        <v>0.54634146341463419</v>
      </c>
      <c r="BT26" s="23">
        <v>0.71048951048951048</v>
      </c>
      <c r="BU26" s="23">
        <v>0.61788617886178865</v>
      </c>
      <c r="BV26" s="23">
        <v>0.61111111111111116</v>
      </c>
      <c r="BW26" s="23">
        <v>0.18478260869565216</v>
      </c>
      <c r="CA26" s="23">
        <v>0.54545454545454541</v>
      </c>
      <c r="CB26" s="23">
        <v>0.70183486238532111</v>
      </c>
      <c r="CC26" s="23">
        <v>0.72173913043478266</v>
      </c>
      <c r="CD26" s="23">
        <v>0.68561872909698995</v>
      </c>
      <c r="CE26" s="23">
        <v>0.60754716981132073</v>
      </c>
      <c r="CF26" s="23">
        <v>0.6</v>
      </c>
      <c r="CK26" s="23">
        <v>1.3636363636363636E-2</v>
      </c>
      <c r="CL26" s="23">
        <v>0.14285714285714285</v>
      </c>
      <c r="CM26" s="23">
        <v>0.203125</v>
      </c>
      <c r="CN26" s="23">
        <v>0.36458333333333331</v>
      </c>
      <c r="CO26" s="23">
        <v>0.35294117647058826</v>
      </c>
      <c r="CP26" s="23">
        <v>0.32307692307692309</v>
      </c>
    </row>
    <row r="27" spans="3:104" x14ac:dyDescent="0.25">
      <c r="C27" s="21">
        <v>35.812672176308538</v>
      </c>
      <c r="D27" s="21">
        <v>54.117647058823529</v>
      </c>
      <c r="E27" s="21">
        <v>54.736842105263158</v>
      </c>
      <c r="F27" s="21">
        <v>47.61904761904762</v>
      </c>
      <c r="G27" s="21">
        <v>31.111111111111111</v>
      </c>
      <c r="H27" s="21">
        <v>0</v>
      </c>
      <c r="K27" s="23">
        <v>0</v>
      </c>
      <c r="L27" s="23">
        <v>9.3333333333333339</v>
      </c>
      <c r="M27" s="23">
        <v>9.9431818181818183</v>
      </c>
      <c r="N27" s="23">
        <v>13.636363636363635</v>
      </c>
      <c r="O27" s="23">
        <v>0</v>
      </c>
      <c r="P27" s="23">
        <v>19.736842105263158</v>
      </c>
      <c r="Q27" s="23">
        <v>39.0625</v>
      </c>
      <c r="R27" s="23">
        <v>28.571428571428569</v>
      </c>
      <c r="V27" s="23">
        <v>0.17899999999999999</v>
      </c>
      <c r="W27" s="23">
        <v>0.2205</v>
      </c>
      <c r="X27" s="23">
        <v>0.40150000000000002</v>
      </c>
      <c r="Y27" s="23">
        <v>0.1195</v>
      </c>
      <c r="Z27" s="23">
        <v>2.8500000000000001E-2</v>
      </c>
      <c r="AA27" s="23">
        <v>5.0999999999999997E-2</v>
      </c>
      <c r="AE27" s="23">
        <v>2.7548209366391185E-2</v>
      </c>
      <c r="AF27" s="23">
        <v>8.7058823529411758E-2</v>
      </c>
      <c r="AG27" s="23">
        <v>7.7894736842105267E-2</v>
      </c>
      <c r="AH27" s="23">
        <v>5.0793650793650794E-2</v>
      </c>
      <c r="AI27" s="23">
        <v>8.8888888888888889E-3</v>
      </c>
      <c r="AJ27" s="23">
        <v>0</v>
      </c>
      <c r="AO27" s="23">
        <v>1.1428571428571429E-2</v>
      </c>
      <c r="AP27" s="23">
        <v>3.5326086956521736E-2</v>
      </c>
      <c r="AQ27" s="23">
        <v>2.8350515463917526E-2</v>
      </c>
      <c r="AR27" s="23">
        <v>8.0188679245283015E-2</v>
      </c>
      <c r="AS27" s="23">
        <v>0.12</v>
      </c>
      <c r="AT27" s="23">
        <v>8.3333333333333329E-2</v>
      </c>
      <c r="AU27" s="23">
        <v>4.4805194805194806E-2</v>
      </c>
      <c r="AW27" s="100">
        <v>102</v>
      </c>
      <c r="AX27" s="100">
        <v>34.5</v>
      </c>
      <c r="BB27" s="23">
        <v>0.6</v>
      </c>
      <c r="BC27" s="23">
        <v>0.8214285714285714</v>
      </c>
      <c r="BD27" s="23">
        <v>0.80769230769230771</v>
      </c>
      <c r="BE27" s="23">
        <v>0.8</v>
      </c>
      <c r="BF27" s="23">
        <v>0.66666666666666663</v>
      </c>
      <c r="BH27" s="23">
        <v>0.77922077922077926</v>
      </c>
      <c r="BK27" s="23">
        <v>8.5561497326203204E-2</v>
      </c>
      <c r="BL27" s="23">
        <v>8.0213903743315509E-2</v>
      </c>
      <c r="BM27" s="23">
        <v>0.26203208556149732</v>
      </c>
      <c r="BN27" s="23">
        <v>0.57219251336898391</v>
      </c>
      <c r="BR27" s="23">
        <v>0.64245810055865926</v>
      </c>
      <c r="BS27" s="23">
        <v>0.51020408163265307</v>
      </c>
      <c r="BT27" s="23">
        <v>0.74968866749688667</v>
      </c>
      <c r="BU27" s="23">
        <v>0.62343096234309625</v>
      </c>
      <c r="BV27" s="23">
        <v>0.73684210526315785</v>
      </c>
      <c r="BW27" s="23">
        <v>0.15686274509803921</v>
      </c>
      <c r="CA27" s="23">
        <v>0.54285714285714282</v>
      </c>
      <c r="CB27" s="23">
        <v>0.71195652173913049</v>
      </c>
      <c r="CC27" s="23">
        <v>0.69845360824742264</v>
      </c>
      <c r="CD27" s="23">
        <v>0.69811320754716977</v>
      </c>
      <c r="CE27" s="23">
        <v>0.68666666666666665</v>
      </c>
      <c r="CF27" s="23">
        <v>0.61111111111111116</v>
      </c>
      <c r="CK27" s="23">
        <v>1.4336917562724014E-2</v>
      </c>
      <c r="CL27" s="23">
        <v>0.19642857142857142</v>
      </c>
      <c r="CM27" s="23">
        <v>0.21212121212121213</v>
      </c>
      <c r="CN27" s="23">
        <v>0.43636363636363634</v>
      </c>
      <c r="CO27" s="23">
        <v>0.38461538461538464</v>
      </c>
      <c r="CP27" s="23">
        <v>0.28125</v>
      </c>
    </row>
    <row r="28" spans="3:104" x14ac:dyDescent="0.25">
      <c r="C28" s="21">
        <v>42.328042328042329</v>
      </c>
      <c r="D28" s="21">
        <v>39.145907473309606</v>
      </c>
      <c r="E28" s="21">
        <v>46.692607003891048</v>
      </c>
      <c r="F28" s="21">
        <v>81.521739130434781</v>
      </c>
      <c r="G28" s="21">
        <v>31.428571428571427</v>
      </c>
      <c r="H28" s="21">
        <v>5.4644808743169397</v>
      </c>
      <c r="K28" s="23">
        <v>0</v>
      </c>
      <c r="L28" s="23">
        <v>5.6338028169014089</v>
      </c>
      <c r="M28" s="23">
        <v>11.801242236024844</v>
      </c>
      <c r="N28" s="23">
        <v>12.903225806451612</v>
      </c>
      <c r="O28" s="23">
        <v>0</v>
      </c>
      <c r="P28" s="23">
        <v>11.464968152866243</v>
      </c>
      <c r="Q28" s="23">
        <v>20.689655172413794</v>
      </c>
      <c r="R28" s="23">
        <v>27.27272727272727</v>
      </c>
      <c r="V28" s="23">
        <v>0.20549999999999999</v>
      </c>
      <c r="W28" s="23">
        <v>0.22500000000000001</v>
      </c>
      <c r="X28" s="23">
        <v>0.35749999999999998</v>
      </c>
      <c r="Y28" s="23">
        <v>0.1285</v>
      </c>
      <c r="Z28" s="23">
        <v>3.7499999999999999E-2</v>
      </c>
      <c r="AA28" s="23">
        <v>4.5999999999999999E-2</v>
      </c>
      <c r="AE28" s="23">
        <v>3.7037037037037035E-2</v>
      </c>
      <c r="AF28" s="23">
        <v>5.6939501779359428E-2</v>
      </c>
      <c r="AG28" s="23">
        <v>9.727626459143969E-2</v>
      </c>
      <c r="AH28" s="23">
        <v>5.434782608695652E-2</v>
      </c>
      <c r="AI28" s="23">
        <v>4.2857142857142858E-2</v>
      </c>
      <c r="AJ28" s="23">
        <v>5.4644808743169399E-3</v>
      </c>
      <c r="AO28" s="23">
        <v>8.356545961002786E-3</v>
      </c>
      <c r="AP28" s="23">
        <v>2.7888446215139442E-2</v>
      </c>
      <c r="AQ28" s="23">
        <v>0.08</v>
      </c>
      <c r="AR28" s="23">
        <v>4.4444444444444446E-2</v>
      </c>
      <c r="AS28" s="23">
        <v>5.627705627705628E-2</v>
      </c>
      <c r="AT28" s="23">
        <v>0.10752688172043011</v>
      </c>
      <c r="AU28" s="23">
        <v>4.7428189712758854E-2</v>
      </c>
      <c r="AW28" s="100">
        <v>92</v>
      </c>
      <c r="AX28" s="100">
        <v>35.5</v>
      </c>
      <c r="BB28" s="23">
        <v>0.84615384615384615</v>
      </c>
      <c r="BC28" s="23">
        <v>0.72727272727272729</v>
      </c>
      <c r="BD28" s="23">
        <v>0.91666666666666663</v>
      </c>
      <c r="BE28" s="23">
        <v>0.73333333333333328</v>
      </c>
      <c r="BF28" s="23">
        <v>0.76923076923076927</v>
      </c>
      <c r="BG28" s="23">
        <v>1</v>
      </c>
      <c r="BH28" s="23">
        <v>0.80303030303030298</v>
      </c>
      <c r="BK28" s="23">
        <v>0.12977099236641221</v>
      </c>
      <c r="BL28" s="23">
        <v>5.3435114503816793E-2</v>
      </c>
      <c r="BM28" s="23">
        <v>0.38931297709923662</v>
      </c>
      <c r="BN28" s="23">
        <v>0.42748091603053434</v>
      </c>
      <c r="BR28" s="23">
        <v>0.63503649635036497</v>
      </c>
      <c r="BS28" s="23">
        <v>0.53555555555555556</v>
      </c>
      <c r="BT28" s="23">
        <v>0.72167832167832169</v>
      </c>
      <c r="BU28" s="23">
        <v>0.65758754863813229</v>
      </c>
      <c r="BV28" s="23">
        <v>0.52</v>
      </c>
      <c r="BW28" s="23">
        <v>0.13043478260869565</v>
      </c>
      <c r="CA28" s="23">
        <v>0.54874651810584962</v>
      </c>
      <c r="CB28" s="23">
        <v>0.67729083665338641</v>
      </c>
      <c r="CC28" s="23">
        <v>0.74</v>
      </c>
      <c r="CD28" s="23">
        <v>0.66666666666666663</v>
      </c>
      <c r="CE28" s="23">
        <v>0.62770562770562766</v>
      </c>
      <c r="CF28" s="23">
        <v>0.67204301075268813</v>
      </c>
      <c r="CK28" s="23">
        <v>2.0833333333333332E-2</v>
      </c>
      <c r="CL28" s="23">
        <v>0.11702127659574468</v>
      </c>
      <c r="CM28" s="23">
        <v>0.33846153846153848</v>
      </c>
      <c r="CN28" s="23">
        <v>0.33720930232558138</v>
      </c>
      <c r="CO28" s="23">
        <v>0.32558139534883723</v>
      </c>
      <c r="CP28" s="23">
        <v>0.32</v>
      </c>
    </row>
    <row r="29" spans="3:104" x14ac:dyDescent="0.25">
      <c r="C29" s="21">
        <v>30.3951367781155</v>
      </c>
      <c r="D29" s="21">
        <v>63.18681318681319</v>
      </c>
      <c r="E29" s="21">
        <v>94.036697247706428</v>
      </c>
      <c r="F29" s="21">
        <v>61.497326203208559</v>
      </c>
      <c r="G29" s="21">
        <v>46.822742474916389</v>
      </c>
      <c r="H29" s="21">
        <v>0</v>
      </c>
      <c r="K29" s="23">
        <v>0</v>
      </c>
      <c r="L29" s="23">
        <v>4.838709677419355</v>
      </c>
      <c r="M29" s="23">
        <v>11.526479750778815</v>
      </c>
      <c r="N29" s="23">
        <v>15</v>
      </c>
      <c r="O29" s="23">
        <v>0</v>
      </c>
      <c r="P29" s="23">
        <v>26.900584795321635</v>
      </c>
      <c r="Q29" s="23">
        <v>18.840579710144929</v>
      </c>
      <c r="R29" s="23">
        <v>13.513513513513514</v>
      </c>
      <c r="V29" s="23">
        <v>0.17899999999999999</v>
      </c>
      <c r="W29" s="23">
        <v>0.2135</v>
      </c>
      <c r="X29" s="23">
        <v>0.40350000000000003</v>
      </c>
      <c r="Y29" s="23">
        <v>0.1245</v>
      </c>
      <c r="Z29" s="23">
        <v>2.8500000000000001E-2</v>
      </c>
      <c r="AA29" s="23">
        <v>5.0999999999999997E-2</v>
      </c>
      <c r="AE29" s="23">
        <v>4.5592705167173252E-2</v>
      </c>
      <c r="AF29" s="23">
        <v>6.8681318681318687E-2</v>
      </c>
      <c r="AG29" s="23">
        <v>8.027522935779817E-2</v>
      </c>
      <c r="AH29" s="23">
        <v>5.0802139037433157E-2</v>
      </c>
      <c r="AI29" s="23">
        <v>2.6755852842809364E-2</v>
      </c>
      <c r="AJ29" s="23">
        <v>0</v>
      </c>
      <c r="AO29" s="23">
        <v>9.7087378640776691E-3</v>
      </c>
      <c r="AP29" s="23">
        <v>5.5045871559633031E-2</v>
      </c>
      <c r="AQ29" s="23">
        <v>5.0991501416430593E-2</v>
      </c>
      <c r="AR29" s="23">
        <v>7.575757575757576E-2</v>
      </c>
      <c r="AS29" s="23">
        <v>6.3414634146341464E-2</v>
      </c>
      <c r="AT29" s="23">
        <v>8.5365853658536592E-2</v>
      </c>
      <c r="AU29" s="23">
        <v>5.1298701298701302E-2</v>
      </c>
      <c r="AW29" s="100">
        <v>102</v>
      </c>
      <c r="AX29" s="100">
        <v>39.5</v>
      </c>
      <c r="BB29" s="23">
        <v>0.75</v>
      </c>
      <c r="BC29" s="23">
        <v>0.72222222222222221</v>
      </c>
      <c r="BD29" s="23">
        <v>0.66666666666666663</v>
      </c>
      <c r="BE29" s="23">
        <v>0.69230769230769229</v>
      </c>
      <c r="BF29" s="23">
        <v>0.8</v>
      </c>
      <c r="BH29" s="23">
        <v>0.70666666666666667</v>
      </c>
      <c r="BK29" s="23">
        <v>0.12571428571428572</v>
      </c>
      <c r="BL29" s="23">
        <v>3.4285714285714287E-2</v>
      </c>
      <c r="BM29" s="23">
        <v>0.29714285714285715</v>
      </c>
      <c r="BN29" s="23">
        <v>0.54285714285714282</v>
      </c>
      <c r="BR29" s="23">
        <v>0.61452513966480449</v>
      </c>
      <c r="BS29" s="23">
        <v>0.47072599531615927</v>
      </c>
      <c r="BT29" s="23">
        <v>0.71499380421313508</v>
      </c>
      <c r="BU29" s="23">
        <v>0.6224899598393574</v>
      </c>
      <c r="BV29" s="23">
        <v>0.68421052631578949</v>
      </c>
      <c r="BW29" s="23">
        <v>0.20588235294117646</v>
      </c>
      <c r="CA29" s="23">
        <v>0.52750809061488668</v>
      </c>
      <c r="CB29" s="23">
        <v>0.66972477064220182</v>
      </c>
      <c r="CC29" s="23">
        <v>0.67988668555240794</v>
      </c>
      <c r="CD29" s="23">
        <v>0.64772727272727271</v>
      </c>
      <c r="CE29" s="23">
        <v>0.61951219512195121</v>
      </c>
      <c r="CF29" s="23">
        <v>0.63414634146341464</v>
      </c>
      <c r="CK29" s="23">
        <v>1.6877637130801686E-2</v>
      </c>
      <c r="CL29" s="23">
        <v>0.21551724137931033</v>
      </c>
      <c r="CM29" s="23">
        <v>0.27472527472527475</v>
      </c>
      <c r="CN29" s="23">
        <v>0.34666666666666668</v>
      </c>
      <c r="CO29" s="23">
        <v>0.36619718309859156</v>
      </c>
      <c r="CP29" s="23">
        <v>0.37931034482758619</v>
      </c>
    </row>
    <row r="30" spans="3:104" x14ac:dyDescent="0.25">
      <c r="C30" s="21">
        <v>30.985915492957748</v>
      </c>
      <c r="D30" s="21">
        <v>61.29032258064516</v>
      </c>
      <c r="E30" s="21">
        <v>61.333333333333336</v>
      </c>
      <c r="F30" s="21">
        <v>57.926829268292686</v>
      </c>
      <c r="G30" s="21">
        <v>29.702970297029704</v>
      </c>
      <c r="H30" s="21">
        <v>6.0790273556231007</v>
      </c>
      <c r="K30" s="23">
        <v>0</v>
      </c>
      <c r="L30" s="23">
        <v>6.666666666666667</v>
      </c>
      <c r="M30" s="23">
        <v>7.523510971786834</v>
      </c>
      <c r="N30" s="23">
        <v>20</v>
      </c>
      <c r="O30" s="23">
        <v>0</v>
      </c>
      <c r="P30" s="23">
        <v>11.564625850340136</v>
      </c>
      <c r="Q30" s="23">
        <v>25.806451612903224</v>
      </c>
      <c r="R30" s="23">
        <v>11.111111111111111</v>
      </c>
      <c r="V30" s="23">
        <v>0.214</v>
      </c>
      <c r="W30" s="23">
        <v>0.218</v>
      </c>
      <c r="X30" s="23">
        <v>0.371</v>
      </c>
      <c r="Y30" s="23">
        <v>0.1305</v>
      </c>
      <c r="Z30" s="23">
        <v>2.7E-2</v>
      </c>
      <c r="AA30" s="23">
        <v>3.95E-2</v>
      </c>
      <c r="AE30" s="23">
        <v>2.5352112676056339E-2</v>
      </c>
      <c r="AF30" s="23">
        <v>5.4838709677419356E-2</v>
      </c>
      <c r="AG30" s="23">
        <v>7.7333333333333337E-2</v>
      </c>
      <c r="AH30" s="23">
        <v>5.4878048780487805E-2</v>
      </c>
      <c r="AI30" s="23">
        <v>1.3201320132013201E-2</v>
      </c>
      <c r="AJ30" s="23">
        <v>6.0790273556231003E-3</v>
      </c>
      <c r="AO30" s="23">
        <v>8.670520231213872E-3</v>
      </c>
      <c r="AP30" s="23">
        <v>3.5842293906810034E-2</v>
      </c>
      <c r="AQ30" s="23">
        <v>4.2763157894736843E-2</v>
      </c>
      <c r="AR30" s="23">
        <v>4.954954954954955E-2</v>
      </c>
      <c r="AS30" s="23">
        <v>5.3658536585365853E-2</v>
      </c>
      <c r="AT30" s="23">
        <v>0.13138686131386862</v>
      </c>
      <c r="AU30" s="23">
        <v>4.4206296048225048E-2</v>
      </c>
      <c r="AW30" s="100">
        <v>79</v>
      </c>
      <c r="AX30" s="100">
        <v>33</v>
      </c>
      <c r="BB30" s="23">
        <v>1</v>
      </c>
      <c r="BC30" s="23">
        <v>0.6</v>
      </c>
      <c r="BD30" s="23">
        <v>0.7142857142857143</v>
      </c>
      <c r="BE30" s="23">
        <v>0.84615384615384615</v>
      </c>
      <c r="BF30" s="23">
        <v>1</v>
      </c>
      <c r="BG30" s="23">
        <v>0</v>
      </c>
      <c r="BH30" s="23">
        <v>0.74545454545454548</v>
      </c>
      <c r="BK30" s="23">
        <v>8.3333333333333329E-2</v>
      </c>
      <c r="BL30" s="23">
        <v>5.8333333333333334E-2</v>
      </c>
      <c r="BM30" s="23">
        <v>0.29166666666666669</v>
      </c>
      <c r="BN30" s="23">
        <v>0.56666666666666665</v>
      </c>
      <c r="BR30" s="23">
        <v>0.60981308411214952</v>
      </c>
      <c r="BS30" s="23">
        <v>0.49541284403669728</v>
      </c>
      <c r="BT30" s="23">
        <v>0.70754716981132071</v>
      </c>
      <c r="BU30" s="23">
        <v>0.67049808429118773</v>
      </c>
      <c r="BV30" s="23">
        <v>0.59259259259259256</v>
      </c>
      <c r="BW30" s="23">
        <v>0.20253164556962025</v>
      </c>
      <c r="CA30" s="23">
        <v>0.5057803468208093</v>
      </c>
      <c r="CB30" s="23">
        <v>0.69534050179211471</v>
      </c>
      <c r="CC30" s="23">
        <v>0.70723684210526316</v>
      </c>
      <c r="CD30" s="23">
        <v>0.68918918918918914</v>
      </c>
      <c r="CE30" s="23">
        <v>0.59512195121951217</v>
      </c>
      <c r="CF30" s="23">
        <v>0.64963503649635035</v>
      </c>
      <c r="CK30" s="23">
        <v>1.968503937007874E-2</v>
      </c>
      <c r="CL30" s="23">
        <v>0.18681318681318682</v>
      </c>
      <c r="CM30" s="23">
        <v>0.23529411764705882</v>
      </c>
      <c r="CN30" s="23">
        <v>0.23287671232876711</v>
      </c>
      <c r="CO30" s="23">
        <v>0.38571428571428573</v>
      </c>
      <c r="CP30" s="23">
        <v>0.35087719298245612</v>
      </c>
    </row>
    <row r="31" spans="3:104" x14ac:dyDescent="0.25">
      <c r="C31" s="21">
        <v>39.106145251396647</v>
      </c>
      <c r="D31" s="21">
        <v>45.333333333333336</v>
      </c>
      <c r="E31" s="21">
        <v>60.70287539936102</v>
      </c>
      <c r="F31" s="21">
        <v>49.095607235142118</v>
      </c>
      <c r="G31" s="21">
        <v>17.964071856287426</v>
      </c>
      <c r="H31" s="21">
        <v>4.2918454935622314</v>
      </c>
      <c r="K31" s="23">
        <v>0</v>
      </c>
      <c r="L31" s="23">
        <v>5.4054054054054053</v>
      </c>
      <c r="M31" s="23">
        <v>10.119047619047619</v>
      </c>
      <c r="N31" s="23">
        <v>16.666666666666664</v>
      </c>
      <c r="O31" s="23">
        <v>0</v>
      </c>
      <c r="P31" s="23">
        <v>20.606060606060606</v>
      </c>
      <c r="Q31" s="23">
        <v>18.181818181818183</v>
      </c>
      <c r="R31" s="23">
        <v>5.2631578947368416</v>
      </c>
      <c r="V31" s="23">
        <v>0.19650000000000001</v>
      </c>
      <c r="W31" s="23">
        <v>0.192</v>
      </c>
      <c r="X31" s="23">
        <v>0.40500000000000003</v>
      </c>
      <c r="Y31" s="23">
        <v>0.13450000000000001</v>
      </c>
      <c r="Z31" s="23">
        <v>2.8000000000000001E-2</v>
      </c>
      <c r="AA31" s="23">
        <v>4.3999999999999997E-2</v>
      </c>
      <c r="AE31" s="23">
        <v>1.6759776536312849E-2</v>
      </c>
      <c r="AF31" s="23">
        <v>5.8666666666666666E-2</v>
      </c>
      <c r="AG31" s="23">
        <v>8.3067092651757185E-2</v>
      </c>
      <c r="AH31" s="23">
        <v>5.6847545219638244E-2</v>
      </c>
      <c r="AI31" s="23">
        <v>3.5928143712574849E-2</v>
      </c>
      <c r="AJ31" s="23">
        <v>0</v>
      </c>
      <c r="AO31" s="23">
        <v>8.6455331412103754E-3</v>
      </c>
      <c r="AP31" s="23">
        <v>4.8192771084337352E-2</v>
      </c>
      <c r="AQ31" s="23">
        <v>5.9288537549407112E-2</v>
      </c>
      <c r="AR31" s="23">
        <v>8.5820895522388058E-2</v>
      </c>
      <c r="AS31" s="23">
        <v>7.0093457943925228E-2</v>
      </c>
      <c r="AT31" s="23">
        <v>0.14285714285714285</v>
      </c>
      <c r="AU31" s="23">
        <v>5.7274522712310733E-2</v>
      </c>
      <c r="AW31" s="100">
        <v>88</v>
      </c>
      <c r="AX31" s="100">
        <v>43.5</v>
      </c>
      <c r="BB31" s="23">
        <v>0.83333333333333337</v>
      </c>
      <c r="BC31" s="23">
        <v>0.84615384615384615</v>
      </c>
      <c r="BD31" s="23">
        <v>0.78947368421052633</v>
      </c>
      <c r="BE31" s="23">
        <v>0.83333333333333337</v>
      </c>
      <c r="BF31" s="23">
        <v>0.55555555555555558</v>
      </c>
      <c r="BH31" s="23">
        <v>0.7846153846153846</v>
      </c>
      <c r="BK31" s="23">
        <v>0.15492957746478872</v>
      </c>
      <c r="BL31" s="23">
        <v>2.8169014084507043E-2</v>
      </c>
      <c r="BM31" s="23">
        <v>0.30985915492957744</v>
      </c>
      <c r="BN31" s="23">
        <v>0.50704225352112675</v>
      </c>
      <c r="BR31" s="23">
        <v>0.64376590330788808</v>
      </c>
      <c r="BS31" s="23">
        <v>0.5078125</v>
      </c>
      <c r="BT31" s="23">
        <v>0.72592592592592597</v>
      </c>
      <c r="BU31" s="23">
        <v>0.60594795539033453</v>
      </c>
      <c r="BV31" s="23">
        <v>0.7142857142857143</v>
      </c>
      <c r="BW31" s="23">
        <v>0.11363636363636363</v>
      </c>
      <c r="CA31" s="23">
        <v>0.56195965417867433</v>
      </c>
      <c r="CB31" s="23">
        <v>0.67771084337349397</v>
      </c>
      <c r="CC31" s="23">
        <v>0.74703557312252966</v>
      </c>
      <c r="CD31" s="23">
        <v>0.68283582089552242</v>
      </c>
      <c r="CE31" s="23">
        <v>0.63551401869158874</v>
      </c>
      <c r="CF31" s="23">
        <v>0.55238095238095242</v>
      </c>
      <c r="CK31" s="23">
        <v>1.2658227848101266E-2</v>
      </c>
      <c r="CL31" s="23">
        <v>0.22772277227722773</v>
      </c>
      <c r="CM31" s="23">
        <v>0.33333333333333331</v>
      </c>
      <c r="CN31" s="23">
        <v>0.40579710144927539</v>
      </c>
      <c r="CO31" s="23">
        <v>0.35384615384615387</v>
      </c>
      <c r="CP31" s="23">
        <v>0.36734693877551022</v>
      </c>
    </row>
    <row r="32" spans="3:104" x14ac:dyDescent="0.25">
      <c r="C32" s="21">
        <v>28.795811518324609</v>
      </c>
      <c r="D32" s="21">
        <v>42.10526315789474</v>
      </c>
      <c r="E32" s="21">
        <v>67.5</v>
      </c>
      <c r="F32" s="21">
        <v>79.234972677595621</v>
      </c>
      <c r="G32" s="21">
        <v>26.217228464419474</v>
      </c>
      <c r="H32" s="21">
        <v>3.3333333333333335</v>
      </c>
      <c r="K32" s="23">
        <v>0</v>
      </c>
      <c r="L32" s="23">
        <v>8.1967213114754092</v>
      </c>
      <c r="M32" s="23">
        <v>8.9108910891089099</v>
      </c>
      <c r="N32" s="23">
        <v>19.047619047619047</v>
      </c>
      <c r="O32" s="23">
        <v>0</v>
      </c>
      <c r="P32" s="23">
        <v>14.5985401459854</v>
      </c>
      <c r="Q32" s="23">
        <v>27.777777777777779</v>
      </c>
      <c r="R32" s="23">
        <v>17.391304347826086</v>
      </c>
      <c r="V32" s="23">
        <v>0.20949999999999999</v>
      </c>
      <c r="W32" s="23">
        <v>0.22800000000000001</v>
      </c>
      <c r="X32" s="23">
        <v>0.35699999999999998</v>
      </c>
      <c r="Y32" s="23">
        <v>0.1275</v>
      </c>
      <c r="Z32" s="23">
        <v>3.2000000000000001E-2</v>
      </c>
      <c r="AA32" s="23">
        <v>4.5999999999999999E-2</v>
      </c>
      <c r="AE32" s="23">
        <v>4.1884816753926704E-2</v>
      </c>
      <c r="AF32" s="23">
        <v>6.3157894736842107E-2</v>
      </c>
      <c r="AG32" s="23">
        <v>7.4999999999999997E-2</v>
      </c>
      <c r="AH32" s="23">
        <v>6.0109289617486336E-2</v>
      </c>
      <c r="AI32" s="23">
        <v>2.247191011235955E-2</v>
      </c>
      <c r="AJ32" s="23">
        <v>0</v>
      </c>
      <c r="AO32" s="23">
        <v>5.5555555555555558E-3</v>
      </c>
      <c r="AP32" s="23">
        <v>3.4615384615384617E-2</v>
      </c>
      <c r="AQ32" s="23">
        <v>6.0317460317460318E-2</v>
      </c>
      <c r="AR32" s="23">
        <v>4.4354838709677422E-2</v>
      </c>
      <c r="AS32" s="23">
        <v>0.1</v>
      </c>
      <c r="AT32" s="23">
        <v>9.5588235294117641E-2</v>
      </c>
      <c r="AU32" s="23">
        <v>4.7683008730691742E-2</v>
      </c>
      <c r="AW32" s="100">
        <v>92</v>
      </c>
      <c r="AX32" s="100">
        <v>35.5</v>
      </c>
      <c r="BB32" s="23">
        <v>0.83333333333333337</v>
      </c>
      <c r="BC32" s="23">
        <v>0.90909090909090906</v>
      </c>
      <c r="BD32" s="23">
        <v>0.86956521739130432</v>
      </c>
      <c r="BE32" s="23">
        <v>0.66666666666666663</v>
      </c>
      <c r="BF32" s="23">
        <v>0.6</v>
      </c>
      <c r="BH32" s="23">
        <v>0.80303030303030298</v>
      </c>
      <c r="BK32" s="23">
        <v>0.12676056338028169</v>
      </c>
      <c r="BL32" s="23">
        <v>0.11267605633802817</v>
      </c>
      <c r="BM32" s="23">
        <v>0.28169014084507044</v>
      </c>
      <c r="BN32" s="23">
        <v>0.47887323943661969</v>
      </c>
      <c r="BR32" s="23">
        <v>0.67541766109785206</v>
      </c>
      <c r="BS32" s="23">
        <v>0.51315789473684215</v>
      </c>
      <c r="BT32" s="23">
        <v>0.7142857142857143</v>
      </c>
      <c r="BU32" s="23">
        <v>0.60392156862745094</v>
      </c>
      <c r="BV32" s="23">
        <v>0.671875</v>
      </c>
      <c r="BW32" s="23">
        <v>0.11956521739130435</v>
      </c>
      <c r="CA32" s="23">
        <v>0.53888888888888886</v>
      </c>
      <c r="CB32" s="23">
        <v>0.65769230769230769</v>
      </c>
      <c r="CC32" s="23">
        <v>0.68253968253968256</v>
      </c>
      <c r="CD32" s="23">
        <v>0.66935483870967738</v>
      </c>
      <c r="CE32" s="23">
        <v>0.60588235294117643</v>
      </c>
      <c r="CF32" s="23">
        <v>0.67647058823529416</v>
      </c>
      <c r="CK32" s="23">
        <v>1.1194029850746268E-2</v>
      </c>
      <c r="CL32" s="23">
        <v>0.13541666666666666</v>
      </c>
      <c r="CM32" s="23">
        <v>0.31632653061224492</v>
      </c>
      <c r="CN32" s="23">
        <v>0.29729729729729731</v>
      </c>
      <c r="CO32" s="23">
        <v>0.38235294117647056</v>
      </c>
      <c r="CP32" s="23">
        <v>0.29508196721311475</v>
      </c>
    </row>
    <row r="33" spans="3:94" x14ac:dyDescent="0.25">
      <c r="C33" s="21">
        <v>60.975609756097562</v>
      </c>
      <c r="D33" s="21">
        <v>44.077134986225893</v>
      </c>
      <c r="E33" s="21">
        <v>58.495821727019496</v>
      </c>
      <c r="F33" s="21">
        <v>46.783625730994153</v>
      </c>
      <c r="G33" s="21">
        <v>17.699115044247787</v>
      </c>
      <c r="H33" s="21">
        <v>11.152416356877323</v>
      </c>
      <c r="K33" s="23">
        <v>0</v>
      </c>
      <c r="L33" s="23">
        <v>3.75</v>
      </c>
      <c r="M33" s="23">
        <v>9.0090090090090094</v>
      </c>
      <c r="N33" s="23">
        <v>9.375</v>
      </c>
      <c r="O33" s="23">
        <v>0</v>
      </c>
      <c r="P33" s="23">
        <v>16.993464052287582</v>
      </c>
      <c r="Q33" s="23">
        <v>27.419354838709676</v>
      </c>
      <c r="R33" s="23">
        <v>25.925925925925924</v>
      </c>
      <c r="V33" s="23">
        <v>0.19750000000000001</v>
      </c>
      <c r="W33" s="23">
        <v>0.19600000000000001</v>
      </c>
      <c r="X33" s="23">
        <v>0.39300000000000002</v>
      </c>
      <c r="Y33" s="23">
        <v>0.13350000000000001</v>
      </c>
      <c r="Z33" s="23">
        <v>2.9499999999999998E-2</v>
      </c>
      <c r="AA33" s="23">
        <v>5.0500000000000003E-2</v>
      </c>
      <c r="AE33" s="23">
        <v>3.3536585365853661E-2</v>
      </c>
      <c r="AF33" s="23">
        <v>9.6418732782369149E-2</v>
      </c>
      <c r="AG33" s="23">
        <v>8.3565459610027856E-2</v>
      </c>
      <c r="AH33" s="23">
        <v>5.8479532163742687E-2</v>
      </c>
      <c r="AI33" s="23">
        <v>1.4749262536873156E-2</v>
      </c>
      <c r="AJ33" s="23">
        <v>0</v>
      </c>
      <c r="AO33" s="23">
        <v>1.2779552715654952E-2</v>
      </c>
      <c r="AP33" s="23">
        <v>2.8213166144200628E-2</v>
      </c>
      <c r="AQ33" s="23">
        <v>5.2264808362369339E-2</v>
      </c>
      <c r="AR33" s="23">
        <v>8.771929824561403E-2</v>
      </c>
      <c r="AS33" s="23">
        <v>0.08</v>
      </c>
      <c r="AT33" s="23">
        <v>5.3030303030303032E-2</v>
      </c>
      <c r="AU33" s="23">
        <v>4.8537234042553189E-2</v>
      </c>
      <c r="AW33" s="100">
        <v>101</v>
      </c>
      <c r="AX33" s="100">
        <v>36.5</v>
      </c>
      <c r="BB33" s="23">
        <v>0.8571428571428571</v>
      </c>
      <c r="BC33" s="23">
        <v>0.88</v>
      </c>
      <c r="BD33" s="23">
        <v>0.875</v>
      </c>
      <c r="BE33" s="23">
        <v>0.8125</v>
      </c>
      <c r="BF33" s="23">
        <v>0.33333333333333331</v>
      </c>
      <c r="BH33" s="23">
        <v>0.83582089552238803</v>
      </c>
      <c r="BK33" s="23">
        <v>0.11917098445595854</v>
      </c>
      <c r="BL33" s="23">
        <v>3.1088082901554404E-2</v>
      </c>
      <c r="BM33" s="23">
        <v>0.22797927461139897</v>
      </c>
      <c r="BN33" s="23">
        <v>0.62176165803108807</v>
      </c>
      <c r="BR33" s="23">
        <v>0.64303797468354429</v>
      </c>
      <c r="BS33" s="23">
        <v>0.49489795918367346</v>
      </c>
      <c r="BT33" s="23">
        <v>0.72646310432569972</v>
      </c>
      <c r="BU33" s="23">
        <v>0.5617977528089888</v>
      </c>
      <c r="BV33" s="23">
        <v>0.6271186440677966</v>
      </c>
      <c r="BW33" s="23">
        <v>9.9009900990099015E-2</v>
      </c>
      <c r="CA33" s="23">
        <v>0.53035143769968052</v>
      </c>
      <c r="CB33" s="23">
        <v>0.65517241379310343</v>
      </c>
      <c r="CC33" s="23">
        <v>0.68641114982578399</v>
      </c>
      <c r="CD33" s="23">
        <v>0.68421052631578949</v>
      </c>
      <c r="CE33" s="23">
        <v>0.64888888888888885</v>
      </c>
      <c r="CF33" s="23">
        <v>0.59090909090909094</v>
      </c>
      <c r="CK33" s="23">
        <v>4.3902439024390241E-2</v>
      </c>
      <c r="CL33" s="23">
        <v>0.15652173913043479</v>
      </c>
      <c r="CM33" s="23">
        <v>0.27777777777777779</v>
      </c>
      <c r="CN33" s="23">
        <v>0.45161290322580644</v>
      </c>
      <c r="CO33" s="23">
        <v>0.38636363636363635</v>
      </c>
      <c r="CP33" s="23">
        <v>0.3125</v>
      </c>
    </row>
    <row r="34" spans="3:94" x14ac:dyDescent="0.25">
      <c r="C34" s="21">
        <v>43.126684636118597</v>
      </c>
      <c r="D34" s="21">
        <v>56.074766355140184</v>
      </c>
      <c r="E34" s="21">
        <v>65.573770491803273</v>
      </c>
      <c r="F34" s="21">
        <v>55.4089709762533</v>
      </c>
      <c r="G34" s="21">
        <v>10.344827586206897</v>
      </c>
      <c r="H34" s="21">
        <v>0</v>
      </c>
      <c r="K34" s="23">
        <v>0</v>
      </c>
      <c r="L34" s="23">
        <v>1.5625</v>
      </c>
      <c r="M34" s="23">
        <v>9.1743119266055047</v>
      </c>
      <c r="N34" s="23">
        <v>10</v>
      </c>
      <c r="O34" s="23">
        <v>0.5988023952095809</v>
      </c>
      <c r="P34" s="23">
        <v>23.026315789473685</v>
      </c>
      <c r="Q34" s="23">
        <v>22.727272727272727</v>
      </c>
      <c r="R34" s="23">
        <v>17.647058823529413</v>
      </c>
      <c r="V34" s="23">
        <v>0.21149999999999999</v>
      </c>
      <c r="W34" s="23">
        <v>0.22600000000000001</v>
      </c>
      <c r="X34" s="23">
        <v>0.3725</v>
      </c>
      <c r="Y34" s="23">
        <v>0.1255</v>
      </c>
      <c r="Z34" s="23">
        <v>2.4E-2</v>
      </c>
      <c r="AA34" s="23">
        <v>4.0500000000000001E-2</v>
      </c>
      <c r="AE34" s="23">
        <v>4.3126684636118601E-2</v>
      </c>
      <c r="AF34" s="23">
        <v>7.1651090342679122E-2</v>
      </c>
      <c r="AG34" s="23">
        <v>6.2841530054644809E-2</v>
      </c>
      <c r="AH34" s="23">
        <v>2.9023746701846966E-2</v>
      </c>
      <c r="AI34" s="23">
        <v>2.7586206896551724E-2</v>
      </c>
      <c r="AJ34" s="23">
        <v>0</v>
      </c>
      <c r="AO34" s="23">
        <v>8.5714285714285719E-3</v>
      </c>
      <c r="AP34" s="23">
        <v>1.7182130584192441E-2</v>
      </c>
      <c r="AQ34" s="23">
        <v>3.8062283737024222E-2</v>
      </c>
      <c r="AR34" s="23">
        <v>7.1428571428571425E-2</v>
      </c>
      <c r="AS34" s="23">
        <v>5.7142857142857141E-2</v>
      </c>
      <c r="AT34" s="23">
        <v>4.8000000000000001E-2</v>
      </c>
      <c r="AU34" s="23">
        <v>3.6096256684491977E-2</v>
      </c>
      <c r="AW34" s="100">
        <v>81</v>
      </c>
      <c r="AX34" s="100">
        <v>27</v>
      </c>
      <c r="BB34" s="23">
        <v>0.8571428571428571</v>
      </c>
      <c r="BC34" s="23">
        <v>0.9285714285714286</v>
      </c>
      <c r="BD34" s="23">
        <v>0.75</v>
      </c>
      <c r="BE34" s="23">
        <v>0.75</v>
      </c>
      <c r="BF34" s="23">
        <v>0.66666666666666663</v>
      </c>
      <c r="BG34" s="23">
        <v>0</v>
      </c>
      <c r="BH34" s="23">
        <v>0.79365079365079361</v>
      </c>
      <c r="BK34" s="23">
        <v>5.6962025316455694E-2</v>
      </c>
      <c r="BL34" s="23">
        <v>6.3291139240506328E-3</v>
      </c>
      <c r="BM34" s="23">
        <v>0.35443037974683544</v>
      </c>
      <c r="BN34" s="23">
        <v>0.58227848101265822</v>
      </c>
      <c r="BR34" s="23">
        <v>0.63120567375886527</v>
      </c>
      <c r="BS34" s="23">
        <v>0.48451327433628316</v>
      </c>
      <c r="BT34" s="23">
        <v>0.68993288590604029</v>
      </c>
      <c r="BU34" s="23">
        <v>0.55776892430278879</v>
      </c>
      <c r="BV34" s="23">
        <v>0.5625</v>
      </c>
      <c r="BW34" s="23">
        <v>0.20987654320987653</v>
      </c>
      <c r="CA34" s="23">
        <v>0.53714285714285714</v>
      </c>
      <c r="CB34" s="23">
        <v>0.62886597938144329</v>
      </c>
      <c r="CC34" s="23">
        <v>0.6470588235294118</v>
      </c>
      <c r="CD34" s="23">
        <v>0.63157894736842102</v>
      </c>
      <c r="CE34" s="23">
        <v>0.6</v>
      </c>
      <c r="CF34" s="23">
        <v>0.55200000000000005</v>
      </c>
      <c r="CK34" s="23">
        <v>2.7777777777777776E-2</v>
      </c>
      <c r="CL34" s="23">
        <v>0.10204081632653061</v>
      </c>
      <c r="CM34" s="23">
        <v>0.26027397260273971</v>
      </c>
      <c r="CN34" s="23">
        <v>0.41975308641975306</v>
      </c>
      <c r="CO34" s="23">
        <v>0.30909090909090908</v>
      </c>
      <c r="CP34" s="23">
        <v>0.24615384615384617</v>
      </c>
    </row>
    <row r="35" spans="3:94" x14ac:dyDescent="0.25">
      <c r="C35" s="21">
        <v>11.204481792717086</v>
      </c>
      <c r="D35" s="21">
        <v>40.935672514619881</v>
      </c>
      <c r="E35" s="21">
        <v>61.452513966480446</v>
      </c>
      <c r="F35" s="21">
        <v>46.703296703296701</v>
      </c>
      <c r="G35" s="21">
        <v>6.4102564102564106</v>
      </c>
      <c r="H35" s="21">
        <v>3.7453183520599249</v>
      </c>
      <c r="K35" s="23">
        <v>0</v>
      </c>
      <c r="L35" s="23">
        <v>4.1666666666666661</v>
      </c>
      <c r="M35" s="23">
        <v>8.1632653061224492</v>
      </c>
      <c r="N35" s="23">
        <v>8.3333333333333321</v>
      </c>
      <c r="O35" s="23">
        <v>0</v>
      </c>
      <c r="P35" s="23">
        <v>17.948717948717949</v>
      </c>
      <c r="Q35" s="23">
        <v>20.833333333333336</v>
      </c>
      <c r="R35" s="23">
        <v>11.76470588235294</v>
      </c>
      <c r="V35" s="23">
        <v>0.1915</v>
      </c>
      <c r="W35" s="23">
        <v>0.219</v>
      </c>
      <c r="X35" s="23">
        <v>0.3805</v>
      </c>
      <c r="Y35" s="23">
        <v>0.13550000000000001</v>
      </c>
      <c r="Z35" s="23">
        <v>3.3500000000000002E-2</v>
      </c>
      <c r="AA35" s="23">
        <v>0.04</v>
      </c>
      <c r="AE35" s="23">
        <v>4.4817927170868348E-2</v>
      </c>
      <c r="AF35" s="23">
        <v>4.3859649122807015E-2</v>
      </c>
      <c r="AG35" s="23">
        <v>5.5865921787709494E-2</v>
      </c>
      <c r="AH35" s="23">
        <v>6.043956043956044E-2</v>
      </c>
      <c r="AI35" s="23">
        <v>1.9230769230769232E-2</v>
      </c>
      <c r="AJ35" s="23">
        <v>3.7453183520599251E-3</v>
      </c>
      <c r="AO35" s="23">
        <v>1.1904761904761904E-2</v>
      </c>
      <c r="AP35" s="23">
        <v>3.1746031746031744E-2</v>
      </c>
      <c r="AQ35" s="23">
        <v>6.0402684563758392E-2</v>
      </c>
      <c r="AR35" s="23">
        <v>6.6666666666666666E-2</v>
      </c>
      <c r="AS35" s="23">
        <v>6.5326633165829151E-2</v>
      </c>
      <c r="AT35" s="23">
        <v>0.10084033613445378</v>
      </c>
      <c r="AU35" s="23">
        <v>4.8796356538711776E-2</v>
      </c>
      <c r="AW35" s="100">
        <v>80</v>
      </c>
      <c r="AX35" s="100">
        <v>37.5</v>
      </c>
      <c r="BB35" s="23">
        <v>0.8</v>
      </c>
      <c r="BC35" s="23">
        <v>0.84615384615384615</v>
      </c>
      <c r="BD35" s="23">
        <v>0.7857142857142857</v>
      </c>
      <c r="BE35" s="23">
        <v>0.76470588235294112</v>
      </c>
      <c r="BF35" s="23">
        <v>1</v>
      </c>
      <c r="BG35" s="23">
        <v>1</v>
      </c>
      <c r="BH35" s="23">
        <v>0.8125</v>
      </c>
      <c r="BK35" s="23">
        <v>8.771929824561403E-2</v>
      </c>
      <c r="BL35" s="23">
        <v>5.8479532163742687E-2</v>
      </c>
      <c r="BM35" s="23">
        <v>0.22807017543859648</v>
      </c>
      <c r="BN35" s="23">
        <v>0.6257309941520468</v>
      </c>
      <c r="BR35" s="23">
        <v>0.62924281984334207</v>
      </c>
      <c r="BS35" s="23">
        <v>0.4954337899543379</v>
      </c>
      <c r="BT35" s="23">
        <v>0.75821287779237845</v>
      </c>
      <c r="BU35" s="23">
        <v>0.58671586715867163</v>
      </c>
      <c r="BV35" s="23">
        <v>0.64179104477611937</v>
      </c>
      <c r="BW35" s="23">
        <v>0.21249999999999999</v>
      </c>
      <c r="CA35" s="23">
        <v>0.5535714285714286</v>
      </c>
      <c r="CB35" s="23">
        <v>0.69841269841269837</v>
      </c>
      <c r="CC35" s="23">
        <v>0.6912751677852349</v>
      </c>
      <c r="CD35" s="23">
        <v>0.68518518518518523</v>
      </c>
      <c r="CE35" s="23">
        <v>0.60301507537688437</v>
      </c>
      <c r="CF35" s="23">
        <v>0.66386554621848737</v>
      </c>
      <c r="CK35" s="23">
        <v>3.2653061224489799E-2</v>
      </c>
      <c r="CL35" s="23">
        <v>0.18584070796460178</v>
      </c>
      <c r="CM35" s="23">
        <v>0.25</v>
      </c>
      <c r="CN35" s="23">
        <v>0.35135135135135137</v>
      </c>
      <c r="CO35" s="23">
        <v>0.32911392405063289</v>
      </c>
      <c r="CP35" s="23">
        <v>0.2982456140350877</v>
      </c>
    </row>
    <row r="36" spans="3:94" x14ac:dyDescent="0.25">
      <c r="C36" s="21">
        <v>30.05464480874317</v>
      </c>
      <c r="D36" s="21">
        <v>56.29139072847682</v>
      </c>
      <c r="E36" s="21">
        <v>84.615384615384613</v>
      </c>
      <c r="F36" s="21">
        <v>30.726256983240223</v>
      </c>
      <c r="G36" s="21">
        <v>34.722222222222221</v>
      </c>
      <c r="H36" s="21">
        <v>10.135135135135135</v>
      </c>
      <c r="K36" s="23">
        <v>0</v>
      </c>
      <c r="L36" s="23">
        <v>5.1948051948051948</v>
      </c>
      <c r="M36" s="23">
        <v>8.8524590163934427</v>
      </c>
      <c r="N36" s="23">
        <v>9.5238095238095237</v>
      </c>
      <c r="O36" s="23">
        <v>0</v>
      </c>
      <c r="P36" s="23">
        <v>25.806451612903224</v>
      </c>
      <c r="Q36" s="23">
        <v>30.882352941176471</v>
      </c>
      <c r="R36" s="23">
        <v>13.636363636363635</v>
      </c>
      <c r="V36" s="23">
        <v>0.20200000000000001</v>
      </c>
      <c r="W36" s="23">
        <v>0.2195</v>
      </c>
      <c r="X36" s="23">
        <v>0.35399999999999998</v>
      </c>
      <c r="Y36" s="23">
        <v>0.13800000000000001</v>
      </c>
      <c r="Z36" s="23">
        <v>3.85E-2</v>
      </c>
      <c r="AA36" s="23">
        <v>4.8000000000000001E-2</v>
      </c>
      <c r="AE36" s="23">
        <v>4.0983606557377046E-2</v>
      </c>
      <c r="AF36" s="23">
        <v>7.6158940397350994E-2</v>
      </c>
      <c r="AG36" s="23">
        <v>6.9230769230769235E-2</v>
      </c>
      <c r="AH36" s="23">
        <v>5.5865921787709494E-2</v>
      </c>
      <c r="AI36" s="23">
        <v>3.4722222222222224E-2</v>
      </c>
      <c r="AJ36" s="23">
        <v>3.3783783783783786E-3</v>
      </c>
      <c r="AO36" s="23">
        <v>1.1494252873563218E-2</v>
      </c>
      <c r="AP36" s="23">
        <v>2.6217228464419477E-2</v>
      </c>
      <c r="AQ36" s="23">
        <v>8.0246913580246909E-2</v>
      </c>
      <c r="AR36" s="23">
        <v>6.9767441860465115E-2</v>
      </c>
      <c r="AS36" s="23">
        <v>8.6956521739130432E-2</v>
      </c>
      <c r="AT36" s="23">
        <v>0.1092436974789916</v>
      </c>
      <c r="AU36" s="23">
        <v>5.6000000000000001E-2</v>
      </c>
      <c r="AW36" s="100">
        <v>96</v>
      </c>
      <c r="AX36" s="100">
        <v>42</v>
      </c>
      <c r="BB36" s="23">
        <v>0.76923076923076927</v>
      </c>
      <c r="BC36" s="23">
        <v>0.93333333333333335</v>
      </c>
      <c r="BD36" s="23">
        <v>0.90476190476190477</v>
      </c>
      <c r="BE36" s="23">
        <v>0.81818181818181823</v>
      </c>
      <c r="BF36" s="23">
        <v>0.66666666666666663</v>
      </c>
      <c r="BH36" s="23">
        <v>0.84057971014492749</v>
      </c>
      <c r="BK36" s="23">
        <v>0.10778443113772455</v>
      </c>
      <c r="BL36" s="23">
        <v>8.9820359281437126E-2</v>
      </c>
      <c r="BM36" s="23">
        <v>0.25748502994011974</v>
      </c>
      <c r="BN36" s="23">
        <v>0.54491017964071853</v>
      </c>
      <c r="BR36" s="23">
        <v>0.5866336633663366</v>
      </c>
      <c r="BS36" s="23">
        <v>0.52391799544419138</v>
      </c>
      <c r="BT36" s="23">
        <v>0.7076271186440678</v>
      </c>
      <c r="BU36" s="23">
        <v>0.65217391304347827</v>
      </c>
      <c r="BV36" s="23">
        <v>0.62337662337662336</v>
      </c>
      <c r="BW36" s="23">
        <v>0.17708333333333334</v>
      </c>
      <c r="CA36" s="23">
        <v>0.52298850574712641</v>
      </c>
      <c r="CB36" s="23">
        <v>0.72284644194756553</v>
      </c>
      <c r="CC36" s="23">
        <v>0.70370370370370372</v>
      </c>
      <c r="CD36" s="23">
        <v>0.64341085271317833</v>
      </c>
      <c r="CE36" s="23">
        <v>0.625</v>
      </c>
      <c r="CF36" s="23">
        <v>0.63025210084033612</v>
      </c>
      <c r="CK36" s="23">
        <v>3.0303030303030304E-2</v>
      </c>
      <c r="CL36" s="23">
        <v>0.11827956989247312</v>
      </c>
      <c r="CM36" s="23">
        <v>0.33333333333333331</v>
      </c>
      <c r="CN36" s="23">
        <v>0.33707865168539325</v>
      </c>
      <c r="CO36" s="23">
        <v>0.38666666666666666</v>
      </c>
      <c r="CP36" s="23">
        <v>0.36956521739130432</v>
      </c>
    </row>
    <row r="37" spans="3:94" x14ac:dyDescent="0.25">
      <c r="C37" s="21">
        <v>40.498442367601243</v>
      </c>
      <c r="D37" s="21">
        <v>67.708333333333329</v>
      </c>
      <c r="E37" s="21">
        <v>72.463768115942031</v>
      </c>
      <c r="F37" s="21">
        <v>48.991354466858787</v>
      </c>
      <c r="G37" s="21">
        <v>38.123167155425222</v>
      </c>
      <c r="H37" s="21">
        <v>7.6335877862595423</v>
      </c>
      <c r="K37" s="23">
        <v>0</v>
      </c>
      <c r="L37" s="23">
        <v>9.8360655737704921</v>
      </c>
      <c r="M37" s="23">
        <v>10.410094637223976</v>
      </c>
      <c r="N37" s="23">
        <v>6.25</v>
      </c>
      <c r="O37" s="23">
        <v>0</v>
      </c>
      <c r="P37" s="23">
        <v>16.666666666666664</v>
      </c>
      <c r="Q37" s="23">
        <v>29.508196721311474</v>
      </c>
      <c r="R37" s="23">
        <v>15.789473684210526</v>
      </c>
      <c r="V37" s="23">
        <v>0.20549999999999999</v>
      </c>
      <c r="W37" s="23">
        <v>0.20649999999999999</v>
      </c>
      <c r="X37" s="23">
        <v>0.36649999999999999</v>
      </c>
      <c r="Y37" s="23">
        <v>0.14399999999999999</v>
      </c>
      <c r="Z37" s="23">
        <v>3.1E-2</v>
      </c>
      <c r="AA37" s="23">
        <v>4.65E-2</v>
      </c>
      <c r="AE37" s="23">
        <v>2.4922118380062305E-2</v>
      </c>
      <c r="AF37" s="23">
        <v>9.1145833333333329E-2</v>
      </c>
      <c r="AG37" s="23">
        <v>6.0869565217391307E-2</v>
      </c>
      <c r="AH37" s="23">
        <v>5.1873198847262249E-2</v>
      </c>
      <c r="AI37" s="23">
        <v>2.6392961876832845E-2</v>
      </c>
      <c r="AJ37" s="23">
        <v>7.6335877862595417E-3</v>
      </c>
      <c r="AO37" s="23">
        <v>0</v>
      </c>
      <c r="AP37" s="23">
        <v>4.6920821114369501E-2</v>
      </c>
      <c r="AQ37" s="23">
        <v>5.6939501779359428E-2</v>
      </c>
      <c r="AR37" s="23">
        <v>6.9958847736625515E-2</v>
      </c>
      <c r="AS37" s="23">
        <v>6.9124423963133647E-2</v>
      </c>
      <c r="AT37" s="23">
        <v>3.8461538461538464E-2</v>
      </c>
      <c r="AU37" s="23">
        <v>4.5454545454545456E-2</v>
      </c>
      <c r="AW37" s="100">
        <v>93</v>
      </c>
      <c r="AX37" s="100">
        <v>34</v>
      </c>
      <c r="BB37" s="23">
        <v>0.8</v>
      </c>
      <c r="BC37" s="23">
        <v>0.86956521739130432</v>
      </c>
      <c r="BD37" s="23">
        <v>0.69230769230769229</v>
      </c>
      <c r="BE37" s="23">
        <v>0.83333333333333337</v>
      </c>
      <c r="BF37" s="23">
        <v>0.5</v>
      </c>
      <c r="BG37" s="23">
        <v>1</v>
      </c>
      <c r="BH37" s="23">
        <v>0.78787878787878785</v>
      </c>
      <c r="BK37" s="23">
        <v>9.420289855072464E-2</v>
      </c>
      <c r="BL37" s="23">
        <v>2.8985507246376812E-2</v>
      </c>
      <c r="BM37" s="23">
        <v>0.39855072463768115</v>
      </c>
      <c r="BN37" s="23">
        <v>0.47826086956521741</v>
      </c>
      <c r="BR37" s="23">
        <v>0.62530413625304138</v>
      </c>
      <c r="BS37" s="23">
        <v>0.48184019370460046</v>
      </c>
      <c r="BT37" s="23">
        <v>0.72851296043656211</v>
      </c>
      <c r="BU37" s="23">
        <v>0.62152777777777779</v>
      </c>
      <c r="BV37" s="23">
        <v>0.56451612903225812</v>
      </c>
      <c r="BW37" s="23">
        <v>0.15053763440860216</v>
      </c>
      <c r="CA37" s="23">
        <v>0.52903225806451615</v>
      </c>
      <c r="CB37" s="23">
        <v>0.65982404692082108</v>
      </c>
      <c r="CC37" s="23">
        <v>0.66903914590747326</v>
      </c>
      <c r="CD37" s="23">
        <v>0.72016460905349799</v>
      </c>
      <c r="CE37" s="23">
        <v>0.61290322580645162</v>
      </c>
      <c r="CF37" s="23">
        <v>0.59615384615384615</v>
      </c>
      <c r="CK37" s="23">
        <v>1.7699115044247787E-2</v>
      </c>
      <c r="CL37" s="23">
        <v>0.19672131147540983</v>
      </c>
      <c r="CM37" s="23">
        <v>0.26190476190476192</v>
      </c>
      <c r="CN37" s="23">
        <v>0.33333333333333331</v>
      </c>
      <c r="CO37" s="23">
        <v>0.2857142857142857</v>
      </c>
      <c r="CP37" s="23">
        <v>0.19047619047619047</v>
      </c>
    </row>
    <row r="38" spans="3:94" x14ac:dyDescent="0.25">
      <c r="C38" s="21">
        <v>41.56479217603912</v>
      </c>
      <c r="D38" s="21">
        <v>67.79661016949153</v>
      </c>
      <c r="E38" s="21">
        <v>57.851239669421489</v>
      </c>
      <c r="F38" s="21">
        <v>61.425061425061422</v>
      </c>
      <c r="G38" s="21">
        <v>26.717557251908396</v>
      </c>
      <c r="H38" s="21">
        <v>0</v>
      </c>
      <c r="K38" s="23">
        <v>0</v>
      </c>
      <c r="L38" s="23">
        <v>3.3898305084745761</v>
      </c>
      <c r="M38" s="23">
        <v>11.875</v>
      </c>
      <c r="N38" s="23">
        <v>14.285714285714285</v>
      </c>
      <c r="O38" s="23">
        <v>0</v>
      </c>
      <c r="P38" s="23">
        <v>15.894039735099339</v>
      </c>
      <c r="Q38" s="23">
        <v>18.367346938775512</v>
      </c>
      <c r="R38" s="23">
        <v>14.285714285714285</v>
      </c>
      <c r="V38" s="23">
        <v>0.20250000000000001</v>
      </c>
      <c r="W38" s="23">
        <v>0.22950000000000001</v>
      </c>
      <c r="X38" s="23">
        <v>0.3725</v>
      </c>
      <c r="Y38" s="23">
        <v>0.129</v>
      </c>
      <c r="Z38" s="23">
        <v>2.5999999999999999E-2</v>
      </c>
      <c r="AA38" s="23">
        <v>4.0500000000000001E-2</v>
      </c>
      <c r="AE38" s="23">
        <v>3.1784841075794622E-2</v>
      </c>
      <c r="AF38" s="23">
        <v>4.7457627118644069E-2</v>
      </c>
      <c r="AG38" s="23">
        <v>6.6115702479338845E-2</v>
      </c>
      <c r="AH38" s="23">
        <v>6.1425061425061427E-2</v>
      </c>
      <c r="AI38" s="23">
        <v>1.5267175572519083E-2</v>
      </c>
      <c r="AJ38" s="23">
        <v>3.787878787878788E-3</v>
      </c>
      <c r="AO38" s="23">
        <v>7.6530612244897957E-3</v>
      </c>
      <c r="AP38" s="23">
        <v>3.7313432835820892E-2</v>
      </c>
      <c r="AQ38" s="23">
        <v>7.1428571428571425E-2</v>
      </c>
      <c r="AR38" s="23">
        <v>7.5268817204301078E-2</v>
      </c>
      <c r="AS38" s="23">
        <v>4.1666666666666664E-2</v>
      </c>
      <c r="AT38" s="23">
        <v>8.8495575221238937E-2</v>
      </c>
      <c r="AU38" s="23">
        <v>4.7556142668428003E-2</v>
      </c>
      <c r="AW38" s="100">
        <v>81</v>
      </c>
      <c r="AX38" s="100">
        <v>36</v>
      </c>
      <c r="BB38" s="23">
        <v>0.5714285714285714</v>
      </c>
      <c r="BC38" s="23">
        <v>0.63636363636363635</v>
      </c>
      <c r="BD38" s="23">
        <v>0.72222222222222221</v>
      </c>
      <c r="BE38" s="23">
        <v>0.73684210526315785</v>
      </c>
      <c r="BF38" s="23">
        <v>0.66666666666666663</v>
      </c>
      <c r="BG38" s="23">
        <v>0</v>
      </c>
      <c r="BH38" s="23">
        <v>0.66666666666666663</v>
      </c>
      <c r="BK38" s="23">
        <v>8.4415584415584416E-2</v>
      </c>
      <c r="BL38" s="23">
        <v>4.5454545454545456E-2</v>
      </c>
      <c r="BM38" s="23">
        <v>0.31818181818181818</v>
      </c>
      <c r="BN38" s="23">
        <v>0.55194805194805197</v>
      </c>
      <c r="BR38" s="23">
        <v>0.62716049382716055</v>
      </c>
      <c r="BS38" s="23">
        <v>0.48801742919389979</v>
      </c>
      <c r="BT38" s="23">
        <v>0.71006711409395973</v>
      </c>
      <c r="BU38" s="23">
        <v>0.5736434108527132</v>
      </c>
      <c r="BV38" s="23">
        <v>0.73076923076923073</v>
      </c>
      <c r="BW38" s="23">
        <v>0.14814814814814814</v>
      </c>
      <c r="CA38" s="23">
        <v>0.51020408163265307</v>
      </c>
      <c r="CB38" s="23">
        <v>0.71268656716417911</v>
      </c>
      <c r="CC38" s="23">
        <v>0.71088435374149661</v>
      </c>
      <c r="CD38" s="23">
        <v>0.61648745519713266</v>
      </c>
      <c r="CE38" s="23">
        <v>0.58333333333333337</v>
      </c>
      <c r="CF38" s="23">
        <v>0.61061946902654862</v>
      </c>
      <c r="CK38" s="23">
        <v>2.0202020202020204E-2</v>
      </c>
      <c r="CL38" s="23">
        <v>0.18390804597701149</v>
      </c>
      <c r="CM38" s="23">
        <v>0.31395348837209303</v>
      </c>
      <c r="CN38" s="23">
        <v>0.39285714285714285</v>
      </c>
      <c r="CO38" s="23">
        <v>0.25862068965517243</v>
      </c>
      <c r="CP38" s="23">
        <v>0.26</v>
      </c>
    </row>
    <row r="39" spans="3:94" x14ac:dyDescent="0.25">
      <c r="C39" s="21">
        <v>49.668874172185433</v>
      </c>
      <c r="D39" s="21">
        <v>66.282420749279538</v>
      </c>
      <c r="E39" s="21">
        <v>73.232323232323239</v>
      </c>
      <c r="F39" s="21">
        <v>84.142394822006466</v>
      </c>
      <c r="G39" s="21">
        <v>41.666666666666664</v>
      </c>
      <c r="H39" s="21">
        <v>0</v>
      </c>
      <c r="K39" s="23">
        <v>0</v>
      </c>
      <c r="L39" s="23">
        <v>2.8985507246376812</v>
      </c>
      <c r="M39" s="23">
        <v>8.4690553745928341</v>
      </c>
      <c r="N39" s="23">
        <v>3.3333333333333335</v>
      </c>
      <c r="O39" s="23">
        <v>0</v>
      </c>
      <c r="P39" s="23">
        <v>23.316062176165804</v>
      </c>
      <c r="Q39" s="23">
        <v>34.375</v>
      </c>
      <c r="R39" s="23">
        <v>17.391304347826086</v>
      </c>
      <c r="V39" s="23">
        <v>0.20300000000000001</v>
      </c>
      <c r="W39" s="23">
        <v>0.21</v>
      </c>
      <c r="X39" s="23">
        <v>0.39200000000000002</v>
      </c>
      <c r="Y39" s="23">
        <v>0.121</v>
      </c>
      <c r="Z39" s="23">
        <v>3.1E-2</v>
      </c>
      <c r="AA39" s="23">
        <v>4.2999999999999997E-2</v>
      </c>
      <c r="AE39" s="23">
        <v>3.9735099337748346E-2</v>
      </c>
      <c r="AF39" s="23">
        <v>5.7636887608069162E-2</v>
      </c>
      <c r="AG39" s="23">
        <v>5.808080808080808E-2</v>
      </c>
      <c r="AH39" s="23">
        <v>6.4724919093851127E-2</v>
      </c>
      <c r="AI39" s="23">
        <v>2.6785714285714284E-2</v>
      </c>
      <c r="AJ39" s="23">
        <v>6.4516129032258064E-3</v>
      </c>
      <c r="AO39" s="23">
        <v>1.384083044982699E-2</v>
      </c>
      <c r="AP39" s="23">
        <v>1.9047619047619049E-2</v>
      </c>
      <c r="AQ39" s="23">
        <v>7.1207430340557279E-2</v>
      </c>
      <c r="AR39" s="23">
        <v>4.072398190045249E-2</v>
      </c>
      <c r="AS39" s="23">
        <v>5.5299539170506916E-2</v>
      </c>
      <c r="AT39" s="23">
        <v>8.3916083916083919E-2</v>
      </c>
      <c r="AU39" s="23">
        <v>4.3766578249336871E-2</v>
      </c>
      <c r="AW39" s="100">
        <v>86</v>
      </c>
      <c r="AX39" s="100">
        <v>33</v>
      </c>
      <c r="BB39" s="23">
        <v>0.84615384615384615</v>
      </c>
      <c r="BC39" s="23">
        <v>0.73684210526315785</v>
      </c>
      <c r="BD39" s="23">
        <v>0.7857142857142857</v>
      </c>
      <c r="BE39" s="23">
        <v>0.66666666666666663</v>
      </c>
      <c r="BF39" s="23">
        <v>0.8571428571428571</v>
      </c>
      <c r="BG39" s="23">
        <v>1</v>
      </c>
      <c r="BH39" s="23">
        <v>0.77611940298507465</v>
      </c>
      <c r="BK39" s="23">
        <v>0.15441176470588236</v>
      </c>
      <c r="BL39" s="23">
        <v>2.2058823529411766E-2</v>
      </c>
      <c r="BM39" s="23">
        <v>0.3014705882352941</v>
      </c>
      <c r="BN39" s="23">
        <v>0.5220588235294118</v>
      </c>
      <c r="BR39" s="23">
        <v>0.64532019704433496</v>
      </c>
      <c r="BS39" s="23">
        <v>0.5357142857142857</v>
      </c>
      <c r="BT39" s="23">
        <v>0.72831632653061229</v>
      </c>
      <c r="BU39" s="23">
        <v>0.6198347107438017</v>
      </c>
      <c r="BV39" s="23">
        <v>0.62903225806451613</v>
      </c>
      <c r="BW39" s="23">
        <v>0.12790697674418605</v>
      </c>
      <c r="CA39" s="23">
        <v>0.57785467128027679</v>
      </c>
      <c r="CB39" s="23">
        <v>0.68888888888888888</v>
      </c>
      <c r="CC39" s="23">
        <v>0.66563467492260064</v>
      </c>
      <c r="CD39" s="23">
        <v>0.6244343891402715</v>
      </c>
      <c r="CE39" s="23">
        <v>0.69585253456221197</v>
      </c>
      <c r="CF39" s="23">
        <v>0.67832167832167833</v>
      </c>
      <c r="CK39" s="23">
        <v>3.4313725490196081E-2</v>
      </c>
      <c r="CL39" s="23">
        <v>9.3457943925233641E-2</v>
      </c>
      <c r="CM39" s="23">
        <v>0.31683168316831684</v>
      </c>
      <c r="CN39" s="23">
        <v>0.29508196721311475</v>
      </c>
      <c r="CO39" s="23">
        <v>0.25333333333333335</v>
      </c>
      <c r="CP39" s="23">
        <v>0.26666666666666666</v>
      </c>
    </row>
    <row r="40" spans="3:94" x14ac:dyDescent="0.25">
      <c r="C40" s="21">
        <v>26.315789473684209</v>
      </c>
      <c r="D40" s="21">
        <v>54.285714285714285</v>
      </c>
      <c r="E40" s="21">
        <v>39.513677811550153</v>
      </c>
      <c r="F40" s="21">
        <v>55.555555555555557</v>
      </c>
      <c r="G40" s="21">
        <v>30</v>
      </c>
      <c r="H40" s="21">
        <v>0</v>
      </c>
      <c r="K40" s="23">
        <v>0</v>
      </c>
      <c r="L40" s="23">
        <v>3.4482758620689653</v>
      </c>
      <c r="M40" s="23">
        <v>12.232415902140673</v>
      </c>
      <c r="N40" s="23">
        <v>20.833333333333336</v>
      </c>
      <c r="O40" s="23">
        <v>0.52356020942408377</v>
      </c>
      <c r="P40" s="23">
        <v>12</v>
      </c>
      <c r="Q40" s="23">
        <v>15.384615384615385</v>
      </c>
      <c r="R40" s="23">
        <v>19.230769230769234</v>
      </c>
      <c r="V40" s="23">
        <v>0.20100000000000001</v>
      </c>
      <c r="W40" s="23">
        <v>0.222</v>
      </c>
      <c r="X40" s="23">
        <v>0.377</v>
      </c>
      <c r="Y40" s="23">
        <v>0.121</v>
      </c>
      <c r="Z40" s="23">
        <v>3.7999999999999999E-2</v>
      </c>
      <c r="AA40" s="23">
        <v>4.1000000000000002E-2</v>
      </c>
      <c r="AE40" s="23">
        <v>3.6842105263157891E-2</v>
      </c>
      <c r="AF40" s="23">
        <v>4.5714285714285714E-2</v>
      </c>
      <c r="AG40" s="23">
        <v>8.5106382978723402E-2</v>
      </c>
      <c r="AH40" s="23">
        <v>5.3030303030303032E-2</v>
      </c>
      <c r="AI40" s="23">
        <v>3.3333333333333335E-3</v>
      </c>
      <c r="AJ40" s="23">
        <v>8.1632653061224497E-3</v>
      </c>
      <c r="AO40" s="23">
        <v>5.5401662049861496E-3</v>
      </c>
      <c r="AP40" s="23">
        <v>4.746835443037975E-2</v>
      </c>
      <c r="AQ40" s="23">
        <v>6.6929133858267723E-2</v>
      </c>
      <c r="AR40" s="23">
        <v>7.8014184397163122E-2</v>
      </c>
      <c r="AS40" s="23">
        <v>5.9113300492610835E-2</v>
      </c>
      <c r="AT40" s="23">
        <v>0.05</v>
      </c>
      <c r="AU40" s="23">
        <v>4.8153034300791556E-2</v>
      </c>
      <c r="AW40" s="100">
        <v>82</v>
      </c>
      <c r="AX40" s="100">
        <v>36.5</v>
      </c>
      <c r="BB40" s="23">
        <v>0.7857142857142857</v>
      </c>
      <c r="BC40" s="23">
        <v>0.69230769230769229</v>
      </c>
      <c r="BD40" s="23">
        <v>0.8571428571428571</v>
      </c>
      <c r="BE40" s="23">
        <v>0.68421052631578949</v>
      </c>
      <c r="BF40" s="23">
        <v>0</v>
      </c>
      <c r="BG40" s="23">
        <v>0</v>
      </c>
      <c r="BH40" s="23">
        <v>0.72580645161290325</v>
      </c>
      <c r="BK40" s="23">
        <v>0.10928961748633879</v>
      </c>
      <c r="BL40" s="23">
        <v>3.825136612021858E-2</v>
      </c>
      <c r="BM40" s="23">
        <v>0.16939890710382513</v>
      </c>
      <c r="BN40" s="23">
        <v>0.68306010928961747</v>
      </c>
      <c r="BR40" s="23">
        <v>0.64179104477611937</v>
      </c>
      <c r="BS40" s="23">
        <v>0.56306306306306309</v>
      </c>
      <c r="BT40" s="23">
        <v>0.72944297082228116</v>
      </c>
      <c r="BU40" s="23">
        <v>0.6074380165289256</v>
      </c>
      <c r="BV40" s="23">
        <v>0.56578947368421051</v>
      </c>
      <c r="BW40" s="23">
        <v>0.23170731707317074</v>
      </c>
      <c r="CA40" s="23">
        <v>0.57617728531855961</v>
      </c>
      <c r="CB40" s="23">
        <v>0.72468354430379744</v>
      </c>
      <c r="CC40" s="23">
        <v>0.65748031496062997</v>
      </c>
      <c r="CD40" s="23">
        <v>0.67730496453900713</v>
      </c>
      <c r="CE40" s="23">
        <v>0.64039408866995073</v>
      </c>
      <c r="CF40" s="23">
        <v>0.65</v>
      </c>
      <c r="CK40" s="23">
        <v>2.3622047244094488E-2</v>
      </c>
      <c r="CL40" s="23">
        <v>0.16666666666666666</v>
      </c>
      <c r="CM40" s="23">
        <v>0.28915662650602408</v>
      </c>
      <c r="CN40" s="23">
        <v>0.38947368421052631</v>
      </c>
      <c r="CO40" s="23">
        <v>0.30769230769230771</v>
      </c>
      <c r="CP40" s="23">
        <v>0.23684210526315788</v>
      </c>
    </row>
    <row r="41" spans="3:94" x14ac:dyDescent="0.25">
      <c r="C41" s="21">
        <v>31.33903133903134</v>
      </c>
      <c r="D41" s="21">
        <v>77.881619937694708</v>
      </c>
      <c r="E41" s="21">
        <v>64.599483204134373</v>
      </c>
      <c r="F41" s="21">
        <v>57.47126436781609</v>
      </c>
      <c r="G41" s="21">
        <v>19.736842105263158</v>
      </c>
      <c r="H41" s="21">
        <v>0</v>
      </c>
      <c r="K41" s="23">
        <v>0</v>
      </c>
      <c r="L41" s="23">
        <v>10.526315789473683</v>
      </c>
      <c r="M41" s="23">
        <v>14.925373134328357</v>
      </c>
      <c r="N41" s="23">
        <v>4</v>
      </c>
      <c r="O41" s="23">
        <v>0</v>
      </c>
      <c r="P41" s="23">
        <v>17.006802721088434</v>
      </c>
      <c r="Q41" s="23">
        <v>20.967741935483872</v>
      </c>
      <c r="R41" s="23">
        <v>17.241379310344829</v>
      </c>
      <c r="V41" s="23">
        <v>0.20649999999999999</v>
      </c>
      <c r="W41" s="23">
        <v>0.2155</v>
      </c>
      <c r="X41" s="23">
        <v>0.3695</v>
      </c>
      <c r="Y41" s="23">
        <v>0.1265</v>
      </c>
      <c r="Z41" s="23">
        <v>3.2500000000000001E-2</v>
      </c>
      <c r="AA41" s="23">
        <v>4.9500000000000002E-2</v>
      </c>
      <c r="AE41" s="23">
        <v>3.9886039886039885E-2</v>
      </c>
      <c r="AF41" s="23">
        <v>6.2305295950155763E-2</v>
      </c>
      <c r="AG41" s="23">
        <v>6.9767441860465115E-2</v>
      </c>
      <c r="AH41" s="23">
        <v>7.183908045977011E-2</v>
      </c>
      <c r="AI41" s="23">
        <v>3.2894736842105261E-2</v>
      </c>
      <c r="AJ41" s="23">
        <v>1.0380622837370242E-2</v>
      </c>
      <c r="AO41" s="23">
        <v>2.9850746268656717E-3</v>
      </c>
      <c r="AP41" s="23">
        <v>3.1802120141342753E-2</v>
      </c>
      <c r="AQ41" s="23">
        <v>6.3091482649842268E-2</v>
      </c>
      <c r="AR41" s="23">
        <v>6.25E-2</v>
      </c>
      <c r="AS41" s="23">
        <v>0.10526315789473684</v>
      </c>
      <c r="AT41" s="23">
        <v>0.10569105691056911</v>
      </c>
      <c r="AU41" s="23">
        <v>5.2419354838709679E-2</v>
      </c>
      <c r="AW41" s="100">
        <v>99</v>
      </c>
      <c r="AX41" s="100">
        <v>39</v>
      </c>
      <c r="BB41" s="23">
        <v>0.69230769230769229</v>
      </c>
      <c r="BC41" s="23">
        <v>0.78947368421052633</v>
      </c>
      <c r="BD41" s="23">
        <v>0.80952380952380953</v>
      </c>
      <c r="BE41" s="23">
        <v>0.75</v>
      </c>
      <c r="BF41" s="23">
        <v>0.77777777777777779</v>
      </c>
      <c r="BG41" s="23">
        <v>0</v>
      </c>
      <c r="BH41" s="23">
        <v>0.75</v>
      </c>
      <c r="BK41" s="23">
        <v>0.10891089108910891</v>
      </c>
      <c r="BL41" s="23">
        <v>8.9108910891089105E-2</v>
      </c>
      <c r="BM41" s="23">
        <v>0.23267326732673269</v>
      </c>
      <c r="BN41" s="23">
        <v>0.56930693069306926</v>
      </c>
      <c r="BR41" s="23">
        <v>0.61743341404358354</v>
      </c>
      <c r="BS41" s="23">
        <v>0.51044083526682138</v>
      </c>
      <c r="BT41" s="23">
        <v>0.72395128552097432</v>
      </c>
      <c r="BU41" s="23">
        <v>0.62845849802371545</v>
      </c>
      <c r="BV41" s="23">
        <v>0.63076923076923075</v>
      </c>
      <c r="BW41" s="23">
        <v>0.16161616161616163</v>
      </c>
      <c r="CA41" s="23">
        <v>0.5283582089552239</v>
      </c>
      <c r="CB41" s="23">
        <v>0.67137809187279152</v>
      </c>
      <c r="CC41" s="23">
        <v>0.73501577287066244</v>
      </c>
      <c r="CD41" s="23">
        <v>0.66666666666666663</v>
      </c>
      <c r="CE41" s="23">
        <v>0.62631578947368416</v>
      </c>
      <c r="CF41" s="23">
        <v>0.61788617886178865</v>
      </c>
      <c r="CK41" s="23">
        <v>1.2345679012345678E-2</v>
      </c>
      <c r="CL41" s="23">
        <v>0.11764705882352941</v>
      </c>
      <c r="CM41" s="23">
        <v>0.29166666666666669</v>
      </c>
      <c r="CN41" s="23">
        <v>0.4</v>
      </c>
      <c r="CO41" s="23">
        <v>0.41666666666666669</v>
      </c>
      <c r="CP41" s="23">
        <v>0.30909090909090908</v>
      </c>
    </row>
    <row r="42" spans="3:94" x14ac:dyDescent="0.25">
      <c r="C42" s="21">
        <v>19.23076923076923</v>
      </c>
      <c r="D42" s="21">
        <v>79.268292682926827</v>
      </c>
      <c r="E42" s="21">
        <v>52.486187845303867</v>
      </c>
      <c r="F42" s="21">
        <v>59.13978494623656</v>
      </c>
      <c r="G42" s="21">
        <v>23.255813953488371</v>
      </c>
      <c r="H42" s="21">
        <v>7.3260073260073257</v>
      </c>
      <c r="K42" s="23">
        <v>0</v>
      </c>
      <c r="L42" s="23">
        <v>1.4492753623188406</v>
      </c>
      <c r="M42" s="23">
        <v>9.0634441087613293</v>
      </c>
      <c r="N42" s="23">
        <v>13.043478260869565</v>
      </c>
      <c r="O42" s="23">
        <v>0</v>
      </c>
      <c r="P42" s="23">
        <v>21.951219512195124</v>
      </c>
      <c r="Q42" s="23">
        <v>12.5</v>
      </c>
      <c r="R42" s="23">
        <v>14.705882352941178</v>
      </c>
      <c r="V42" s="23">
        <v>0.19800000000000001</v>
      </c>
      <c r="W42" s="23">
        <v>0.214</v>
      </c>
      <c r="X42" s="23">
        <v>0.39950000000000002</v>
      </c>
      <c r="Y42" s="23">
        <v>0.1265</v>
      </c>
      <c r="Z42" s="23">
        <v>3.0499999999999999E-2</v>
      </c>
      <c r="AA42" s="23">
        <v>3.15E-2</v>
      </c>
      <c r="AE42" s="23">
        <v>3.021978021978022E-2</v>
      </c>
      <c r="AF42" s="23">
        <v>4.2682926829268296E-2</v>
      </c>
      <c r="AG42" s="23">
        <v>5.5248618784530384E-2</v>
      </c>
      <c r="AH42" s="23">
        <v>2.9569892473118281E-2</v>
      </c>
      <c r="AI42" s="23">
        <v>2.3255813953488372E-2</v>
      </c>
      <c r="AJ42" s="23">
        <v>0</v>
      </c>
      <c r="AO42" s="23">
        <v>8.5227272727272721E-3</v>
      </c>
      <c r="AP42" s="23">
        <v>1.9801980198019802E-2</v>
      </c>
      <c r="AQ42" s="23">
        <v>4.3046357615894038E-2</v>
      </c>
      <c r="AR42" s="23">
        <v>6.3432835820895525E-2</v>
      </c>
      <c r="AS42" s="23">
        <v>8.6294416243654817E-2</v>
      </c>
      <c r="AT42" s="23">
        <v>9.2436974789915971E-2</v>
      </c>
      <c r="AU42" s="23">
        <v>4.3478260869565216E-2</v>
      </c>
      <c r="AW42" s="100">
        <v>63</v>
      </c>
      <c r="AX42" s="100">
        <v>33.5</v>
      </c>
      <c r="BB42" s="23">
        <v>0.7142857142857143</v>
      </c>
      <c r="BC42" s="23">
        <v>0.6</v>
      </c>
      <c r="BD42" s="23">
        <v>0.61111111111111116</v>
      </c>
      <c r="BE42" s="23">
        <v>0.63636363636363635</v>
      </c>
      <c r="BF42" s="23">
        <v>0.66666666666666663</v>
      </c>
      <c r="BH42" s="23">
        <v>0.64406779661016944</v>
      </c>
      <c r="BK42" s="23">
        <v>0.11224489795918367</v>
      </c>
      <c r="BL42" s="23">
        <v>5.1020408163265307E-2</v>
      </c>
      <c r="BM42" s="23">
        <v>0.33673469387755101</v>
      </c>
      <c r="BN42" s="23">
        <v>0.5</v>
      </c>
      <c r="BR42" s="23">
        <v>0.65404040404040409</v>
      </c>
      <c r="BS42" s="23">
        <v>0.52570093457943923</v>
      </c>
      <c r="BT42" s="23">
        <v>0.68961201501877345</v>
      </c>
      <c r="BU42" s="23">
        <v>0.62450592885375489</v>
      </c>
      <c r="BV42" s="23">
        <v>0.70491803278688525</v>
      </c>
      <c r="BW42" s="23">
        <v>0.25396825396825395</v>
      </c>
      <c r="CA42" s="23">
        <v>0.52272727272727271</v>
      </c>
      <c r="CB42" s="23">
        <v>0.69306930693069302</v>
      </c>
      <c r="CC42" s="23">
        <v>0.70860927152317876</v>
      </c>
      <c r="CD42" s="23">
        <v>0.63432835820895528</v>
      </c>
      <c r="CE42" s="23">
        <v>0.6142131979695431</v>
      </c>
      <c r="CF42" s="23">
        <v>0.65546218487394958</v>
      </c>
      <c r="CK42" s="23">
        <v>2.3715415019762844E-2</v>
      </c>
      <c r="CL42" s="23">
        <v>9.0909090909090912E-2</v>
      </c>
      <c r="CM42" s="23">
        <v>0.26027397260273971</v>
      </c>
      <c r="CN42" s="23">
        <v>0.37804878048780488</v>
      </c>
      <c r="CO42" s="23">
        <v>0.35135135135135137</v>
      </c>
      <c r="CP42" s="23">
        <v>0.32500000000000001</v>
      </c>
    </row>
    <row r="43" spans="3:94" x14ac:dyDescent="0.25">
      <c r="C43" s="21">
        <v>33.434650455927049</v>
      </c>
      <c r="D43" s="21">
        <v>53.370786516853933</v>
      </c>
      <c r="E43" s="21">
        <v>72</v>
      </c>
      <c r="F43" s="21">
        <v>75.075075075075077</v>
      </c>
      <c r="G43" s="21">
        <v>21.406727828746178</v>
      </c>
      <c r="H43" s="21">
        <v>0</v>
      </c>
      <c r="K43" s="23">
        <v>0</v>
      </c>
      <c r="L43" s="23">
        <v>5.1948051948051948</v>
      </c>
      <c r="M43" s="23">
        <v>9.3457943925233646</v>
      </c>
      <c r="N43" s="23">
        <v>7.4074074074074066</v>
      </c>
      <c r="O43" s="23">
        <v>1.1494252873563218</v>
      </c>
      <c r="P43" s="23">
        <v>17.931034482758619</v>
      </c>
      <c r="Q43" s="23">
        <v>19.117647058823529</v>
      </c>
      <c r="R43" s="23">
        <v>13.636363636363635</v>
      </c>
      <c r="V43" s="23">
        <v>0.19500000000000001</v>
      </c>
      <c r="W43" s="23">
        <v>0.2165</v>
      </c>
      <c r="X43" s="23">
        <v>0.3755</v>
      </c>
      <c r="Y43" s="23">
        <v>0.14299999999999999</v>
      </c>
      <c r="Z43" s="23">
        <v>3.15E-2</v>
      </c>
      <c r="AA43" s="23">
        <v>3.85E-2</v>
      </c>
      <c r="AE43" s="23">
        <v>3.3434650455927049E-2</v>
      </c>
      <c r="AF43" s="23">
        <v>6.1797752808988762E-2</v>
      </c>
      <c r="AG43" s="23">
        <v>5.6000000000000001E-2</v>
      </c>
      <c r="AH43" s="23">
        <v>5.1051051051051052E-2</v>
      </c>
      <c r="AI43" s="23">
        <v>1.834862385321101E-2</v>
      </c>
      <c r="AJ43" s="23">
        <v>0</v>
      </c>
      <c r="AO43" s="23">
        <v>3.1746031746031746E-3</v>
      </c>
      <c r="AP43" s="23">
        <v>4.3209876543209874E-2</v>
      </c>
      <c r="AQ43" s="23">
        <v>5.7324840764331211E-2</v>
      </c>
      <c r="AR43" s="23">
        <v>2.553191489361702E-2</v>
      </c>
      <c r="AS43" s="23">
        <v>7.8947368421052627E-2</v>
      </c>
      <c r="AT43" s="23">
        <v>7.6923076923076927E-2</v>
      </c>
      <c r="AU43" s="23">
        <v>4.3052837573385516E-2</v>
      </c>
      <c r="AW43" s="100">
        <v>77</v>
      </c>
      <c r="AX43" s="100">
        <v>33</v>
      </c>
      <c r="BB43" s="23">
        <v>0.88888888888888884</v>
      </c>
      <c r="BC43" s="23">
        <v>0.94117647058823528</v>
      </c>
      <c r="BD43" s="23">
        <v>0.8</v>
      </c>
      <c r="BE43" s="23">
        <v>0.5714285714285714</v>
      </c>
      <c r="BF43" s="23">
        <v>0.66666666666666663</v>
      </c>
      <c r="BG43" s="23">
        <v>1</v>
      </c>
      <c r="BH43" s="23">
        <v>0.79104477611940294</v>
      </c>
      <c r="BK43" s="23">
        <v>0.11282051282051282</v>
      </c>
      <c r="BL43" s="23">
        <v>5.6410256410256411E-2</v>
      </c>
      <c r="BM43" s="23">
        <v>0.25128205128205128</v>
      </c>
      <c r="BN43" s="23">
        <v>0.57948717948717954</v>
      </c>
      <c r="BR43" s="23">
        <v>0.61282051282051286</v>
      </c>
      <c r="BS43" s="23">
        <v>0.48729792147806006</v>
      </c>
      <c r="BT43" s="23">
        <v>0.7230359520639148</v>
      </c>
      <c r="BU43" s="23">
        <v>0.62937062937062938</v>
      </c>
      <c r="BV43" s="23">
        <v>0.50793650793650791</v>
      </c>
      <c r="BW43" s="23">
        <v>0.23376623376623376</v>
      </c>
      <c r="CA43" s="23">
        <v>0.51746031746031751</v>
      </c>
      <c r="CB43" s="23">
        <v>0.73456790123456794</v>
      </c>
      <c r="CC43" s="23">
        <v>0.68152866242038213</v>
      </c>
      <c r="CD43" s="23">
        <v>0.60425531914893615</v>
      </c>
      <c r="CE43" s="23">
        <v>0.57456140350877194</v>
      </c>
      <c r="CF43" s="23">
        <v>0.66666666666666663</v>
      </c>
      <c r="CK43" s="23">
        <v>2.5974025974025976E-2</v>
      </c>
      <c r="CL43" s="23">
        <v>0.17647058823529413</v>
      </c>
      <c r="CM43" s="23">
        <v>0.26666666666666666</v>
      </c>
      <c r="CN43" s="23">
        <v>0.27027027027027029</v>
      </c>
      <c r="CO43" s="23">
        <v>0.30526315789473685</v>
      </c>
      <c r="CP43" s="23">
        <v>0.30769230769230771</v>
      </c>
    </row>
    <row r="44" spans="3:94" x14ac:dyDescent="0.25">
      <c r="C44" s="21">
        <v>32.418952618453865</v>
      </c>
      <c r="D44" s="21">
        <v>55.045871559633028</v>
      </c>
      <c r="E44" s="21">
        <v>72.727272727272734</v>
      </c>
      <c r="F44" s="21">
        <v>36.674816625916868</v>
      </c>
      <c r="G44" s="21">
        <v>13.698630136986301</v>
      </c>
      <c r="H44" s="21">
        <v>0</v>
      </c>
      <c r="K44" s="23">
        <v>0</v>
      </c>
      <c r="L44" s="23">
        <v>6.3492063492063489</v>
      </c>
      <c r="M44" s="23">
        <v>6.9696969696969706</v>
      </c>
      <c r="N44" s="23">
        <v>12</v>
      </c>
      <c r="O44" s="23">
        <v>0</v>
      </c>
      <c r="P44" s="23">
        <v>26.543209876543212</v>
      </c>
      <c r="Q44" s="23">
        <v>18.333333333333332</v>
      </c>
      <c r="R44" s="23">
        <v>30.76923076923077</v>
      </c>
      <c r="V44" s="23">
        <v>0.1855</v>
      </c>
      <c r="W44" s="23">
        <v>0.222</v>
      </c>
      <c r="X44" s="23">
        <v>0.38</v>
      </c>
      <c r="Y44" s="23">
        <v>0.13500000000000001</v>
      </c>
      <c r="Z44" s="23">
        <v>3.4000000000000002E-2</v>
      </c>
      <c r="AA44" s="23">
        <v>4.3499999999999997E-2</v>
      </c>
      <c r="AE44" s="23">
        <v>3.9900249376558602E-2</v>
      </c>
      <c r="AF44" s="23">
        <v>7.3394495412844041E-2</v>
      </c>
      <c r="AG44" s="23">
        <v>3.9393939393939391E-2</v>
      </c>
      <c r="AH44" s="23">
        <v>6.8459657701711488E-2</v>
      </c>
      <c r="AI44" s="23">
        <v>2.0547945205479451E-2</v>
      </c>
      <c r="AJ44" s="23">
        <v>0</v>
      </c>
      <c r="AO44" s="23">
        <v>1.0416666666666666E-2</v>
      </c>
      <c r="AP44" s="23">
        <v>3.7414965986394558E-2</v>
      </c>
      <c r="AQ44" s="23">
        <v>8.6642599277978335E-2</v>
      </c>
      <c r="AR44" s="23">
        <v>8.3916083916083919E-2</v>
      </c>
      <c r="AS44" s="23">
        <v>5.7591623036649213E-2</v>
      </c>
      <c r="AT44" s="23">
        <v>0.11818181818181818</v>
      </c>
      <c r="AU44" s="23">
        <v>5.642023346303502E-2</v>
      </c>
      <c r="AW44" s="100">
        <v>87</v>
      </c>
      <c r="AX44" s="100">
        <v>43.5</v>
      </c>
      <c r="BB44" s="23">
        <v>0.76923076923076927</v>
      </c>
      <c r="BC44" s="23">
        <v>0.83333333333333337</v>
      </c>
      <c r="BD44" s="23">
        <v>0.66666666666666663</v>
      </c>
      <c r="BE44" s="23">
        <v>0.78260869565217395</v>
      </c>
      <c r="BF44" s="23">
        <v>0.55555555555555558</v>
      </c>
      <c r="BH44" s="23">
        <v>0.75</v>
      </c>
      <c r="BK44" s="23">
        <v>0.10897435897435898</v>
      </c>
      <c r="BL44" s="23">
        <v>4.4871794871794872E-2</v>
      </c>
      <c r="BM44" s="23">
        <v>0.22435897435897437</v>
      </c>
      <c r="BN44" s="23">
        <v>0.62179487179487181</v>
      </c>
      <c r="BR44" s="23">
        <v>0.59029649595687328</v>
      </c>
      <c r="BS44" s="23">
        <v>0.4752252252252252</v>
      </c>
      <c r="BT44" s="23">
        <v>0.71842105263157896</v>
      </c>
      <c r="BU44" s="23">
        <v>0.6333333333333333</v>
      </c>
      <c r="BV44" s="23">
        <v>0.63235294117647056</v>
      </c>
      <c r="BW44" s="23">
        <v>0.11494252873563218</v>
      </c>
      <c r="CA44" s="23">
        <v>0.55989583333333337</v>
      </c>
      <c r="CB44" s="23">
        <v>0.65306122448979587</v>
      </c>
      <c r="CC44" s="23">
        <v>0.64981949458483756</v>
      </c>
      <c r="CD44" s="23">
        <v>0.67482517482517479</v>
      </c>
      <c r="CE44" s="23">
        <v>0.60209424083769636</v>
      </c>
      <c r="CF44" s="23">
        <v>0.69090909090909092</v>
      </c>
      <c r="CK44" s="23">
        <v>2.5000000000000001E-2</v>
      </c>
      <c r="CL44" s="23">
        <v>0.15789473684210525</v>
      </c>
      <c r="CM44" s="23">
        <v>0.4</v>
      </c>
      <c r="CN44" s="23">
        <v>0.43434343434343436</v>
      </c>
      <c r="CO44" s="23">
        <v>0.35384615384615387</v>
      </c>
      <c r="CP44" s="23">
        <v>0.34090909090909088</v>
      </c>
    </row>
    <row r="45" spans="3:94" x14ac:dyDescent="0.25">
      <c r="C45" s="21">
        <v>48.929663608562691</v>
      </c>
      <c r="D45" s="21">
        <v>25.806451612903224</v>
      </c>
      <c r="E45" s="21">
        <v>42.959427207637233</v>
      </c>
      <c r="F45" s="21">
        <v>65.015479876160995</v>
      </c>
      <c r="G45" s="21">
        <v>23.411371237458194</v>
      </c>
      <c r="H45" s="21">
        <v>6.2111801242236027</v>
      </c>
      <c r="K45" s="23">
        <v>0</v>
      </c>
      <c r="L45" s="23">
        <v>5.8823529411764701</v>
      </c>
      <c r="M45" s="23">
        <v>9.8684210526315788</v>
      </c>
      <c r="N45" s="23">
        <v>8.3333333333333321</v>
      </c>
      <c r="O45" s="23">
        <v>0</v>
      </c>
      <c r="P45" s="23">
        <v>20.606060606060606</v>
      </c>
      <c r="Q45" s="23">
        <v>15.492957746478872</v>
      </c>
      <c r="R45" s="23">
        <v>10</v>
      </c>
      <c r="V45" s="23">
        <v>0.20899999999999999</v>
      </c>
      <c r="W45" s="23">
        <v>0.20300000000000001</v>
      </c>
      <c r="X45" s="23">
        <v>0.38700000000000001</v>
      </c>
      <c r="Y45" s="23">
        <v>0.13450000000000001</v>
      </c>
      <c r="Z45" s="23">
        <v>0.03</v>
      </c>
      <c r="AA45" s="23">
        <v>3.6499999999999998E-2</v>
      </c>
      <c r="AE45" s="23">
        <v>9.1743119266055051E-3</v>
      </c>
      <c r="AF45" s="23">
        <v>4.5161290322580643E-2</v>
      </c>
      <c r="AG45" s="23">
        <v>6.9212410501193311E-2</v>
      </c>
      <c r="AH45" s="23">
        <v>6.5015479876160992E-2</v>
      </c>
      <c r="AI45" s="23">
        <v>2.0066889632107024E-2</v>
      </c>
      <c r="AJ45" s="23">
        <v>0</v>
      </c>
      <c r="AO45" s="23">
        <v>0</v>
      </c>
      <c r="AP45" s="23">
        <v>3.7800687285223365E-2</v>
      </c>
      <c r="AQ45" s="23">
        <v>7.3239436619718309E-2</v>
      </c>
      <c r="AR45" s="23">
        <v>7.1090047393364927E-2</v>
      </c>
      <c r="AS45" s="23">
        <v>0.1099476439790576</v>
      </c>
      <c r="AT45" s="23">
        <v>0.13380281690140844</v>
      </c>
      <c r="AU45" s="23">
        <v>6.0967528164347251E-2</v>
      </c>
      <c r="AW45" s="100">
        <v>73</v>
      </c>
      <c r="AX45" s="100">
        <v>46</v>
      </c>
      <c r="BB45" s="23">
        <v>0</v>
      </c>
      <c r="BC45" s="23">
        <v>0.8</v>
      </c>
      <c r="BD45" s="23">
        <v>0.78260869565217395</v>
      </c>
      <c r="BE45" s="23">
        <v>0.82352941176470584</v>
      </c>
      <c r="BF45" s="23">
        <v>1</v>
      </c>
      <c r="BH45" s="23">
        <v>0.7857142857142857</v>
      </c>
      <c r="BK45" s="23">
        <v>0.14814814814814814</v>
      </c>
      <c r="BL45" s="23">
        <v>7.407407407407407E-2</v>
      </c>
      <c r="BM45" s="23">
        <v>0.22222222222222221</v>
      </c>
      <c r="BN45" s="23">
        <v>0.55555555555555558</v>
      </c>
      <c r="BR45" s="23">
        <v>0.62440191387559807</v>
      </c>
      <c r="BS45" s="23">
        <v>0.47783251231527096</v>
      </c>
      <c r="BT45" s="23">
        <v>0.710594315245478</v>
      </c>
      <c r="BU45" s="23">
        <v>0.64312267657992561</v>
      </c>
      <c r="BV45" s="23">
        <v>0.71666666666666667</v>
      </c>
      <c r="BW45" s="23">
        <v>0.17808219178082191</v>
      </c>
      <c r="CA45" s="23">
        <v>0.49216300940438873</v>
      </c>
      <c r="CB45" s="23">
        <v>0.71477663230240551</v>
      </c>
      <c r="CC45" s="23">
        <v>0.70140845070422531</v>
      </c>
      <c r="CD45" s="23">
        <v>0.65402843601895733</v>
      </c>
      <c r="CE45" s="23">
        <v>0.64397905759162299</v>
      </c>
      <c r="CF45" s="23">
        <v>0.59859154929577463</v>
      </c>
      <c r="CK45" s="23">
        <v>8.4033613445378148E-3</v>
      </c>
      <c r="CL45" s="23">
        <v>0.18811881188118812</v>
      </c>
      <c r="CM45" s="23">
        <v>0.30188679245283018</v>
      </c>
      <c r="CN45" s="23">
        <v>0.37735849056603776</v>
      </c>
      <c r="CO45" s="23">
        <v>0.41095890410958902</v>
      </c>
      <c r="CP45" s="23">
        <v>0.36065573770491804</v>
      </c>
    </row>
    <row r="46" spans="3:94" x14ac:dyDescent="0.25">
      <c r="C46" s="21">
        <v>24.390243902439025</v>
      </c>
      <c r="D46" s="21">
        <v>49.723756906077348</v>
      </c>
      <c r="E46" s="21">
        <v>79.75460122699387</v>
      </c>
      <c r="F46" s="21">
        <v>50.531914893617021</v>
      </c>
      <c r="G46" s="21">
        <v>18.237082066869302</v>
      </c>
      <c r="H46" s="21">
        <v>4.2016806722689077</v>
      </c>
      <c r="K46" s="23">
        <v>0</v>
      </c>
      <c r="L46" s="23">
        <v>2.3255813953488373</v>
      </c>
      <c r="M46" s="23">
        <v>8.5545722713864301</v>
      </c>
      <c r="N46" s="23">
        <v>17.857142857142858</v>
      </c>
      <c r="O46" s="23">
        <v>0</v>
      </c>
      <c r="P46" s="23">
        <v>12.337662337662337</v>
      </c>
      <c r="Q46" s="23">
        <v>35.294117647058826</v>
      </c>
      <c r="R46" s="23">
        <v>25</v>
      </c>
      <c r="V46" s="23">
        <v>0.1855</v>
      </c>
      <c r="W46" s="23">
        <v>0.21249999999999999</v>
      </c>
      <c r="X46" s="23">
        <v>0.4</v>
      </c>
      <c r="Y46" s="23">
        <v>0.13300000000000001</v>
      </c>
      <c r="Z46" s="23">
        <v>2.9000000000000001E-2</v>
      </c>
      <c r="AA46" s="23">
        <v>0.04</v>
      </c>
      <c r="AE46" s="23">
        <v>2.7100271002710029E-2</v>
      </c>
      <c r="AF46" s="23">
        <v>4.9723756906077346E-2</v>
      </c>
      <c r="AG46" s="23">
        <v>5.5214723926380369E-2</v>
      </c>
      <c r="AH46" s="23">
        <v>7.4468085106382975E-2</v>
      </c>
      <c r="AI46" s="23">
        <v>1.82370820668693E-2</v>
      </c>
      <c r="AJ46" s="23">
        <v>0</v>
      </c>
      <c r="AO46" s="23">
        <v>5.6657223796033997E-3</v>
      </c>
      <c r="AP46" s="23">
        <v>3.5928143712574849E-2</v>
      </c>
      <c r="AQ46" s="23">
        <v>3.515625E-2</v>
      </c>
      <c r="AR46" s="23">
        <v>5.9523809523809521E-2</v>
      </c>
      <c r="AS46" s="23">
        <v>7.5630252100840331E-2</v>
      </c>
      <c r="AT46" s="23">
        <v>9.4827586206896547E-2</v>
      </c>
      <c r="AU46" s="23">
        <v>4.3253712072304711E-2</v>
      </c>
      <c r="AW46" s="100">
        <v>80</v>
      </c>
      <c r="AX46" s="100">
        <v>33.5</v>
      </c>
      <c r="BB46" s="23">
        <v>0.75</v>
      </c>
      <c r="BC46" s="23">
        <v>0.8</v>
      </c>
      <c r="BD46" s="23">
        <v>0.66666666666666663</v>
      </c>
      <c r="BE46" s="23">
        <v>0.77777777777777779</v>
      </c>
      <c r="BF46" s="23">
        <v>0.5</v>
      </c>
      <c r="BH46" s="23">
        <v>0.73015873015873012</v>
      </c>
      <c r="BK46" s="23">
        <v>8.2802547770700632E-2</v>
      </c>
      <c r="BL46" s="23">
        <v>7.0063694267515922E-2</v>
      </c>
      <c r="BM46" s="23">
        <v>0.25477707006369427</v>
      </c>
      <c r="BN46" s="23">
        <v>0.59235668789808915</v>
      </c>
      <c r="BR46" s="23">
        <v>0.61994609164420489</v>
      </c>
      <c r="BS46" s="23">
        <v>0.52235294117647058</v>
      </c>
      <c r="BT46" s="23">
        <v>0.73499999999999999</v>
      </c>
      <c r="BU46" s="23">
        <v>0.59774436090225569</v>
      </c>
      <c r="BV46" s="23">
        <v>0.67241379310344829</v>
      </c>
      <c r="BW46" s="23">
        <v>8.7499999999999994E-2</v>
      </c>
      <c r="CA46" s="23">
        <v>0.54957507082152979</v>
      </c>
      <c r="CB46" s="23">
        <v>0.69760479041916168</v>
      </c>
      <c r="CC46" s="23">
        <v>0.71484375</v>
      </c>
      <c r="CD46" s="23">
        <v>0.66269841269841268</v>
      </c>
      <c r="CE46" s="23">
        <v>0.65126050420168069</v>
      </c>
      <c r="CF46" s="23">
        <v>0.65517241379310343</v>
      </c>
      <c r="CK46" s="23">
        <v>1.6194331983805668E-2</v>
      </c>
      <c r="CL46" s="23">
        <v>0.15384615384615385</v>
      </c>
      <c r="CM46" s="23">
        <v>0.24637681159420291</v>
      </c>
      <c r="CN46" s="23">
        <v>0.421875</v>
      </c>
      <c r="CO46" s="23">
        <v>0.38961038961038963</v>
      </c>
      <c r="CP46" s="23">
        <v>0.33333333333333331</v>
      </c>
    </row>
    <row r="47" spans="3:94" x14ac:dyDescent="0.25">
      <c r="C47" s="21">
        <v>33.802816901408448</v>
      </c>
      <c r="D47" s="21">
        <v>54.380664652567972</v>
      </c>
      <c r="E47" s="21">
        <v>41.208791208791212</v>
      </c>
      <c r="F47" s="21">
        <v>43.01075268817204</v>
      </c>
      <c r="G47" s="21">
        <v>26.666666666666668</v>
      </c>
      <c r="H47" s="21">
        <v>3.5971223021582732</v>
      </c>
      <c r="K47" s="23">
        <v>0</v>
      </c>
      <c r="L47" s="23">
        <v>6.1538461538461542</v>
      </c>
      <c r="M47" s="23">
        <v>10.034602076124568</v>
      </c>
      <c r="N47" s="23">
        <v>25</v>
      </c>
      <c r="O47" s="23">
        <v>0</v>
      </c>
      <c r="P47" s="23">
        <v>17.977528089887642</v>
      </c>
      <c r="Q47" s="23">
        <v>20.588235294117645</v>
      </c>
      <c r="R47" s="23">
        <v>19.230769230769234</v>
      </c>
      <c r="V47" s="23">
        <v>0.20899999999999999</v>
      </c>
      <c r="W47" s="23">
        <v>0.2205</v>
      </c>
      <c r="X47" s="23">
        <v>0.373</v>
      </c>
      <c r="Y47" s="23">
        <v>0.125</v>
      </c>
      <c r="Z47" s="23">
        <v>3.2500000000000001E-2</v>
      </c>
      <c r="AA47" s="23">
        <v>0.04</v>
      </c>
      <c r="AE47" s="23">
        <v>2.2535211267605635E-2</v>
      </c>
      <c r="AF47" s="23">
        <v>7.5528700906344406E-2</v>
      </c>
      <c r="AG47" s="23">
        <v>6.8681318681318687E-2</v>
      </c>
      <c r="AH47" s="23">
        <v>4.5698924731182797E-2</v>
      </c>
      <c r="AI47" s="23">
        <v>0.01</v>
      </c>
      <c r="AJ47" s="23">
        <v>7.1942446043165471E-3</v>
      </c>
      <c r="AO47" s="23">
        <v>1.7291066282420751E-2</v>
      </c>
      <c r="AP47" s="23">
        <v>3.8062283737024222E-2</v>
      </c>
      <c r="AQ47" s="23">
        <v>6.4189189189189186E-2</v>
      </c>
      <c r="AR47" s="23">
        <v>4.633204633204633E-2</v>
      </c>
      <c r="AS47" s="23">
        <v>8.5561497326203204E-2</v>
      </c>
      <c r="AT47" s="23">
        <v>8.8709677419354843E-2</v>
      </c>
      <c r="AU47" s="23">
        <v>4.9933422103861515E-2</v>
      </c>
      <c r="AW47" s="100">
        <v>80</v>
      </c>
      <c r="AX47" s="100">
        <v>37.5</v>
      </c>
      <c r="BB47" s="23">
        <v>0.83333333333333337</v>
      </c>
      <c r="BC47" s="23">
        <v>0.41176470588235292</v>
      </c>
      <c r="BD47" s="23">
        <v>0.85</v>
      </c>
      <c r="BE47" s="23">
        <v>0.92307692307692313</v>
      </c>
      <c r="BF47" s="23">
        <v>1</v>
      </c>
      <c r="BG47" s="23">
        <v>0.5</v>
      </c>
      <c r="BH47" s="23">
        <v>0.72881355932203384</v>
      </c>
      <c r="BK47" s="23">
        <v>0.14893617021276595</v>
      </c>
      <c r="BL47" s="23">
        <v>1.4184397163120567E-2</v>
      </c>
      <c r="BM47" s="23">
        <v>0.22695035460992907</v>
      </c>
      <c r="BN47" s="23">
        <v>0.60992907801418439</v>
      </c>
      <c r="BR47" s="23">
        <v>0.60287081339712922</v>
      </c>
      <c r="BS47" s="23">
        <v>0.50793650793650791</v>
      </c>
      <c r="BT47" s="23">
        <v>0.70375335120643434</v>
      </c>
      <c r="BU47" s="23">
        <v>0.64400000000000002</v>
      </c>
      <c r="BV47" s="23">
        <v>0.6</v>
      </c>
      <c r="BW47" s="23">
        <v>0.15</v>
      </c>
      <c r="CA47" s="23">
        <v>0.53025936599423629</v>
      </c>
      <c r="CB47" s="23">
        <v>0.68858131487889274</v>
      </c>
      <c r="CC47" s="23">
        <v>0.70608108108108103</v>
      </c>
      <c r="CD47" s="23">
        <v>0.65637065637065639</v>
      </c>
      <c r="CE47" s="23">
        <v>0.58288770053475936</v>
      </c>
      <c r="CF47" s="23">
        <v>0.62903225806451613</v>
      </c>
      <c r="CK47" s="23">
        <v>3.787878787878788E-2</v>
      </c>
      <c r="CL47" s="23">
        <v>0.19148936170212766</v>
      </c>
      <c r="CM47" s="23">
        <v>0.31818181818181818</v>
      </c>
      <c r="CN47" s="23">
        <v>0.25301204819277107</v>
      </c>
      <c r="CO47" s="23">
        <v>0.37333333333333335</v>
      </c>
      <c r="CP47" s="23">
        <v>0.36363636363636365</v>
      </c>
    </row>
    <row r="48" spans="3:94" x14ac:dyDescent="0.25">
      <c r="C48" s="21">
        <v>53.521126760563384</v>
      </c>
      <c r="D48" s="21">
        <v>45.454545454545453</v>
      </c>
      <c r="E48" s="21">
        <v>69.705093833780154</v>
      </c>
      <c r="F48" s="21">
        <v>53.072625698324025</v>
      </c>
      <c r="G48" s="21">
        <v>19.736842105263158</v>
      </c>
      <c r="H48" s="21">
        <v>7.1428571428571432</v>
      </c>
      <c r="K48" s="23">
        <v>0</v>
      </c>
      <c r="L48" s="23">
        <v>3.9473684210526314</v>
      </c>
      <c r="M48" s="23">
        <v>10.909090909090908</v>
      </c>
      <c r="N48" s="23">
        <v>9.5238095238095237</v>
      </c>
      <c r="O48" s="23">
        <v>0</v>
      </c>
      <c r="P48" s="23">
        <v>17.391304347826086</v>
      </c>
      <c r="Q48" s="23">
        <v>22.033898305084744</v>
      </c>
      <c r="R48" s="23">
        <v>11.538461538461538</v>
      </c>
      <c r="V48" s="23">
        <v>0.20300000000000001</v>
      </c>
      <c r="W48" s="23">
        <v>0.19550000000000001</v>
      </c>
      <c r="X48" s="23">
        <v>0.39850000000000002</v>
      </c>
      <c r="Y48" s="23">
        <v>0.13350000000000001</v>
      </c>
      <c r="Z48" s="23">
        <v>2.5499999999999998E-2</v>
      </c>
      <c r="AA48" s="23">
        <v>4.3999999999999997E-2</v>
      </c>
      <c r="AE48" s="23">
        <v>3.0985915492957747E-2</v>
      </c>
      <c r="AF48" s="23">
        <v>3.3333333333333333E-2</v>
      </c>
      <c r="AG48" s="23">
        <v>8.0428954423592491E-2</v>
      </c>
      <c r="AH48" s="23">
        <v>6.9832402234636867E-2</v>
      </c>
      <c r="AI48" s="23">
        <v>3.6184210526315791E-2</v>
      </c>
      <c r="AJ48" s="23">
        <v>0</v>
      </c>
      <c r="AO48" s="23">
        <v>2.9498525073746312E-3</v>
      </c>
      <c r="AP48" s="23">
        <v>3.6065573770491806E-2</v>
      </c>
      <c r="AQ48" s="23">
        <v>8.2781456953642391E-2</v>
      </c>
      <c r="AR48" s="23">
        <v>6.097560975609756E-2</v>
      </c>
      <c r="AS48" s="23">
        <v>4.6875E-2</v>
      </c>
      <c r="AT48" s="23">
        <v>0.13114754098360656</v>
      </c>
      <c r="AU48" s="23">
        <v>5.1128818061088981E-2</v>
      </c>
      <c r="AW48" s="100">
        <v>88</v>
      </c>
      <c r="AX48" s="100">
        <v>38.5</v>
      </c>
      <c r="BB48" s="23">
        <v>1</v>
      </c>
      <c r="BC48" s="23">
        <v>0.8571428571428571</v>
      </c>
      <c r="BD48" s="23">
        <v>0.69565217391304346</v>
      </c>
      <c r="BE48" s="23">
        <v>0.66666666666666663</v>
      </c>
      <c r="BF48" s="23">
        <v>0.625</v>
      </c>
      <c r="BH48" s="23">
        <v>0.73529411764705888</v>
      </c>
      <c r="BK48" s="23">
        <v>0.16296296296296298</v>
      </c>
      <c r="BL48" s="23">
        <v>2.9629629629629631E-2</v>
      </c>
      <c r="BM48" s="23">
        <v>0.25185185185185183</v>
      </c>
      <c r="BN48" s="23">
        <v>0.55555555555555558</v>
      </c>
      <c r="BR48" s="23">
        <v>0.64778325123152714</v>
      </c>
      <c r="BS48" s="23">
        <v>0.50895140664961636</v>
      </c>
      <c r="BT48" s="23">
        <v>0.7277289836888331</v>
      </c>
      <c r="BU48" s="23">
        <v>0.63295880149812733</v>
      </c>
      <c r="BV48" s="23">
        <v>0.68627450980392157</v>
      </c>
      <c r="BW48" s="23">
        <v>0.10227272727272728</v>
      </c>
      <c r="CA48" s="23">
        <v>0.56932153392330387</v>
      </c>
      <c r="CB48" s="23">
        <v>0.68524590163934429</v>
      </c>
      <c r="CC48" s="23">
        <v>0.71192052980132448</v>
      </c>
      <c r="CD48" s="23">
        <v>0.68292682926829273</v>
      </c>
      <c r="CE48" s="23">
        <v>0.609375</v>
      </c>
      <c r="CF48" s="23">
        <v>0.66393442622950816</v>
      </c>
      <c r="CK48" s="23">
        <v>9.1324200913242004E-3</v>
      </c>
      <c r="CL48" s="23">
        <v>0.16822429906542055</v>
      </c>
      <c r="CM48" s="23">
        <v>0.375</v>
      </c>
      <c r="CN48" s="23">
        <v>0.38983050847457629</v>
      </c>
      <c r="CO48" s="23">
        <v>0.29411764705882354</v>
      </c>
      <c r="CP48" s="23">
        <v>0.37777777777777777</v>
      </c>
    </row>
    <row r="49" spans="3:94" x14ac:dyDescent="0.25">
      <c r="C49" s="21">
        <v>19.886363636363637</v>
      </c>
      <c r="D49" s="21">
        <v>47.761194029850749</v>
      </c>
      <c r="E49" s="21">
        <v>65.217391304347828</v>
      </c>
      <c r="F49" s="21">
        <v>66.4819944598338</v>
      </c>
      <c r="G49" s="21">
        <v>6.6006600660066006</v>
      </c>
      <c r="H49" s="21">
        <v>0</v>
      </c>
      <c r="K49" s="23">
        <v>0</v>
      </c>
      <c r="L49" s="23">
        <v>3.3898305084745761</v>
      </c>
      <c r="M49" s="23">
        <v>9.1772151898734187</v>
      </c>
      <c r="N49" s="23">
        <v>8.3333333333333321</v>
      </c>
      <c r="O49" s="23">
        <v>0</v>
      </c>
      <c r="P49" s="23">
        <v>19.760479041916167</v>
      </c>
      <c r="Q49" s="23">
        <v>21.212121212121211</v>
      </c>
      <c r="R49" s="23">
        <v>25.641025641025639</v>
      </c>
      <c r="V49" s="23">
        <v>0.1905</v>
      </c>
      <c r="W49" s="23">
        <v>0.20899999999999999</v>
      </c>
      <c r="X49" s="23">
        <v>0.39</v>
      </c>
      <c r="Y49" s="23">
        <v>0.13200000000000001</v>
      </c>
      <c r="Z49" s="23">
        <v>2.8500000000000001E-2</v>
      </c>
      <c r="AA49" s="23">
        <v>0.05</v>
      </c>
      <c r="AE49" s="23">
        <v>4.8295454545454544E-2</v>
      </c>
      <c r="AF49" s="23">
        <v>8.0597014925373134E-2</v>
      </c>
      <c r="AG49" s="23">
        <v>7.3369565217391311E-2</v>
      </c>
      <c r="AH49" s="23">
        <v>5.817174515235457E-2</v>
      </c>
      <c r="AI49" s="23">
        <v>2.6402640264026403E-2</v>
      </c>
      <c r="AJ49" s="23">
        <v>0</v>
      </c>
      <c r="AO49" s="23">
        <v>9.0634441087613302E-3</v>
      </c>
      <c r="AP49" s="23">
        <v>3.7288135593220341E-2</v>
      </c>
      <c r="AQ49" s="23">
        <v>5.1194539249146756E-2</v>
      </c>
      <c r="AR49" s="23">
        <v>7.7821011673151752E-2</v>
      </c>
      <c r="AS49" s="23">
        <v>6.4676616915422883E-2</v>
      </c>
      <c r="AT49" s="23">
        <v>0.11971830985915492</v>
      </c>
      <c r="AU49" s="23">
        <v>5.2007899934167212E-2</v>
      </c>
      <c r="AW49" s="100">
        <v>100</v>
      </c>
      <c r="AX49" s="100">
        <v>39.5</v>
      </c>
      <c r="BB49" s="23">
        <v>0.6428571428571429</v>
      </c>
      <c r="BC49" s="23">
        <v>0.73684210526315785</v>
      </c>
      <c r="BD49" s="23">
        <v>0.66666666666666663</v>
      </c>
      <c r="BE49" s="23">
        <v>0.76470588235294112</v>
      </c>
      <c r="BF49" s="23">
        <v>0.5</v>
      </c>
      <c r="BH49" s="23">
        <v>0.68918918918918914</v>
      </c>
      <c r="BK49" s="23">
        <v>0.14285714285714285</v>
      </c>
      <c r="BL49" s="23">
        <v>6.2111801242236024E-2</v>
      </c>
      <c r="BM49" s="23">
        <v>0.2608695652173913</v>
      </c>
      <c r="BN49" s="23">
        <v>0.53416149068322982</v>
      </c>
      <c r="BR49" s="23">
        <v>0.61679790026246717</v>
      </c>
      <c r="BS49" s="23">
        <v>0.50478468899521534</v>
      </c>
      <c r="BT49" s="23">
        <v>0.72179487179487178</v>
      </c>
      <c r="BU49" s="23">
        <v>0.64393939393939392</v>
      </c>
      <c r="BV49" s="23">
        <v>0.66666666666666663</v>
      </c>
      <c r="BW49" s="23">
        <v>0.11</v>
      </c>
      <c r="CA49" s="23">
        <v>0.5619335347432024</v>
      </c>
      <c r="CB49" s="23">
        <v>0.68813559322033901</v>
      </c>
      <c r="CC49" s="23">
        <v>0.69624573378839594</v>
      </c>
      <c r="CD49" s="23">
        <v>0.66147859922178986</v>
      </c>
      <c r="CE49" s="23">
        <v>0.64676616915422891</v>
      </c>
      <c r="CF49" s="23">
        <v>0.62676056338028174</v>
      </c>
      <c r="CK49" s="23">
        <v>1.2396694214876033E-2</v>
      </c>
      <c r="CL49" s="23">
        <v>0.17582417582417584</v>
      </c>
      <c r="CM49" s="23">
        <v>0.31325301204819278</v>
      </c>
      <c r="CN49" s="23">
        <v>0.32911392405063289</v>
      </c>
      <c r="CO49" s="23">
        <v>0.33870967741935482</v>
      </c>
      <c r="CP49" s="23">
        <v>0.34375</v>
      </c>
    </row>
    <row r="50" spans="3:94" x14ac:dyDescent="0.25">
      <c r="C50" s="21">
        <v>25.495750708215297</v>
      </c>
      <c r="D50" s="21">
        <v>55.393586005830905</v>
      </c>
      <c r="E50" s="21">
        <v>65.934065934065927</v>
      </c>
      <c r="F50" s="21">
        <v>61.452513966480446</v>
      </c>
      <c r="G50" s="21">
        <v>34.482758620689658</v>
      </c>
      <c r="H50" s="21">
        <v>3.8022813688212929</v>
      </c>
      <c r="K50" s="23">
        <v>0</v>
      </c>
      <c r="L50" s="23">
        <v>13.846153846153847</v>
      </c>
      <c r="M50" s="23">
        <v>8.3612040133779271</v>
      </c>
      <c r="N50" s="23">
        <v>23.076923076923077</v>
      </c>
      <c r="O50" s="23">
        <v>0</v>
      </c>
      <c r="P50" s="23">
        <v>15.66265060240964</v>
      </c>
      <c r="Q50" s="23">
        <v>24.074074074074073</v>
      </c>
      <c r="R50" s="23">
        <v>24</v>
      </c>
      <c r="V50" s="23">
        <v>0.2135</v>
      </c>
      <c r="W50" s="23">
        <v>0.216</v>
      </c>
      <c r="X50" s="23">
        <v>0.3705</v>
      </c>
      <c r="Y50" s="23">
        <v>0.125</v>
      </c>
      <c r="Z50" s="23">
        <v>0.03</v>
      </c>
      <c r="AA50" s="23">
        <v>4.4999999999999998E-2</v>
      </c>
      <c r="AE50" s="23">
        <v>4.8158640226628892E-2</v>
      </c>
      <c r="AF50" s="23">
        <v>7.2886297376093298E-2</v>
      </c>
      <c r="AG50" s="23">
        <v>6.3186813186813184E-2</v>
      </c>
      <c r="AH50" s="23">
        <v>5.3072625698324022E-2</v>
      </c>
      <c r="AI50" s="23">
        <v>1.8808777429467086E-2</v>
      </c>
      <c r="AJ50" s="23">
        <v>0</v>
      </c>
      <c r="AO50" s="23">
        <v>2.1148036253776436E-2</v>
      </c>
      <c r="AP50" s="23">
        <v>3.3112582781456956E-2</v>
      </c>
      <c r="AQ50" s="23">
        <v>4.7945205479452052E-2</v>
      </c>
      <c r="AR50" s="23">
        <v>4.878048780487805E-2</v>
      </c>
      <c r="AS50" s="23">
        <v>0.10552763819095477</v>
      </c>
      <c r="AT50" s="23">
        <v>6.1946902654867256E-2</v>
      </c>
      <c r="AU50" s="23">
        <v>4.7875927174645991E-2</v>
      </c>
      <c r="AW50" s="100">
        <v>90</v>
      </c>
      <c r="AX50" s="100">
        <v>35.5</v>
      </c>
      <c r="BB50" s="23">
        <v>0.77777777777777779</v>
      </c>
      <c r="BC50" s="23">
        <v>0.76470588235294112</v>
      </c>
      <c r="BD50" s="23">
        <v>0.9285714285714286</v>
      </c>
      <c r="BE50" s="23">
        <v>0.46153846153846156</v>
      </c>
      <c r="BF50" s="23">
        <v>0.75</v>
      </c>
      <c r="BH50" s="23">
        <v>0.74242424242424243</v>
      </c>
      <c r="BK50" s="23">
        <v>0.11874999999999999</v>
      </c>
      <c r="BL50" s="23">
        <v>5.6250000000000001E-2</v>
      </c>
      <c r="BM50" s="23">
        <v>0.26250000000000001</v>
      </c>
      <c r="BN50" s="23">
        <v>0.5625</v>
      </c>
      <c r="BR50" s="23">
        <v>0.6088992974238876</v>
      </c>
      <c r="BS50" s="23">
        <v>0.52777777777777779</v>
      </c>
      <c r="BT50" s="23">
        <v>0.71524966261808365</v>
      </c>
      <c r="BU50" s="23">
        <v>0.67200000000000004</v>
      </c>
      <c r="BV50" s="23">
        <v>0.6166666666666667</v>
      </c>
      <c r="BW50" s="23">
        <v>0.1111111111111111</v>
      </c>
      <c r="CA50" s="23">
        <v>0.54078549848942603</v>
      </c>
      <c r="CB50" s="23">
        <v>0.69205298013245031</v>
      </c>
      <c r="CC50" s="23">
        <v>0.7226027397260274</v>
      </c>
      <c r="CD50" s="23">
        <v>0.67073170731707321</v>
      </c>
      <c r="CE50" s="23">
        <v>0.60301507537688437</v>
      </c>
      <c r="CF50" s="23">
        <v>0.69911504424778759</v>
      </c>
      <c r="CK50" s="23">
        <v>3.6734693877551024E-2</v>
      </c>
      <c r="CL50" s="23">
        <v>0.15740740740740741</v>
      </c>
      <c r="CM50" s="23">
        <v>0.24705882352941178</v>
      </c>
      <c r="CN50" s="23">
        <v>0.28205128205128205</v>
      </c>
      <c r="CO50" s="23">
        <v>0.39189189189189189</v>
      </c>
      <c r="CP50" s="23">
        <v>0.27906976744186046</v>
      </c>
    </row>
    <row r="51" spans="3:94" x14ac:dyDescent="0.25">
      <c r="C51" s="21">
        <v>41.782729805013929</v>
      </c>
      <c r="D51" s="21">
        <v>56.379821958456972</v>
      </c>
      <c r="E51" s="21">
        <v>52.486187845303867</v>
      </c>
      <c r="F51" s="21">
        <v>92.436974789915965</v>
      </c>
      <c r="G51" s="21">
        <v>28.662420382165607</v>
      </c>
      <c r="H51" s="21">
        <v>11.07011070110701</v>
      </c>
      <c r="K51" s="23">
        <v>0</v>
      </c>
      <c r="L51" s="23">
        <v>3.5714285714285712</v>
      </c>
      <c r="M51" s="23">
        <v>10.810810810810811</v>
      </c>
      <c r="N51" s="23">
        <v>5.5555555555555554</v>
      </c>
      <c r="O51" s="23">
        <v>0</v>
      </c>
      <c r="P51" s="23">
        <v>18.452380952380953</v>
      </c>
      <c r="Q51" s="23">
        <v>18.518518518518519</v>
      </c>
      <c r="R51" s="23">
        <v>5.2631578947368416</v>
      </c>
      <c r="V51" s="23">
        <v>0.1925</v>
      </c>
      <c r="W51" s="23">
        <v>0.2235</v>
      </c>
      <c r="X51" s="23">
        <v>0.36449999999999999</v>
      </c>
      <c r="Y51" s="23">
        <v>0.13850000000000001</v>
      </c>
      <c r="Z51" s="23">
        <v>2.9499999999999998E-2</v>
      </c>
      <c r="AA51" s="23">
        <v>5.1499999999999997E-2</v>
      </c>
      <c r="AE51" s="23">
        <v>3.3426183844011144E-2</v>
      </c>
      <c r="AF51" s="23">
        <v>8.0118694362017809E-2</v>
      </c>
      <c r="AG51" s="23">
        <v>7.7348066298342538E-2</v>
      </c>
      <c r="AH51" s="23">
        <v>7.2829131652661069E-2</v>
      </c>
      <c r="AI51" s="23">
        <v>3.1847133757961783E-2</v>
      </c>
      <c r="AJ51" s="23">
        <v>0</v>
      </c>
      <c r="AO51" s="23">
        <v>8.8235294117647058E-3</v>
      </c>
      <c r="AP51" s="23">
        <v>4.6666666666666669E-2</v>
      </c>
      <c r="AQ51" s="23">
        <v>7.8498293515358364E-2</v>
      </c>
      <c r="AR51" s="23">
        <v>4.5454545454545456E-2</v>
      </c>
      <c r="AS51" s="23">
        <v>7.3529411764705885E-2</v>
      </c>
      <c r="AT51" s="23">
        <v>9.7744360902255634E-2</v>
      </c>
      <c r="AU51" s="23">
        <v>5.2248677248677246E-2</v>
      </c>
      <c r="AW51" s="100">
        <v>103</v>
      </c>
      <c r="AX51" s="100">
        <v>39.5</v>
      </c>
      <c r="BB51" s="23">
        <v>0.75</v>
      </c>
      <c r="BC51" s="23">
        <v>0.82352941176470584</v>
      </c>
      <c r="BD51" s="23">
        <v>0.86956521739130432</v>
      </c>
      <c r="BE51" s="23">
        <v>0.88888888888888884</v>
      </c>
      <c r="BF51" s="23">
        <v>0.33333333333333331</v>
      </c>
      <c r="BH51" s="23">
        <v>0.80555555555555558</v>
      </c>
      <c r="BK51" s="23">
        <v>9.9290780141843976E-2</v>
      </c>
      <c r="BL51" s="23">
        <v>9.2198581560283682E-2</v>
      </c>
      <c r="BM51" s="23">
        <v>0.32624113475177308</v>
      </c>
      <c r="BN51" s="23">
        <v>0.48226950354609927</v>
      </c>
      <c r="BR51" s="23">
        <v>0.5662337662337662</v>
      </c>
      <c r="BS51" s="23">
        <v>0.53691275167785235</v>
      </c>
      <c r="BT51" s="23">
        <v>0.70096021947873799</v>
      </c>
      <c r="BU51" s="23">
        <v>0.59927797833935015</v>
      </c>
      <c r="BV51" s="23">
        <v>0.72881355932203384</v>
      </c>
      <c r="BW51" s="23">
        <v>0.13592233009708737</v>
      </c>
      <c r="CA51" s="23">
        <v>0.57647058823529407</v>
      </c>
      <c r="CB51" s="23">
        <v>0.69333333333333336</v>
      </c>
      <c r="CC51" s="23">
        <v>0.69624573378839594</v>
      </c>
      <c r="CD51" s="23">
        <v>0.60330578512396693</v>
      </c>
      <c r="CE51" s="23">
        <v>0.57352941176470584</v>
      </c>
      <c r="CF51" s="23">
        <v>0.66917293233082709</v>
      </c>
      <c r="CK51" s="23">
        <v>1.5810276679841896E-2</v>
      </c>
      <c r="CL51" s="23">
        <v>0.17272727272727273</v>
      </c>
      <c r="CM51" s="23">
        <v>0.34408602150537637</v>
      </c>
      <c r="CN51" s="23">
        <v>0.31506849315068491</v>
      </c>
      <c r="CO51" s="23">
        <v>0.3048780487804878</v>
      </c>
      <c r="CP51" s="23">
        <v>0.28333333333333333</v>
      </c>
    </row>
    <row r="52" spans="3:94" x14ac:dyDescent="0.25">
      <c r="C52" s="21">
        <v>51.212938005390832</v>
      </c>
      <c r="D52" s="21">
        <v>40.247678018575854</v>
      </c>
      <c r="E52" s="21">
        <v>71.823204419889507</v>
      </c>
      <c r="F52" s="21">
        <v>64</v>
      </c>
      <c r="G52" s="21">
        <v>23.411371237458194</v>
      </c>
      <c r="H52" s="21">
        <v>11.111111111111111</v>
      </c>
      <c r="K52" s="23">
        <v>0</v>
      </c>
      <c r="L52" s="23">
        <v>4.9382716049382713</v>
      </c>
      <c r="M52" s="23">
        <v>8.5714285714285712</v>
      </c>
      <c r="N52" s="23">
        <v>0</v>
      </c>
      <c r="O52" s="23">
        <v>0</v>
      </c>
      <c r="P52" s="23">
        <v>19.736842105263158</v>
      </c>
      <c r="Q52" s="23">
        <v>25.396825396825395</v>
      </c>
      <c r="R52" s="23">
        <v>28.571428571428569</v>
      </c>
      <c r="V52" s="23">
        <v>0.20150000000000001</v>
      </c>
      <c r="W52" s="23">
        <v>0.2215</v>
      </c>
      <c r="X52" s="23">
        <v>0.36649999999999999</v>
      </c>
      <c r="Y52" s="23">
        <v>0.14099999999999999</v>
      </c>
      <c r="Z52" s="23">
        <v>2.35E-2</v>
      </c>
      <c r="AA52" s="23">
        <v>4.5999999999999999E-2</v>
      </c>
      <c r="AE52" s="23">
        <v>2.4258760107816711E-2</v>
      </c>
      <c r="AF52" s="23">
        <v>9.5975232198142413E-2</v>
      </c>
      <c r="AG52" s="23">
        <v>8.5635359116022103E-2</v>
      </c>
      <c r="AH52" s="23">
        <v>4.8000000000000001E-2</v>
      </c>
      <c r="AI52" s="23">
        <v>6.688963210702341E-3</v>
      </c>
      <c r="AJ52" s="23">
        <v>3.7037037037037038E-3</v>
      </c>
      <c r="AO52" s="23">
        <v>1.9553072625698324E-2</v>
      </c>
      <c r="AP52" s="23">
        <v>3.1802120141342753E-2</v>
      </c>
      <c r="AQ52" s="23">
        <v>3.8461538461538464E-2</v>
      </c>
      <c r="AR52" s="23">
        <v>9.125475285171103E-2</v>
      </c>
      <c r="AS52" s="23">
        <v>6.0606060606060608E-2</v>
      </c>
      <c r="AT52" s="23">
        <v>5.9829059829059832E-2</v>
      </c>
      <c r="AU52" s="23">
        <v>4.6511627906976744E-2</v>
      </c>
      <c r="AW52" s="100">
        <v>92</v>
      </c>
      <c r="AX52" s="100">
        <v>35</v>
      </c>
      <c r="BB52" s="23">
        <v>1</v>
      </c>
      <c r="BC52" s="23">
        <v>0.95238095238095233</v>
      </c>
      <c r="BD52" s="23">
        <v>0.95</v>
      </c>
      <c r="BE52" s="23">
        <v>0.83333333333333337</v>
      </c>
      <c r="BF52" s="23">
        <v>0</v>
      </c>
      <c r="BG52" s="23">
        <v>1</v>
      </c>
      <c r="BH52" s="23">
        <v>0.91803278688524592</v>
      </c>
      <c r="BK52" s="23">
        <v>9.90990990990991E-2</v>
      </c>
      <c r="BL52" s="23">
        <v>2.7027027027027029E-2</v>
      </c>
      <c r="BM52" s="23">
        <v>0.23423423423423423</v>
      </c>
      <c r="BN52" s="23">
        <v>0.63963963963963966</v>
      </c>
      <c r="BR52" s="23">
        <v>0.60794044665012403</v>
      </c>
      <c r="BS52" s="23">
        <v>0.46726862302483069</v>
      </c>
      <c r="BT52" s="23">
        <v>0.71350613915416095</v>
      </c>
      <c r="BU52" s="23">
        <v>0.54609929078014185</v>
      </c>
      <c r="BV52" s="23">
        <v>0.5957446808510638</v>
      </c>
      <c r="BW52" s="23">
        <v>0.10869565217391304</v>
      </c>
      <c r="CA52" s="23">
        <v>0.49162011173184356</v>
      </c>
      <c r="CB52" s="23">
        <v>0.63250883392226154</v>
      </c>
      <c r="CC52" s="23">
        <v>0.66433566433566438</v>
      </c>
      <c r="CD52" s="23">
        <v>0.68441064638783267</v>
      </c>
      <c r="CE52" s="23">
        <v>0.6262626262626263</v>
      </c>
      <c r="CF52" s="23">
        <v>0.53846153846153844</v>
      </c>
      <c r="CK52" s="23">
        <v>4.2635658914728682E-2</v>
      </c>
      <c r="CL52" s="23">
        <v>0.16216216216216217</v>
      </c>
      <c r="CM52" s="23">
        <v>0.23076923076923078</v>
      </c>
      <c r="CN52" s="23">
        <v>0.42307692307692307</v>
      </c>
      <c r="CO52" s="23">
        <v>0.32098765432098764</v>
      </c>
      <c r="CP52" s="23">
        <v>0.30434782608695654</v>
      </c>
    </row>
    <row r="53" spans="3:94" x14ac:dyDescent="0.25">
      <c r="C53" s="21">
        <v>33.802816901408448</v>
      </c>
      <c r="D53" s="21">
        <v>66.666666666666671</v>
      </c>
      <c r="E53" s="21">
        <v>46.575342465753423</v>
      </c>
      <c r="F53" s="21">
        <v>43.360433604336045</v>
      </c>
      <c r="G53" s="21">
        <v>6.666666666666667</v>
      </c>
      <c r="H53" s="21">
        <v>7.117437722419929</v>
      </c>
      <c r="K53" s="23">
        <v>0</v>
      </c>
      <c r="L53" s="23">
        <v>1.4492753623188406</v>
      </c>
      <c r="M53" s="23">
        <v>9.7859327217125376</v>
      </c>
      <c r="N53" s="23">
        <v>8.3333333333333321</v>
      </c>
      <c r="O53" s="23">
        <v>0</v>
      </c>
      <c r="P53" s="23">
        <v>14.482758620689657</v>
      </c>
      <c r="Q53" s="23">
        <v>25</v>
      </c>
      <c r="R53" s="23">
        <v>20</v>
      </c>
      <c r="V53" s="23">
        <v>0.20549999999999999</v>
      </c>
      <c r="W53" s="23">
        <v>0.19750000000000001</v>
      </c>
      <c r="X53" s="23">
        <v>0.38850000000000001</v>
      </c>
      <c r="Y53" s="23">
        <v>0.1295</v>
      </c>
      <c r="Z53" s="23">
        <v>3.1E-2</v>
      </c>
      <c r="AA53" s="23">
        <v>4.8000000000000001E-2</v>
      </c>
      <c r="AE53" s="23">
        <v>3.6619718309859155E-2</v>
      </c>
      <c r="AF53" s="23">
        <v>8.1818181818181818E-2</v>
      </c>
      <c r="AG53" s="23">
        <v>7.6712328767123292E-2</v>
      </c>
      <c r="AH53" s="23">
        <v>5.4200542005420058E-2</v>
      </c>
      <c r="AI53" s="23">
        <v>2.6666666666666668E-2</v>
      </c>
      <c r="AJ53" s="23">
        <v>0</v>
      </c>
      <c r="AO53" s="23">
        <v>5.9347181008902079E-3</v>
      </c>
      <c r="AP53" s="23">
        <v>4.1095890410958902E-2</v>
      </c>
      <c r="AQ53" s="23">
        <v>4.1237113402061855E-2</v>
      </c>
      <c r="AR53" s="23">
        <v>9.6774193548387094E-2</v>
      </c>
      <c r="AS53" s="23">
        <v>8.0213903743315509E-2</v>
      </c>
      <c r="AT53" s="23">
        <v>0.11594202898550725</v>
      </c>
      <c r="AU53" s="23">
        <v>5.4253181513730743E-2</v>
      </c>
      <c r="AW53" s="100">
        <v>96</v>
      </c>
      <c r="AX53" s="100">
        <v>40.5</v>
      </c>
      <c r="BB53" s="23">
        <v>0.875</v>
      </c>
      <c r="BC53" s="23">
        <v>0.77777777777777779</v>
      </c>
      <c r="BD53" s="23">
        <v>0.66666666666666663</v>
      </c>
      <c r="BE53" s="23">
        <v>0.73333333333333328</v>
      </c>
      <c r="BF53" s="23">
        <v>0.33333333333333331</v>
      </c>
      <c r="BH53" s="23">
        <v>0.70967741935483875</v>
      </c>
      <c r="BK53" s="23">
        <v>0.15646258503401361</v>
      </c>
      <c r="BL53" s="23">
        <v>2.7210884353741496E-2</v>
      </c>
      <c r="BM53" s="23">
        <v>0.24489795918367346</v>
      </c>
      <c r="BN53" s="23">
        <v>0.5714285714285714</v>
      </c>
      <c r="BR53" s="23">
        <v>0.62287104622871048</v>
      </c>
      <c r="BS53" s="23">
        <v>0.47848101265822784</v>
      </c>
      <c r="BT53" s="23">
        <v>0.72200772200772201</v>
      </c>
      <c r="BU53" s="23">
        <v>0.61776061776061775</v>
      </c>
      <c r="BV53" s="23">
        <v>0.69354838709677424</v>
      </c>
      <c r="BW53" s="23">
        <v>9.375E-2</v>
      </c>
      <c r="CA53" s="23">
        <v>0.5370919881305638</v>
      </c>
      <c r="CB53" s="23">
        <v>0.71232876712328763</v>
      </c>
      <c r="CC53" s="23">
        <v>0.6563573883161512</v>
      </c>
      <c r="CD53" s="23">
        <v>0.67338709677419351</v>
      </c>
      <c r="CE53" s="23">
        <v>0.6470588235294118</v>
      </c>
      <c r="CF53" s="23">
        <v>0.61594202898550721</v>
      </c>
      <c r="CK53" s="23">
        <v>3.0837004405286344E-2</v>
      </c>
      <c r="CL53" s="23">
        <v>0.15686274509803921</v>
      </c>
      <c r="CM53" s="23">
        <v>0.26829268292682928</v>
      </c>
      <c r="CN53" s="23">
        <v>0.42105263157894735</v>
      </c>
      <c r="CO53" s="23">
        <v>0.4098360655737705</v>
      </c>
      <c r="CP53" s="23">
        <v>0.4</v>
      </c>
    </row>
    <row r="54" spans="3:94" x14ac:dyDescent="0.25">
      <c r="C54" s="21">
        <v>51.428571428571431</v>
      </c>
      <c r="D54" s="21">
        <v>42.813455657492355</v>
      </c>
      <c r="E54" s="21">
        <v>76.315789473684205</v>
      </c>
      <c r="F54" s="21">
        <v>64.245810055865917</v>
      </c>
      <c r="G54" s="21">
        <v>3.3444816053511706</v>
      </c>
      <c r="H54" s="21">
        <v>3.4965034965034967</v>
      </c>
      <c r="K54" s="23">
        <v>0</v>
      </c>
      <c r="L54" s="23">
        <v>5.2631578947368416</v>
      </c>
      <c r="M54" s="23">
        <v>10.38961038961039</v>
      </c>
      <c r="N54" s="23">
        <v>11.111111111111111</v>
      </c>
      <c r="O54" s="23">
        <v>0.52631578947368418</v>
      </c>
      <c r="P54" s="23">
        <v>20</v>
      </c>
      <c r="Q54" s="23">
        <v>23.4375</v>
      </c>
      <c r="R54" s="23">
        <v>25.806451612903224</v>
      </c>
      <c r="V54" s="23">
        <v>0.2195</v>
      </c>
      <c r="W54" s="23">
        <v>0.215</v>
      </c>
      <c r="X54" s="23">
        <v>0.3745</v>
      </c>
      <c r="Y54" s="23">
        <v>0.122</v>
      </c>
      <c r="Z54" s="23">
        <v>2.5999999999999999E-2</v>
      </c>
      <c r="AA54" s="23">
        <v>4.2999999999999997E-2</v>
      </c>
      <c r="AE54" s="23">
        <v>3.7142857142857144E-2</v>
      </c>
      <c r="AF54" s="23">
        <v>8.2568807339449546E-2</v>
      </c>
      <c r="AG54" s="23">
        <v>6.0526315789473685E-2</v>
      </c>
      <c r="AH54" s="23">
        <v>4.4692737430167599E-2</v>
      </c>
      <c r="AI54" s="23">
        <v>2.3411371237458192E-2</v>
      </c>
      <c r="AJ54" s="23">
        <v>0</v>
      </c>
      <c r="AO54" s="23">
        <v>8.9820359281437123E-3</v>
      </c>
      <c r="AP54" s="23">
        <v>1.4084507042253521E-2</v>
      </c>
      <c r="AQ54" s="23">
        <v>4.9504950495049507E-2</v>
      </c>
      <c r="AR54" s="23">
        <v>7.1713147410358571E-2</v>
      </c>
      <c r="AS54" s="23">
        <v>5.7142857142857141E-2</v>
      </c>
      <c r="AT54" s="23">
        <v>3.90625E-2</v>
      </c>
      <c r="AU54" s="23">
        <v>3.7288135593220341E-2</v>
      </c>
      <c r="AW54" s="100">
        <v>86</v>
      </c>
      <c r="AX54" s="100">
        <v>27.5</v>
      </c>
      <c r="BB54" s="23">
        <v>0.9</v>
      </c>
      <c r="BC54" s="23">
        <v>1</v>
      </c>
      <c r="BD54" s="23">
        <v>0.7857142857142857</v>
      </c>
      <c r="BE54" s="23">
        <v>0.8125</v>
      </c>
      <c r="BF54" s="23">
        <v>0.5</v>
      </c>
      <c r="BG54" s="23">
        <v>0</v>
      </c>
      <c r="BH54" s="23">
        <v>0.81967213114754101</v>
      </c>
      <c r="BK54" s="23">
        <v>7.0063694267515922E-2</v>
      </c>
      <c r="BL54" s="23">
        <v>2.5477707006369428E-2</v>
      </c>
      <c r="BM54" s="23">
        <v>0.30573248407643311</v>
      </c>
      <c r="BN54" s="23">
        <v>0.59872611464968151</v>
      </c>
      <c r="BR54" s="23">
        <v>0.57175398633257402</v>
      </c>
      <c r="BS54" s="23">
        <v>0.48837209302325579</v>
      </c>
      <c r="BT54" s="23">
        <v>0.71028037383177567</v>
      </c>
      <c r="BU54" s="23">
        <v>0.55327868852459017</v>
      </c>
      <c r="BV54" s="23">
        <v>0.51923076923076927</v>
      </c>
      <c r="BW54" s="23">
        <v>0.16279069767441862</v>
      </c>
      <c r="CA54" s="23">
        <v>0.52994011976047906</v>
      </c>
      <c r="CB54" s="23">
        <v>0.63380281690140849</v>
      </c>
      <c r="CC54" s="23">
        <v>0.66996699669966997</v>
      </c>
      <c r="CD54" s="23">
        <v>0.63745019920318724</v>
      </c>
      <c r="CE54" s="23">
        <v>0.61142857142857143</v>
      </c>
      <c r="CF54" s="23">
        <v>0.6015625</v>
      </c>
      <c r="CK54" s="23">
        <v>3.4482758620689655E-2</v>
      </c>
      <c r="CL54" s="23">
        <v>8.6956521739130432E-2</v>
      </c>
      <c r="CM54" s="23">
        <v>0.29545454545454547</v>
      </c>
      <c r="CN54" s="23">
        <v>0.40697674418604651</v>
      </c>
      <c r="CO54" s="23">
        <v>0.31578947368421051</v>
      </c>
      <c r="CP54" s="23">
        <v>0.25</v>
      </c>
    </row>
    <row r="55" spans="3:94" x14ac:dyDescent="0.25">
      <c r="C55" s="21">
        <v>28.490028490028489</v>
      </c>
      <c r="D55" s="21">
        <v>41.420118343195263</v>
      </c>
      <c r="E55" s="21">
        <v>51.630434782608695</v>
      </c>
      <c r="F55" s="21">
        <v>50.139275766016716</v>
      </c>
      <c r="G55" s="21">
        <v>26.058631921824105</v>
      </c>
      <c r="H55" s="21">
        <v>0</v>
      </c>
      <c r="K55" s="23">
        <v>0</v>
      </c>
      <c r="L55" s="23">
        <v>4.6875</v>
      </c>
      <c r="M55" s="23">
        <v>8.1632653061224492</v>
      </c>
      <c r="N55" s="23">
        <v>11.111111111111111</v>
      </c>
      <c r="O55" s="23">
        <v>0</v>
      </c>
      <c r="P55" s="23">
        <v>19.161676646706589</v>
      </c>
      <c r="Q55" s="23">
        <v>20</v>
      </c>
      <c r="R55" s="23">
        <v>16.666666666666664</v>
      </c>
      <c r="V55" s="23">
        <v>0.2135</v>
      </c>
      <c r="W55" s="23">
        <v>0.2135</v>
      </c>
      <c r="X55" s="23">
        <v>0.36849999999999999</v>
      </c>
      <c r="Y55" s="23">
        <v>0.129</v>
      </c>
      <c r="Z55" s="23">
        <v>2.5999999999999999E-2</v>
      </c>
      <c r="AA55" s="23">
        <v>4.9500000000000002E-2</v>
      </c>
      <c r="AE55" s="23">
        <v>4.843304843304843E-2</v>
      </c>
      <c r="AF55" s="23">
        <v>8.2840236686390539E-2</v>
      </c>
      <c r="AG55" s="23">
        <v>7.0652173913043473E-2</v>
      </c>
      <c r="AH55" s="23">
        <v>4.456824512534819E-2</v>
      </c>
      <c r="AI55" s="23">
        <v>3.9087947882736153E-2</v>
      </c>
      <c r="AJ55" s="23">
        <v>0</v>
      </c>
      <c r="AO55" s="23">
        <v>9.0909090909090905E-3</v>
      </c>
      <c r="AP55" s="23">
        <v>2.0134228187919462E-2</v>
      </c>
      <c r="AQ55" s="23">
        <v>4.4673539518900345E-2</v>
      </c>
      <c r="AR55" s="23">
        <v>8.4000000000000005E-2</v>
      </c>
      <c r="AS55" s="23">
        <v>5.9459459459459463E-2</v>
      </c>
      <c r="AT55" s="23">
        <v>0.05</v>
      </c>
      <c r="AU55" s="23">
        <v>4.0705563093622797E-2</v>
      </c>
      <c r="AW55" s="100">
        <v>99</v>
      </c>
      <c r="AX55" s="100">
        <v>30</v>
      </c>
      <c r="BB55" s="23">
        <v>0.76470588235294112</v>
      </c>
      <c r="BC55" s="23">
        <v>0.86956521739130432</v>
      </c>
      <c r="BD55" s="23">
        <v>0.78947368421052633</v>
      </c>
      <c r="BE55" s="23">
        <v>0.8125</v>
      </c>
      <c r="BF55" s="23">
        <v>0.8</v>
      </c>
      <c r="BH55" s="23">
        <v>0.81176470588235294</v>
      </c>
      <c r="BK55" s="23">
        <v>9.2307692307692313E-2</v>
      </c>
      <c r="BL55" s="23">
        <v>3.5897435897435895E-2</v>
      </c>
      <c r="BM55" s="23">
        <v>0.29743589743589743</v>
      </c>
      <c r="BN55" s="23">
        <v>0.57435897435897432</v>
      </c>
      <c r="BR55" s="23">
        <v>0.58079625292740045</v>
      </c>
      <c r="BS55" s="23">
        <v>0.48243559718969553</v>
      </c>
      <c r="BT55" s="23">
        <v>0.72862957937584805</v>
      </c>
      <c r="BU55" s="23">
        <v>0.63953488372093026</v>
      </c>
      <c r="BV55" s="23">
        <v>0.63461538461538458</v>
      </c>
      <c r="BW55" s="23">
        <v>0.18181818181818182</v>
      </c>
      <c r="CA55" s="23">
        <v>0.51515151515151514</v>
      </c>
      <c r="CB55" s="23">
        <v>0.70805369127516782</v>
      </c>
      <c r="CC55" s="23">
        <v>0.71821305841924399</v>
      </c>
      <c r="CD55" s="23">
        <v>0.66800000000000004</v>
      </c>
      <c r="CE55" s="23">
        <v>0.61081081081081079</v>
      </c>
      <c r="CF55" s="23">
        <v>0.59166666666666667</v>
      </c>
      <c r="CK55" s="23">
        <v>2.0491803278688523E-2</v>
      </c>
      <c r="CL55" s="23">
        <v>0.13592233009708737</v>
      </c>
      <c r="CM55" s="23">
        <v>0.26315789473684209</v>
      </c>
      <c r="CN55" s="23">
        <v>0.39436619718309857</v>
      </c>
      <c r="CO55" s="23">
        <v>0.25757575757575757</v>
      </c>
      <c r="CP55" s="23">
        <v>0.28000000000000003</v>
      </c>
    </row>
    <row r="56" spans="3:94" x14ac:dyDescent="0.25">
      <c r="C56" s="21">
        <v>31.073446327683616</v>
      </c>
      <c r="D56" s="21">
        <v>40.816326530612244</v>
      </c>
      <c r="E56" s="21">
        <v>66.666666666666671</v>
      </c>
      <c r="F56" s="21">
        <v>52.777777777777779</v>
      </c>
      <c r="G56" s="21">
        <v>22.508038585209004</v>
      </c>
      <c r="H56" s="21">
        <v>3.6764705882352939</v>
      </c>
      <c r="K56" s="23">
        <v>0</v>
      </c>
      <c r="L56" s="23">
        <v>5.5555555555555554</v>
      </c>
      <c r="M56" s="23">
        <v>9.4915254237288131</v>
      </c>
      <c r="N56" s="23">
        <v>10</v>
      </c>
      <c r="O56" s="23">
        <v>0</v>
      </c>
      <c r="P56" s="23">
        <v>22.068965517241381</v>
      </c>
      <c r="Q56" s="23">
        <v>29.166666666666668</v>
      </c>
      <c r="R56" s="23">
        <v>16.666666666666664</v>
      </c>
      <c r="V56" s="23">
        <v>0.1915</v>
      </c>
      <c r="W56" s="23">
        <v>0.22550000000000001</v>
      </c>
      <c r="X56" s="23">
        <v>0.36299999999999999</v>
      </c>
      <c r="Y56" s="23">
        <v>0.14299999999999999</v>
      </c>
      <c r="Z56" s="23">
        <v>3.2000000000000001E-2</v>
      </c>
      <c r="AA56" s="23">
        <v>4.4999999999999998E-2</v>
      </c>
      <c r="AE56" s="23">
        <v>3.6723163841807911E-2</v>
      </c>
      <c r="AF56" s="23">
        <v>4.9562682215743441E-2</v>
      </c>
      <c r="AG56" s="23">
        <v>8.3333333333333329E-2</v>
      </c>
      <c r="AH56" s="23">
        <v>5.5555555555555552E-2</v>
      </c>
      <c r="AI56" s="23">
        <v>2.5723472668810289E-2</v>
      </c>
      <c r="AJ56" s="23">
        <v>7.3529411764705881E-3</v>
      </c>
      <c r="AO56" s="23">
        <v>1.4970059880239521E-2</v>
      </c>
      <c r="AP56" s="23">
        <v>3.8216560509554139E-2</v>
      </c>
      <c r="AQ56" s="23">
        <v>6.25E-2</v>
      </c>
      <c r="AR56" s="23">
        <v>7.720588235294118E-2</v>
      </c>
      <c r="AS56" s="23">
        <v>8.8082901554404139E-2</v>
      </c>
      <c r="AT56" s="23">
        <v>9.5238095238095233E-2</v>
      </c>
      <c r="AU56" s="23">
        <v>5.5664702030124427E-2</v>
      </c>
      <c r="AW56" s="100">
        <v>90</v>
      </c>
      <c r="AX56" s="100">
        <v>42.5</v>
      </c>
      <c r="BB56" s="23">
        <v>0.92307692307692313</v>
      </c>
      <c r="BC56" s="23">
        <v>0.82352941176470584</v>
      </c>
      <c r="BD56" s="23">
        <v>0.9375</v>
      </c>
      <c r="BE56" s="23">
        <v>0.84615384615384615</v>
      </c>
      <c r="BF56" s="23">
        <v>0.83333333333333337</v>
      </c>
      <c r="BG56" s="23">
        <v>1</v>
      </c>
      <c r="BH56" s="23">
        <v>0.88059701492537312</v>
      </c>
      <c r="BK56" s="23">
        <v>0.12182741116751269</v>
      </c>
      <c r="BL56" s="23">
        <v>5.5837563451776651E-2</v>
      </c>
      <c r="BM56" s="23">
        <v>0.21319796954314721</v>
      </c>
      <c r="BN56" s="23">
        <v>0.6091370558375635</v>
      </c>
      <c r="BR56" s="23">
        <v>0.5744125326370757</v>
      </c>
      <c r="BS56" s="23">
        <v>0.50332594235033257</v>
      </c>
      <c r="BT56" s="23">
        <v>0.74793388429752061</v>
      </c>
      <c r="BU56" s="23">
        <v>0.58741258741258739</v>
      </c>
      <c r="BV56" s="23">
        <v>0.75</v>
      </c>
      <c r="BW56" s="23">
        <v>0.17777777777777778</v>
      </c>
      <c r="CA56" s="23">
        <v>0.52694610778443118</v>
      </c>
      <c r="CB56" s="23">
        <v>0.74522292993630568</v>
      </c>
      <c r="CC56" s="23">
        <v>0.69444444444444442</v>
      </c>
      <c r="CD56" s="23">
        <v>0.65808823529411764</v>
      </c>
      <c r="CE56" s="23">
        <v>0.62176165803108807</v>
      </c>
      <c r="CF56" s="23">
        <v>0.61111111111111116</v>
      </c>
      <c r="CK56" s="23">
        <v>3.937007874015748E-2</v>
      </c>
      <c r="CL56" s="23">
        <v>0.15254237288135594</v>
      </c>
      <c r="CM56" s="23">
        <v>0.26804123711340205</v>
      </c>
      <c r="CN56" s="23">
        <v>0.29347826086956524</v>
      </c>
      <c r="CO56" s="23">
        <v>0.35</v>
      </c>
      <c r="CP56" s="23">
        <v>0.33333333333333331</v>
      </c>
    </row>
    <row r="57" spans="3:94" x14ac:dyDescent="0.25">
      <c r="C57" s="21">
        <v>27.548209366391184</v>
      </c>
      <c r="D57" s="21">
        <v>39.156626506024097</v>
      </c>
      <c r="E57" s="21">
        <v>58.171745152354568</v>
      </c>
      <c r="F57" s="21">
        <v>52.486187845303867</v>
      </c>
      <c r="G57" s="21">
        <v>9.615384615384615</v>
      </c>
      <c r="H57" s="21">
        <v>7.4074074074074074</v>
      </c>
      <c r="K57" s="23">
        <v>0</v>
      </c>
      <c r="L57" s="23">
        <v>2.9850746268656714</v>
      </c>
      <c r="M57" s="23">
        <v>9.0032154340836019</v>
      </c>
      <c r="N57" s="23">
        <v>12</v>
      </c>
      <c r="O57" s="23">
        <v>0</v>
      </c>
      <c r="P57" s="23">
        <v>9.8765432098765427</v>
      </c>
      <c r="Q57" s="23">
        <v>13.333333333333334</v>
      </c>
      <c r="R57" s="23">
        <v>10.714285714285714</v>
      </c>
      <c r="V57" s="23">
        <v>0.19700000000000001</v>
      </c>
      <c r="W57" s="23">
        <v>0.20549999999999999</v>
      </c>
      <c r="X57" s="23">
        <v>0.38</v>
      </c>
      <c r="Y57" s="23">
        <v>0.14749999999999999</v>
      </c>
      <c r="Z57" s="23">
        <v>3.3000000000000002E-2</v>
      </c>
      <c r="AA57" s="23">
        <v>3.6999999999999998E-2</v>
      </c>
      <c r="AE57" s="23">
        <v>3.3057851239669422E-2</v>
      </c>
      <c r="AF57" s="23">
        <v>6.0240963855421686E-2</v>
      </c>
      <c r="AG57" s="23">
        <v>5.2631578947368418E-2</v>
      </c>
      <c r="AH57" s="23">
        <v>4.9723756906077346E-2</v>
      </c>
      <c r="AI57" s="23">
        <v>1.6025641025641024E-2</v>
      </c>
      <c r="AJ57" s="23">
        <v>0</v>
      </c>
      <c r="AO57" s="23">
        <v>1.1461318051575931E-2</v>
      </c>
      <c r="AP57" s="23">
        <v>0.03</v>
      </c>
      <c r="AQ57" s="23">
        <v>5.5555555555555552E-2</v>
      </c>
      <c r="AR57" s="23">
        <v>5.019305019305019E-2</v>
      </c>
      <c r="AS57" s="23">
        <v>7.4999999999999997E-2</v>
      </c>
      <c r="AT57" s="23">
        <v>5.0847457627118647E-2</v>
      </c>
      <c r="AU57" s="23">
        <v>4.1775456919060053E-2</v>
      </c>
      <c r="AW57" s="100">
        <v>74</v>
      </c>
      <c r="AX57" s="100">
        <v>32</v>
      </c>
      <c r="BB57" s="23">
        <v>0.8</v>
      </c>
      <c r="BC57" s="23">
        <v>0.8571428571428571</v>
      </c>
      <c r="BD57" s="23">
        <v>0.6428571428571429</v>
      </c>
      <c r="BE57" s="23">
        <v>0.6428571428571429</v>
      </c>
      <c r="BF57" s="23">
        <v>0.33333333333333331</v>
      </c>
      <c r="BH57" s="23">
        <v>0.70909090909090911</v>
      </c>
      <c r="BK57" s="23">
        <v>9.5238095238095233E-2</v>
      </c>
      <c r="BL57" s="23">
        <v>5.7142857142857141E-2</v>
      </c>
      <c r="BM57" s="23">
        <v>0.33333333333333331</v>
      </c>
      <c r="BN57" s="23">
        <v>0.51428571428571423</v>
      </c>
      <c r="BR57" s="23">
        <v>0.58375634517766495</v>
      </c>
      <c r="BS57" s="23">
        <v>0.48175182481751827</v>
      </c>
      <c r="BT57" s="23">
        <v>0.73157894736842111</v>
      </c>
      <c r="BU57" s="23">
        <v>0.61016949152542377</v>
      </c>
      <c r="BV57" s="23">
        <v>0.60606060606060608</v>
      </c>
      <c r="BW57" s="23">
        <v>0.17567567567567569</v>
      </c>
      <c r="CA57" s="23">
        <v>0.57306590257879653</v>
      </c>
      <c r="CB57" s="23">
        <v>0.64666666666666661</v>
      </c>
      <c r="CC57" s="23">
        <v>0.66666666666666663</v>
      </c>
      <c r="CD57" s="23">
        <v>0.67567567567567566</v>
      </c>
      <c r="CE57" s="23">
        <v>0.60499999999999998</v>
      </c>
      <c r="CF57" s="23">
        <v>0.67796610169491522</v>
      </c>
      <c r="CK57" s="23">
        <v>2.4590163934426229E-2</v>
      </c>
      <c r="CL57" s="23">
        <v>0.24761904761904763</v>
      </c>
      <c r="CM57" s="23">
        <v>0.23333333333333334</v>
      </c>
      <c r="CN57" s="23">
        <v>0.28000000000000003</v>
      </c>
      <c r="CO57" s="23">
        <v>0.40277777777777779</v>
      </c>
      <c r="CP57" s="23">
        <v>0.2857142857142857</v>
      </c>
    </row>
    <row r="58" spans="3:94" x14ac:dyDescent="0.25">
      <c r="C58" s="21">
        <v>21.917808219178081</v>
      </c>
      <c r="D58" s="21">
        <v>48.338368580060425</v>
      </c>
      <c r="E58" s="21">
        <v>74.175824175824175</v>
      </c>
      <c r="F58" s="21">
        <v>46.070460704607044</v>
      </c>
      <c r="G58" s="21">
        <v>26.402640264026402</v>
      </c>
      <c r="H58" s="21">
        <v>3.7313432835820897</v>
      </c>
      <c r="K58" s="23">
        <v>0</v>
      </c>
      <c r="L58" s="23">
        <v>18.840579710144929</v>
      </c>
      <c r="M58" s="23">
        <v>8.2802547770700627</v>
      </c>
      <c r="N58" s="23">
        <v>8.695652173913043</v>
      </c>
      <c r="O58" s="23">
        <v>0</v>
      </c>
      <c r="P58" s="23">
        <v>22.151898734177212</v>
      </c>
      <c r="Q58" s="23">
        <v>22.784810126582279</v>
      </c>
      <c r="R58" s="23">
        <v>17.857142857142858</v>
      </c>
      <c r="V58" s="23">
        <v>0.1865</v>
      </c>
      <c r="W58" s="23">
        <v>0.21299999999999999</v>
      </c>
      <c r="X58" s="23">
        <v>0.37</v>
      </c>
      <c r="Y58" s="23">
        <v>0.13600000000000001</v>
      </c>
      <c r="Z58" s="23">
        <v>3.5000000000000003E-2</v>
      </c>
      <c r="AA58" s="23">
        <v>5.9499999999999997E-2</v>
      </c>
      <c r="AE58" s="23">
        <v>4.3835616438356165E-2</v>
      </c>
      <c r="AF58" s="23">
        <v>7.8549848942598186E-2</v>
      </c>
      <c r="AG58" s="23">
        <v>9.0659340659340656E-2</v>
      </c>
      <c r="AH58" s="23">
        <v>8.6720867208672087E-2</v>
      </c>
      <c r="AI58" s="23">
        <v>3.6303630363036306E-2</v>
      </c>
      <c r="AJ58" s="23">
        <v>3.7313432835820895E-3</v>
      </c>
      <c r="AO58" s="23">
        <v>1.4326647564469915E-2</v>
      </c>
      <c r="AP58" s="23">
        <v>4.0816326530612242E-2</v>
      </c>
      <c r="AQ58" s="23">
        <v>6.7796610169491525E-2</v>
      </c>
      <c r="AR58" s="23">
        <v>4.7244094488188976E-2</v>
      </c>
      <c r="AS58" s="23">
        <v>9.5000000000000001E-2</v>
      </c>
      <c r="AT58" s="23">
        <v>0.12931034482758622</v>
      </c>
      <c r="AU58" s="23">
        <v>5.5039787798408485E-2</v>
      </c>
      <c r="AW58" s="100">
        <v>119</v>
      </c>
      <c r="AX58" s="100">
        <v>41.5</v>
      </c>
      <c r="BB58" s="23">
        <v>0.7857142857142857</v>
      </c>
      <c r="BC58" s="23">
        <v>0.875</v>
      </c>
      <c r="BD58" s="23">
        <v>0.96</v>
      </c>
      <c r="BE58" s="23">
        <v>1</v>
      </c>
      <c r="BF58" s="23">
        <v>0.6</v>
      </c>
      <c r="BH58" s="23">
        <v>0.88505747126436785</v>
      </c>
      <c r="BK58" s="23">
        <v>0.12322274881516587</v>
      </c>
      <c r="BL58" s="23">
        <v>8.0568720379146919E-2</v>
      </c>
      <c r="BM58" s="23">
        <v>0.27488151658767773</v>
      </c>
      <c r="BN58" s="23">
        <v>0.52132701421800953</v>
      </c>
      <c r="BR58" s="23">
        <v>0.56568364611260058</v>
      </c>
      <c r="BS58" s="23">
        <v>0.52347417840375587</v>
      </c>
      <c r="BT58" s="23">
        <v>0.72702702702702704</v>
      </c>
      <c r="BU58" s="23">
        <v>0.625</v>
      </c>
      <c r="BV58" s="23">
        <v>0.68571428571428572</v>
      </c>
      <c r="BW58" s="23">
        <v>0.15126050420168066</v>
      </c>
      <c r="CA58" s="23">
        <v>0.54154727793696278</v>
      </c>
      <c r="CB58" s="23">
        <v>0.74149659863945583</v>
      </c>
      <c r="CC58" s="23">
        <v>0.68135593220338986</v>
      </c>
      <c r="CD58" s="23">
        <v>0.64566929133858264</v>
      </c>
      <c r="CE58" s="23">
        <v>0.64500000000000002</v>
      </c>
      <c r="CF58" s="23">
        <v>0.67241379310344829</v>
      </c>
      <c r="CK58" s="23">
        <v>3.5019455252918288E-2</v>
      </c>
      <c r="CL58" s="23">
        <v>0.19318181818181818</v>
      </c>
      <c r="CM58" s="23">
        <v>0.2988505747126437</v>
      </c>
      <c r="CN58" s="23">
        <v>0.26582278481012656</v>
      </c>
      <c r="CO58" s="23">
        <v>0.41558441558441561</v>
      </c>
      <c r="CP58" s="23">
        <v>0.35714285714285715</v>
      </c>
    </row>
    <row r="59" spans="3:94" x14ac:dyDescent="0.25">
      <c r="C59" s="21">
        <v>36.312849162011176</v>
      </c>
      <c r="D59" s="21">
        <v>52.631578947368418</v>
      </c>
      <c r="E59" s="21">
        <v>78.804347826086953</v>
      </c>
      <c r="F59" s="21">
        <v>43.360433604336045</v>
      </c>
      <c r="G59" s="21">
        <v>30.100334448160535</v>
      </c>
      <c r="H59" s="21">
        <v>17.667844522968199</v>
      </c>
      <c r="K59" s="23">
        <v>0</v>
      </c>
      <c r="L59" s="23">
        <v>2.7027027027027026</v>
      </c>
      <c r="M59" s="23">
        <v>7.0769230769230766</v>
      </c>
      <c r="N59" s="23">
        <v>10.714285714285714</v>
      </c>
      <c r="O59" s="23">
        <v>0</v>
      </c>
      <c r="P59" s="23">
        <v>26.219512195121951</v>
      </c>
      <c r="Q59" s="23">
        <v>36.065573770491802</v>
      </c>
      <c r="R59" s="23">
        <v>13.636363636363635</v>
      </c>
      <c r="V59" s="23">
        <v>0.20349999999999999</v>
      </c>
      <c r="W59" s="23">
        <v>0.21249999999999999</v>
      </c>
      <c r="X59" s="23">
        <v>0.371</v>
      </c>
      <c r="Y59" s="23">
        <v>0.14050000000000001</v>
      </c>
      <c r="Z59" s="23">
        <v>3.3000000000000002E-2</v>
      </c>
      <c r="AA59" s="23">
        <v>3.95E-2</v>
      </c>
      <c r="AE59" s="23">
        <v>4.4692737430167599E-2</v>
      </c>
      <c r="AF59" s="23">
        <v>4.9535603715170282E-2</v>
      </c>
      <c r="AG59" s="23">
        <v>3.8043478260869568E-2</v>
      </c>
      <c r="AH59" s="23">
        <v>6.7750677506775062E-2</v>
      </c>
      <c r="AI59" s="23">
        <v>2.6755852842809364E-2</v>
      </c>
      <c r="AJ59" s="23">
        <v>0</v>
      </c>
      <c r="AO59" s="23">
        <v>1.1869436201780416E-2</v>
      </c>
      <c r="AP59" s="23">
        <v>3.4722222222222224E-2</v>
      </c>
      <c r="AQ59" s="23">
        <v>5.8641975308641972E-2</v>
      </c>
      <c r="AR59" s="23">
        <v>7.9847908745247151E-2</v>
      </c>
      <c r="AS59" s="23">
        <v>0.10326086956521739</v>
      </c>
      <c r="AT59" s="23">
        <v>9.3220338983050849E-2</v>
      </c>
      <c r="AU59" s="23">
        <v>5.5482166446499337E-2</v>
      </c>
      <c r="AW59" s="100">
        <v>79</v>
      </c>
      <c r="AX59" s="100">
        <v>42</v>
      </c>
      <c r="BB59" s="23">
        <v>0.66666666666666663</v>
      </c>
      <c r="BC59" s="23">
        <v>0.82352941176470584</v>
      </c>
      <c r="BD59" s="23">
        <v>0.81818181818181823</v>
      </c>
      <c r="BE59" s="23">
        <v>0.7142857142857143</v>
      </c>
      <c r="BF59" s="23">
        <v>0.8</v>
      </c>
      <c r="BH59" s="23">
        <v>0.76271186440677963</v>
      </c>
      <c r="BK59" s="23">
        <v>9.0909090909090912E-2</v>
      </c>
      <c r="BL59" s="23">
        <v>9.0909090909090912E-2</v>
      </c>
      <c r="BM59" s="23">
        <v>0.33057851239669422</v>
      </c>
      <c r="BN59" s="23">
        <v>0.48760330578512395</v>
      </c>
      <c r="BR59" s="23">
        <v>0.57985257985257987</v>
      </c>
      <c r="BS59" s="23">
        <v>0.49647058823529411</v>
      </c>
      <c r="BT59" s="23">
        <v>0.74123989218328845</v>
      </c>
      <c r="BU59" s="23">
        <v>0.64412811387900359</v>
      </c>
      <c r="BV59" s="23">
        <v>0.66666666666666663</v>
      </c>
      <c r="BW59" s="23">
        <v>0.17721518987341772</v>
      </c>
      <c r="CA59" s="23">
        <v>0.47477744807121663</v>
      </c>
      <c r="CB59" s="23">
        <v>0.71180555555555558</v>
      </c>
      <c r="CC59" s="23">
        <v>0.72530864197530864</v>
      </c>
      <c r="CD59" s="23">
        <v>0.69581749049429653</v>
      </c>
      <c r="CE59" s="23">
        <v>0.64130434782608692</v>
      </c>
      <c r="CF59" s="23">
        <v>0.72033898305084743</v>
      </c>
      <c r="CK59" s="23">
        <v>3.0888030888030889E-2</v>
      </c>
      <c r="CL59" s="23">
        <v>0.16842105263157894</v>
      </c>
      <c r="CM59" s="23">
        <v>0.30612244897959184</v>
      </c>
      <c r="CN59" s="23">
        <v>0.36781609195402298</v>
      </c>
      <c r="CO59" s="23">
        <v>0.38805970149253732</v>
      </c>
      <c r="CP59" s="23">
        <v>0.35555555555555557</v>
      </c>
    </row>
    <row r="60" spans="3:94" x14ac:dyDescent="0.25">
      <c r="C60" s="21">
        <v>45.714285714285715</v>
      </c>
      <c r="D60" s="21">
        <v>45.180722891566262</v>
      </c>
      <c r="E60" s="21">
        <v>64.171122994652407</v>
      </c>
      <c r="F60" s="21">
        <v>66.298342541436469</v>
      </c>
      <c r="G60" s="21">
        <v>30</v>
      </c>
      <c r="H60" s="21">
        <v>3.5460992907801416</v>
      </c>
      <c r="K60" s="23">
        <v>0</v>
      </c>
      <c r="L60" s="23">
        <v>7.6923076923076925</v>
      </c>
      <c r="M60" s="23">
        <v>9.9358974358974361</v>
      </c>
      <c r="N60" s="23">
        <v>15.151515151515152</v>
      </c>
      <c r="O60" s="23">
        <v>0</v>
      </c>
      <c r="P60" s="23">
        <v>14.374999999999998</v>
      </c>
      <c r="Q60" s="23">
        <v>22.807017543859647</v>
      </c>
      <c r="R60" s="23">
        <v>13.793103448275861</v>
      </c>
      <c r="V60" s="23">
        <v>0.20499999999999999</v>
      </c>
      <c r="W60" s="23">
        <v>0.21049999999999999</v>
      </c>
      <c r="X60" s="23">
        <v>0.38550000000000001</v>
      </c>
      <c r="Y60" s="23">
        <v>0.13850000000000001</v>
      </c>
      <c r="Z60" s="23">
        <v>2.1499999999999998E-2</v>
      </c>
      <c r="AA60" s="23">
        <v>3.9E-2</v>
      </c>
      <c r="AE60" s="23">
        <v>2.2857142857142857E-2</v>
      </c>
      <c r="AF60" s="23">
        <v>7.8313253012048195E-2</v>
      </c>
      <c r="AG60" s="23">
        <v>6.4171122994652413E-2</v>
      </c>
      <c r="AH60" s="23">
        <v>3.591160220994475E-2</v>
      </c>
      <c r="AI60" s="23">
        <v>0.02</v>
      </c>
      <c r="AJ60" s="23">
        <v>3.5460992907801418E-3</v>
      </c>
      <c r="AO60" s="23">
        <v>2.967359050445104E-3</v>
      </c>
      <c r="AP60" s="23">
        <v>2.3569023569023569E-2</v>
      </c>
      <c r="AQ60" s="23">
        <v>4.9180327868852458E-2</v>
      </c>
      <c r="AR60" s="23">
        <v>5.4054054054054057E-2</v>
      </c>
      <c r="AS60" s="23">
        <v>6.6326530612244902E-2</v>
      </c>
      <c r="AT60" s="23">
        <v>6.7796610169491525E-2</v>
      </c>
      <c r="AU60" s="23">
        <v>3.8359788359788358E-2</v>
      </c>
      <c r="AW60" s="100">
        <v>78</v>
      </c>
      <c r="AX60" s="100">
        <v>29</v>
      </c>
      <c r="BB60" s="23">
        <v>0.8</v>
      </c>
      <c r="BC60" s="23">
        <v>0.80952380952380953</v>
      </c>
      <c r="BD60" s="23">
        <v>0.82352941176470584</v>
      </c>
      <c r="BE60" s="23">
        <v>0.7142857142857143</v>
      </c>
      <c r="BF60" s="23">
        <v>0.8</v>
      </c>
      <c r="BG60" s="23">
        <v>1</v>
      </c>
      <c r="BH60" s="23">
        <v>0.79365079365079361</v>
      </c>
      <c r="BK60" s="23">
        <v>0.13333333333333333</v>
      </c>
      <c r="BL60" s="23">
        <v>2.6666666666666668E-2</v>
      </c>
      <c r="BM60" s="23">
        <v>0.31333333333333335</v>
      </c>
      <c r="BN60" s="23">
        <v>0.52666666666666662</v>
      </c>
      <c r="BR60" s="23">
        <v>0.60731707317073169</v>
      </c>
      <c r="BS60" s="23">
        <v>0.46793349168646081</v>
      </c>
      <c r="BT60" s="23">
        <v>0.71465629053177693</v>
      </c>
      <c r="BU60" s="23">
        <v>0.64259927797833938</v>
      </c>
      <c r="BV60" s="23">
        <v>0.60465116279069764</v>
      </c>
      <c r="BW60" s="23">
        <v>0.16666666666666666</v>
      </c>
      <c r="CA60" s="23">
        <v>0.48071216617210683</v>
      </c>
      <c r="CB60" s="23">
        <v>0.68013468013468015</v>
      </c>
      <c r="CC60" s="23">
        <v>0.70163934426229513</v>
      </c>
      <c r="CD60" s="23">
        <v>0.68725868725868722</v>
      </c>
      <c r="CE60" s="23">
        <v>0.62755102040816324</v>
      </c>
      <c r="CF60" s="23">
        <v>0.61864406779661019</v>
      </c>
      <c r="CK60" s="23">
        <v>1.5810276679841896E-2</v>
      </c>
      <c r="CL60" s="23">
        <v>0.10989010989010989</v>
      </c>
      <c r="CM60" s="23">
        <v>0.23749999999999999</v>
      </c>
      <c r="CN60" s="23">
        <v>0.28205128205128205</v>
      </c>
      <c r="CO60" s="23">
        <v>0.26027397260273971</v>
      </c>
      <c r="CP60" s="23">
        <v>0.31707317073170732</v>
      </c>
    </row>
    <row r="61" spans="3:94" x14ac:dyDescent="0.25">
      <c r="C61" s="21">
        <v>37.356321839080458</v>
      </c>
      <c r="D61" s="21">
        <v>52.785923753665692</v>
      </c>
      <c r="E61" s="21">
        <v>64.690026954177895</v>
      </c>
      <c r="F61" s="21">
        <v>44.817927170868344</v>
      </c>
      <c r="G61" s="21">
        <v>39.735099337748345</v>
      </c>
      <c r="H61" s="21">
        <v>7.117437722419929</v>
      </c>
      <c r="K61" s="23">
        <v>0</v>
      </c>
      <c r="L61" s="23">
        <v>9.8360655737704921</v>
      </c>
      <c r="M61" s="23">
        <v>9.4915254237288131</v>
      </c>
      <c r="N61" s="23">
        <v>3.4482758620689653</v>
      </c>
      <c r="O61" s="23">
        <v>0</v>
      </c>
      <c r="P61" s="23">
        <v>18.128654970760234</v>
      </c>
      <c r="Q61" s="23">
        <v>26.984126984126984</v>
      </c>
      <c r="R61" s="23">
        <v>24</v>
      </c>
      <c r="V61" s="23">
        <v>0.20100000000000001</v>
      </c>
      <c r="W61" s="23">
        <v>0.21249999999999999</v>
      </c>
      <c r="X61" s="23">
        <v>0.36549999999999999</v>
      </c>
      <c r="Y61" s="23">
        <v>0.13400000000000001</v>
      </c>
      <c r="Z61" s="23">
        <v>3.15E-2</v>
      </c>
      <c r="AA61" s="23">
        <v>5.5500000000000001E-2</v>
      </c>
      <c r="AE61" s="23">
        <v>4.3103448275862072E-2</v>
      </c>
      <c r="AF61" s="23">
        <v>8.5043988269794715E-2</v>
      </c>
      <c r="AG61" s="23">
        <v>9.7035040431266845E-2</v>
      </c>
      <c r="AH61" s="23">
        <v>7.0028011204481794E-2</v>
      </c>
      <c r="AI61" s="23">
        <v>1.6556291390728478E-2</v>
      </c>
      <c r="AJ61" s="23">
        <v>3.5587188612099642E-3</v>
      </c>
      <c r="AO61" s="23">
        <v>1.2158054711246201E-2</v>
      </c>
      <c r="AP61" s="23">
        <v>4.6052631578947366E-2</v>
      </c>
      <c r="AQ61" s="23">
        <v>4.3771043771043773E-2</v>
      </c>
      <c r="AR61" s="23">
        <v>6.5306122448979598E-2</v>
      </c>
      <c r="AS61" s="23">
        <v>8.3333333333333329E-2</v>
      </c>
      <c r="AT61" s="23">
        <v>4.1666666666666664E-2</v>
      </c>
      <c r="AU61" s="23">
        <v>4.5729657027572292E-2</v>
      </c>
      <c r="AW61" s="100">
        <v>111</v>
      </c>
      <c r="AX61" s="100">
        <v>34</v>
      </c>
      <c r="BB61" s="23">
        <v>0.84615384615384615</v>
      </c>
      <c r="BC61" s="23">
        <v>0.88888888888888884</v>
      </c>
      <c r="BD61" s="23">
        <v>0.89473684210526316</v>
      </c>
      <c r="BE61" s="23">
        <v>0.9</v>
      </c>
      <c r="BF61" s="23">
        <v>0.33333333333333331</v>
      </c>
      <c r="BG61" s="23">
        <v>0</v>
      </c>
      <c r="BH61" s="23">
        <v>0.85135135135135132</v>
      </c>
      <c r="BK61" s="23">
        <v>0.11560693641618497</v>
      </c>
      <c r="BL61" s="23">
        <v>6.358381502890173E-2</v>
      </c>
      <c r="BM61" s="23">
        <v>0.30635838150289019</v>
      </c>
      <c r="BN61" s="23">
        <v>0.51445086705202314</v>
      </c>
      <c r="BR61" s="23">
        <v>0.61940298507462688</v>
      </c>
      <c r="BS61" s="23">
        <v>0.51764705882352946</v>
      </c>
      <c r="BT61" s="23">
        <v>0.70041039671682626</v>
      </c>
      <c r="BU61" s="23">
        <v>0.59701492537313428</v>
      </c>
      <c r="BV61" s="23">
        <v>0.5714285714285714</v>
      </c>
      <c r="BW61" s="23">
        <v>0.11711711711711711</v>
      </c>
      <c r="CA61" s="23">
        <v>0.58966565349544076</v>
      </c>
      <c r="CB61" s="23">
        <v>0.61842105263157898</v>
      </c>
      <c r="CC61" s="23">
        <v>0.65319865319865322</v>
      </c>
      <c r="CD61" s="23">
        <v>0.66122448979591841</v>
      </c>
      <c r="CE61" s="23">
        <v>0.64583333333333337</v>
      </c>
      <c r="CF61" s="23">
        <v>0.55000000000000004</v>
      </c>
      <c r="CK61" s="23">
        <v>3.9301310043668124E-2</v>
      </c>
      <c r="CL61" s="23">
        <v>0.15503875968992248</v>
      </c>
      <c r="CM61" s="23">
        <v>0.2808988764044944</v>
      </c>
      <c r="CN61" s="23">
        <v>0.3380281690140845</v>
      </c>
      <c r="CO61" s="23">
        <v>0.35384615384615387</v>
      </c>
      <c r="CP61" s="23">
        <v>0.22641509433962265</v>
      </c>
    </row>
    <row r="62" spans="3:94" x14ac:dyDescent="0.25">
      <c r="C62" s="21">
        <v>25.495750708215297</v>
      </c>
      <c r="D62" s="21">
        <v>49.562682215743443</v>
      </c>
      <c r="E62" s="21">
        <v>55.555555555555557</v>
      </c>
      <c r="F62" s="21">
        <v>66.852367688022284</v>
      </c>
      <c r="G62" s="21">
        <v>12.738853503184714</v>
      </c>
      <c r="H62" s="21">
        <v>7.3800738007380078</v>
      </c>
      <c r="K62" s="23">
        <v>0</v>
      </c>
      <c r="L62" s="23">
        <v>8.6206896551724146</v>
      </c>
      <c r="M62" s="23">
        <v>10.299003322259136</v>
      </c>
      <c r="N62" s="23">
        <v>10.344827586206897</v>
      </c>
      <c r="O62" s="23">
        <v>0</v>
      </c>
      <c r="P62" s="23">
        <v>17.218543046357617</v>
      </c>
      <c r="Q62" s="23">
        <v>12.280701754385964</v>
      </c>
      <c r="R62" s="23">
        <v>26.47058823529412</v>
      </c>
      <c r="V62" s="23">
        <v>0.20549999999999999</v>
      </c>
      <c r="W62" s="23">
        <v>0.2225</v>
      </c>
      <c r="X62" s="23">
        <v>0.3775</v>
      </c>
      <c r="Y62" s="23">
        <v>0.1245</v>
      </c>
      <c r="Z62" s="23">
        <v>2.9499999999999998E-2</v>
      </c>
      <c r="AA62" s="23">
        <v>4.0500000000000001E-2</v>
      </c>
      <c r="AE62" s="23">
        <v>2.8328611898016998E-2</v>
      </c>
      <c r="AF62" s="23">
        <v>5.5393586005830907E-2</v>
      </c>
      <c r="AG62" s="23">
        <v>8.611111111111111E-2</v>
      </c>
      <c r="AH62" s="23">
        <v>3.8997214484679667E-2</v>
      </c>
      <c r="AI62" s="23">
        <v>2.2292993630573247E-2</v>
      </c>
      <c r="AJ62" s="23">
        <v>0</v>
      </c>
      <c r="AO62" s="23">
        <v>8.8495575221238937E-3</v>
      </c>
      <c r="AP62" s="23">
        <v>3.870967741935484E-2</v>
      </c>
      <c r="AQ62" s="23">
        <v>3.793103448275862E-2</v>
      </c>
      <c r="AR62" s="23">
        <v>9.5041322314049589E-2</v>
      </c>
      <c r="AS62" s="23">
        <v>5.5837563451776651E-2</v>
      </c>
      <c r="AT62" s="23">
        <v>6.1538461538461542E-2</v>
      </c>
      <c r="AU62" s="23">
        <v>4.5092838196286469E-2</v>
      </c>
      <c r="AW62" s="100">
        <v>81</v>
      </c>
      <c r="AX62" s="100">
        <v>34</v>
      </c>
      <c r="BB62" s="23">
        <v>0.66666666666666663</v>
      </c>
      <c r="BC62" s="23">
        <v>0.6428571428571429</v>
      </c>
      <c r="BD62" s="23">
        <v>0.88461538461538458</v>
      </c>
      <c r="BE62" s="23">
        <v>0.81818181818181823</v>
      </c>
      <c r="BF62" s="23">
        <v>0.5</v>
      </c>
      <c r="BH62" s="23">
        <v>0.75757575757575757</v>
      </c>
      <c r="BK62" s="23">
        <v>0.10967741935483871</v>
      </c>
      <c r="BL62" s="23">
        <v>9.0322580645161285E-2</v>
      </c>
      <c r="BM62" s="23">
        <v>0.32903225806451614</v>
      </c>
      <c r="BN62" s="23">
        <v>0.47096774193548385</v>
      </c>
      <c r="BR62" s="23">
        <v>0.6082725060827251</v>
      </c>
      <c r="BS62" s="23">
        <v>0.5056179775280899</v>
      </c>
      <c r="BT62" s="23">
        <v>0.72980132450331126</v>
      </c>
      <c r="BU62" s="23">
        <v>0.58232931726907633</v>
      </c>
      <c r="BV62" s="23">
        <v>0.66101694915254239</v>
      </c>
      <c r="BW62" s="23">
        <v>0.12345679012345678</v>
      </c>
      <c r="CA62" s="23">
        <v>0.53392330383480824</v>
      </c>
      <c r="CB62" s="23">
        <v>0.69354838709677424</v>
      </c>
      <c r="CC62" s="23">
        <v>0.73103448275862071</v>
      </c>
      <c r="CD62" s="23">
        <v>0.63223140495867769</v>
      </c>
      <c r="CE62" s="23">
        <v>0.61928934010152281</v>
      </c>
      <c r="CF62" s="23">
        <v>0.59230769230769231</v>
      </c>
      <c r="CK62" s="23">
        <v>1.5748031496062992E-2</v>
      </c>
      <c r="CL62" s="23">
        <v>0.19354838709677419</v>
      </c>
      <c r="CM62" s="23">
        <v>0.23076923076923078</v>
      </c>
      <c r="CN62" s="23">
        <v>0.44578313253012047</v>
      </c>
      <c r="CO62" s="23">
        <v>0.29850746268656714</v>
      </c>
      <c r="CP62" s="23">
        <v>0.25423728813559321</v>
      </c>
    </row>
    <row r="63" spans="3:94" x14ac:dyDescent="0.25">
      <c r="C63" s="21">
        <v>58.011049723756905</v>
      </c>
      <c r="D63" s="21">
        <v>62.874251497005986</v>
      </c>
      <c r="E63" s="21">
        <v>38.674033149171272</v>
      </c>
      <c r="F63" s="21">
        <v>71.428571428571431</v>
      </c>
      <c r="G63" s="21">
        <v>31.948881789137381</v>
      </c>
      <c r="H63" s="21">
        <v>3.7735849056603774</v>
      </c>
      <c r="K63" s="23">
        <v>0</v>
      </c>
      <c r="L63" s="23">
        <v>4.3478260869565215</v>
      </c>
      <c r="M63" s="23">
        <v>9.0322580645161281</v>
      </c>
      <c r="N63" s="23">
        <v>19.230769230769234</v>
      </c>
      <c r="O63" s="23">
        <v>0</v>
      </c>
      <c r="P63" s="23">
        <v>18.70967741935484</v>
      </c>
      <c r="Q63" s="23">
        <v>20.33898305084746</v>
      </c>
      <c r="R63" s="23">
        <v>22.222222222222221</v>
      </c>
      <c r="V63" s="23">
        <v>0.20050000000000001</v>
      </c>
      <c r="W63" s="23">
        <v>0.22900000000000001</v>
      </c>
      <c r="X63" s="23">
        <v>0.3715</v>
      </c>
      <c r="Y63" s="23">
        <v>0.1295</v>
      </c>
      <c r="Z63" s="23">
        <v>2.5999999999999999E-2</v>
      </c>
      <c r="AA63" s="23">
        <v>4.3499999999999997E-2</v>
      </c>
      <c r="AE63" s="23">
        <v>2.4861878453038673E-2</v>
      </c>
      <c r="AF63" s="23">
        <v>5.089820359281437E-2</v>
      </c>
      <c r="AG63" s="23">
        <v>7.18232044198895E-2</v>
      </c>
      <c r="AH63" s="23">
        <v>7.9670329670329665E-2</v>
      </c>
      <c r="AI63" s="23">
        <v>1.5974440894568689E-2</v>
      </c>
      <c r="AJ63" s="23">
        <v>3.7735849056603774E-3</v>
      </c>
      <c r="AO63" s="23">
        <v>2.8735632183908046E-3</v>
      </c>
      <c r="AP63" s="23">
        <v>4.5454545454545456E-2</v>
      </c>
      <c r="AQ63" s="23">
        <v>7.6923076923076927E-2</v>
      </c>
      <c r="AR63" s="23">
        <v>7.421875E-2</v>
      </c>
      <c r="AS63" s="23">
        <v>5.2132701421800945E-2</v>
      </c>
      <c r="AT63" s="23">
        <v>9.7087378640776698E-2</v>
      </c>
      <c r="AU63" s="23">
        <v>5.0925925925925923E-2</v>
      </c>
      <c r="AW63" s="100">
        <v>87</v>
      </c>
      <c r="AX63" s="100">
        <v>38.5</v>
      </c>
      <c r="BB63" s="23">
        <v>0.55555555555555558</v>
      </c>
      <c r="BC63" s="23">
        <v>0.81818181818181823</v>
      </c>
      <c r="BD63" s="23">
        <v>0.7857142857142857</v>
      </c>
      <c r="BE63" s="23">
        <v>0.66666666666666663</v>
      </c>
      <c r="BF63" s="23">
        <v>1</v>
      </c>
      <c r="BG63" s="23">
        <v>0</v>
      </c>
      <c r="BH63" s="23">
        <v>0.7142857142857143</v>
      </c>
      <c r="BK63" s="23">
        <v>0.15060240963855423</v>
      </c>
      <c r="BL63" s="23">
        <v>2.4096385542168676E-2</v>
      </c>
      <c r="BM63" s="23">
        <v>0.18674698795180722</v>
      </c>
      <c r="BN63" s="23">
        <v>0.63855421686746983</v>
      </c>
      <c r="BR63" s="23">
        <v>0.60099750623441395</v>
      </c>
      <c r="BS63" s="23">
        <v>0.5</v>
      </c>
      <c r="BT63" s="23">
        <v>0.70524899057873491</v>
      </c>
      <c r="BU63" s="23">
        <v>0.60231660231660233</v>
      </c>
      <c r="BV63" s="23">
        <v>0.76923076923076927</v>
      </c>
      <c r="BW63" s="23">
        <v>0.21839080459770116</v>
      </c>
      <c r="CA63" s="23">
        <v>0.50574712643678166</v>
      </c>
      <c r="CB63" s="23">
        <v>0.71753246753246758</v>
      </c>
      <c r="CC63" s="23">
        <v>0.70979020979020979</v>
      </c>
      <c r="CD63" s="23">
        <v>0.640625</v>
      </c>
      <c r="CE63" s="23">
        <v>0.58767772511848337</v>
      </c>
      <c r="CF63" s="23">
        <v>0.59223300970873782</v>
      </c>
      <c r="CK63" s="23">
        <v>1.1583011583011582E-2</v>
      </c>
      <c r="CL63" s="23">
        <v>0.15702479338842976</v>
      </c>
      <c r="CM63" s="23">
        <v>0.30952380952380953</v>
      </c>
      <c r="CN63" s="23">
        <v>0.3253012048192771</v>
      </c>
      <c r="CO63" s="23">
        <v>0.25333333333333335</v>
      </c>
      <c r="CP63" s="23">
        <v>0.31707317073170732</v>
      </c>
    </row>
    <row r="64" spans="3:94" x14ac:dyDescent="0.25">
      <c r="C64" s="21">
        <v>38.567493112947659</v>
      </c>
      <c r="D64" s="21">
        <v>69.069069069069073</v>
      </c>
      <c r="E64" s="21">
        <v>57.851239669421489</v>
      </c>
      <c r="F64" s="21">
        <v>70.652173913043484</v>
      </c>
      <c r="G64" s="21">
        <v>29.801324503311257</v>
      </c>
      <c r="H64" s="21">
        <v>0</v>
      </c>
      <c r="K64" s="23">
        <v>0</v>
      </c>
      <c r="L64" s="23">
        <v>5.4794520547945202</v>
      </c>
      <c r="M64" s="23">
        <v>9.9667774086378742</v>
      </c>
      <c r="N64" s="23">
        <v>6.4516129032258061</v>
      </c>
      <c r="O64" s="23">
        <v>0</v>
      </c>
      <c r="P64" s="23">
        <v>25.581395348837212</v>
      </c>
      <c r="Q64" s="23">
        <v>33.333333333333329</v>
      </c>
      <c r="R64" s="23">
        <v>18.75</v>
      </c>
      <c r="V64" s="23">
        <v>0.183</v>
      </c>
      <c r="W64" s="23">
        <v>0.2205</v>
      </c>
      <c r="X64" s="23">
        <v>0.38850000000000001</v>
      </c>
      <c r="Y64" s="23">
        <v>0.1235</v>
      </c>
      <c r="Z64" s="23">
        <v>3.4500000000000003E-2</v>
      </c>
      <c r="AA64" s="23">
        <v>0.05</v>
      </c>
      <c r="AE64" s="23">
        <v>3.8567493112947659E-2</v>
      </c>
      <c r="AF64" s="23">
        <v>7.5075075075075076E-2</v>
      </c>
      <c r="AG64" s="23">
        <v>9.366391184573003E-2</v>
      </c>
      <c r="AH64" s="23">
        <v>5.434782608695652E-2</v>
      </c>
      <c r="AI64" s="23">
        <v>1.9867549668874173E-2</v>
      </c>
      <c r="AJ64" s="23">
        <v>3.6900369003690036E-3</v>
      </c>
      <c r="AO64" s="23">
        <v>1.1594202898550725E-2</v>
      </c>
      <c r="AP64" s="23">
        <v>2.7027027027027029E-2</v>
      </c>
      <c r="AQ64" s="23">
        <v>6.5517241379310351E-2</v>
      </c>
      <c r="AR64" s="23">
        <v>4.9429657794676805E-2</v>
      </c>
      <c r="AS64" s="23">
        <v>7.3529411764705885E-2</v>
      </c>
      <c r="AT64" s="23">
        <v>8.8235294117647065E-2</v>
      </c>
      <c r="AU64" s="23">
        <v>4.6284224250325946E-2</v>
      </c>
      <c r="AW64" s="100">
        <v>100</v>
      </c>
      <c r="AX64" s="100">
        <v>35.5</v>
      </c>
      <c r="BB64" s="23">
        <v>1</v>
      </c>
      <c r="BC64" s="23">
        <v>0.8</v>
      </c>
      <c r="BD64" s="23">
        <v>0.80952380952380953</v>
      </c>
      <c r="BE64" s="23">
        <v>0.66666666666666663</v>
      </c>
      <c r="BF64" s="23">
        <v>0.75</v>
      </c>
      <c r="BG64" s="23">
        <v>0.33333333333333331</v>
      </c>
      <c r="BH64" s="23">
        <v>0.79729729729729726</v>
      </c>
      <c r="BK64" s="23">
        <v>0.1</v>
      </c>
      <c r="BL64" s="23">
        <v>1.6666666666666666E-2</v>
      </c>
      <c r="BM64" s="23">
        <v>0.27777777777777779</v>
      </c>
      <c r="BN64" s="23">
        <v>0.60555555555555551</v>
      </c>
      <c r="BR64" s="23">
        <v>0.62295081967213117</v>
      </c>
      <c r="BS64" s="23">
        <v>0.51700680272108845</v>
      </c>
      <c r="BT64" s="23">
        <v>0.71943371943371948</v>
      </c>
      <c r="BU64" s="23">
        <v>0.61538461538461542</v>
      </c>
      <c r="BV64" s="23">
        <v>0.57971014492753625</v>
      </c>
      <c r="BW64" s="23">
        <v>0.15</v>
      </c>
      <c r="CA64" s="23">
        <v>0.54492753623188406</v>
      </c>
      <c r="CB64" s="23">
        <v>0.66891891891891897</v>
      </c>
      <c r="CC64" s="23">
        <v>0.70344827586206893</v>
      </c>
      <c r="CD64" s="23">
        <v>0.66159695817490494</v>
      </c>
      <c r="CE64" s="23">
        <v>0.63235294117647056</v>
      </c>
      <c r="CF64" s="23">
        <v>0.63235294117647056</v>
      </c>
      <c r="CK64" s="23">
        <v>3.1128404669260701E-2</v>
      </c>
      <c r="CL64" s="23">
        <v>0.125</v>
      </c>
      <c r="CM64" s="23">
        <v>0.30434782608695654</v>
      </c>
      <c r="CN64" s="23">
        <v>0.30666666666666664</v>
      </c>
      <c r="CO64" s="23">
        <v>0.38356164383561642</v>
      </c>
      <c r="CP64" s="23">
        <v>0.32075471698113206</v>
      </c>
    </row>
    <row r="65" spans="3:94" x14ac:dyDescent="0.25">
      <c r="C65" s="21">
        <v>37.356321839080458</v>
      </c>
      <c r="D65" s="21">
        <v>51.829268292682926</v>
      </c>
      <c r="E65" s="21">
        <v>83.55795148247978</v>
      </c>
      <c r="F65" s="21">
        <v>41.208791208791212</v>
      </c>
      <c r="G65" s="21">
        <v>53.156146179401993</v>
      </c>
      <c r="H65" s="21">
        <v>0</v>
      </c>
      <c r="K65" s="23">
        <v>0</v>
      </c>
      <c r="L65" s="23">
        <v>6.1538461538461542</v>
      </c>
      <c r="M65" s="23">
        <v>9.9337748344370862</v>
      </c>
      <c r="N65" s="23">
        <v>9.0909090909090917</v>
      </c>
      <c r="O65" s="23">
        <v>0.55555555555555558</v>
      </c>
      <c r="P65" s="23">
        <v>21.511627906976745</v>
      </c>
      <c r="Q65" s="23">
        <v>28.07017543859649</v>
      </c>
      <c r="R65" s="23">
        <v>24</v>
      </c>
      <c r="V65" s="23">
        <v>0.2165</v>
      </c>
      <c r="W65" s="23">
        <v>0.215</v>
      </c>
      <c r="X65" s="23">
        <v>0.36899999999999999</v>
      </c>
      <c r="Y65" s="23">
        <v>0.126</v>
      </c>
      <c r="Z65" s="23">
        <v>0.03</v>
      </c>
      <c r="AA65" s="23">
        <v>4.3499999999999997E-2</v>
      </c>
      <c r="AE65" s="23">
        <v>2.8735632183908046E-2</v>
      </c>
      <c r="AF65" s="23">
        <v>6.7073170731707321E-2</v>
      </c>
      <c r="AG65" s="23">
        <v>7.0080862533692723E-2</v>
      </c>
      <c r="AH65" s="23">
        <v>6.043956043956044E-2</v>
      </c>
      <c r="AI65" s="23">
        <v>1.9933554817275746E-2</v>
      </c>
      <c r="AJ65" s="23">
        <v>3.472222222222222E-3</v>
      </c>
      <c r="AO65" s="23">
        <v>5.9880239520958087E-3</v>
      </c>
      <c r="AP65" s="23">
        <v>1.0101010101010102E-2</v>
      </c>
      <c r="AQ65" s="23">
        <v>7.2164948453608241E-2</v>
      </c>
      <c r="AR65" s="23">
        <v>5.8823529411764705E-2</v>
      </c>
      <c r="AS65" s="23">
        <v>4.712041884816754E-2</v>
      </c>
      <c r="AT65" s="23">
        <v>8.9285714285714288E-2</v>
      </c>
      <c r="AU65" s="23">
        <v>4.0540540540540543E-2</v>
      </c>
      <c r="AW65" s="100">
        <v>87</v>
      </c>
      <c r="AX65" s="100">
        <v>30</v>
      </c>
      <c r="BB65" s="23">
        <v>0.72727272727272729</v>
      </c>
      <c r="BC65" s="23">
        <v>0.8666666666666667</v>
      </c>
      <c r="BD65" s="23">
        <v>0.82352941176470584</v>
      </c>
      <c r="BE65" s="23">
        <v>0.69230769230769229</v>
      </c>
      <c r="BF65" s="23">
        <v>1</v>
      </c>
      <c r="BG65" s="23">
        <v>1</v>
      </c>
      <c r="BH65" s="23">
        <v>0.80327868852459017</v>
      </c>
      <c r="BK65" s="23">
        <v>0.14189189189189189</v>
      </c>
      <c r="BL65" s="23">
        <v>1.3513513513513514E-2</v>
      </c>
      <c r="BM65" s="23">
        <v>0.31756756756756754</v>
      </c>
      <c r="BN65" s="23">
        <v>0.52702702702702697</v>
      </c>
      <c r="BR65" s="23">
        <v>0.5889145496535797</v>
      </c>
      <c r="BS65" s="23">
        <v>0.50697674418604655</v>
      </c>
      <c r="BT65" s="23">
        <v>0.73035230352303526</v>
      </c>
      <c r="BU65" s="23">
        <v>0.62698412698412698</v>
      </c>
      <c r="BV65" s="23">
        <v>0.6166666666666667</v>
      </c>
      <c r="BW65" s="23">
        <v>0.13793103448275862</v>
      </c>
      <c r="CA65" s="23">
        <v>0.55089820359281438</v>
      </c>
      <c r="CB65" s="23">
        <v>0.64309764309764306</v>
      </c>
      <c r="CC65" s="23">
        <v>0.68384879725085912</v>
      </c>
      <c r="CD65" s="23">
        <v>0.69019607843137254</v>
      </c>
      <c r="CE65" s="23">
        <v>0.66492146596858637</v>
      </c>
      <c r="CF65" s="23">
        <v>0.6696428571428571</v>
      </c>
      <c r="CK65" s="23">
        <v>1.6129032258064516E-2</v>
      </c>
      <c r="CL65" s="23">
        <v>0.10091743119266056</v>
      </c>
      <c r="CM65" s="23">
        <v>0.2857142857142857</v>
      </c>
      <c r="CN65" s="23">
        <v>0.34285714285714286</v>
      </c>
      <c r="CO65" s="23">
        <v>0.29850746268656714</v>
      </c>
      <c r="CP65" s="23">
        <v>0.25531914893617019</v>
      </c>
    </row>
    <row r="66" spans="3:94" x14ac:dyDescent="0.25">
      <c r="C66" s="21">
        <v>34.188034188034187</v>
      </c>
      <c r="D66" s="21">
        <v>54.380664652567972</v>
      </c>
      <c r="E66" s="21">
        <v>37.333333333333336</v>
      </c>
      <c r="F66" s="21">
        <v>41.551246537396125</v>
      </c>
      <c r="G66" s="21">
        <v>29.900332225913623</v>
      </c>
      <c r="H66" s="21">
        <v>7.117437722419929</v>
      </c>
      <c r="K66" s="23">
        <v>0</v>
      </c>
      <c r="L66" s="23">
        <v>8.3333333333333321</v>
      </c>
      <c r="M66" s="23">
        <v>11.728395061728394</v>
      </c>
      <c r="N66" s="23">
        <v>26.086956521739129</v>
      </c>
      <c r="O66" s="23">
        <v>0.52083333333333326</v>
      </c>
      <c r="P66" s="23">
        <v>17.880794701986755</v>
      </c>
      <c r="Q66" s="23">
        <v>21.818181818181817</v>
      </c>
      <c r="R66" s="23">
        <v>26.923076923076923</v>
      </c>
      <c r="V66" s="23">
        <v>0.19500000000000001</v>
      </c>
      <c r="W66" s="23">
        <v>0.224</v>
      </c>
      <c r="X66" s="23">
        <v>0.3765</v>
      </c>
      <c r="Y66" s="23">
        <v>0.121</v>
      </c>
      <c r="Z66" s="23">
        <v>3.5499999999999997E-2</v>
      </c>
      <c r="AA66" s="23">
        <v>4.8000000000000001E-2</v>
      </c>
      <c r="AE66" s="23">
        <v>4.843304843304843E-2</v>
      </c>
      <c r="AF66" s="23">
        <v>6.6465256797583083E-2</v>
      </c>
      <c r="AG66" s="23">
        <v>8.7999999999999995E-2</v>
      </c>
      <c r="AH66" s="23">
        <v>5.2631578947368418E-2</v>
      </c>
      <c r="AI66" s="23">
        <v>9.9667774086378731E-3</v>
      </c>
      <c r="AJ66" s="23">
        <v>7.1174377224199285E-3</v>
      </c>
      <c r="AO66" s="23">
        <v>6.1162079510703364E-3</v>
      </c>
      <c r="AP66" s="23">
        <v>4.7619047619047616E-2</v>
      </c>
      <c r="AQ66" s="23">
        <v>3.678929765886288E-2</v>
      </c>
      <c r="AR66" s="23">
        <v>8.203125E-2</v>
      </c>
      <c r="AS66" s="23">
        <v>5.8536585365853662E-2</v>
      </c>
      <c r="AT66" s="23">
        <v>4.5112781954887216E-2</v>
      </c>
      <c r="AU66" s="23">
        <v>4.3593130779392336E-2</v>
      </c>
      <c r="AW66" s="100">
        <v>96</v>
      </c>
      <c r="AX66" s="100">
        <v>33</v>
      </c>
      <c r="BB66" s="23">
        <v>0.8</v>
      </c>
      <c r="BC66" s="23">
        <v>0.68421052631578949</v>
      </c>
      <c r="BD66" s="23">
        <v>0.94117647058823528</v>
      </c>
      <c r="BE66" s="23">
        <v>0.76923076923076927</v>
      </c>
      <c r="BF66" s="23">
        <v>0.5</v>
      </c>
      <c r="BG66" s="23">
        <v>1</v>
      </c>
      <c r="BH66" s="23">
        <v>0.78260869565217395</v>
      </c>
      <c r="BK66" s="23">
        <v>8.8082901554404139E-2</v>
      </c>
      <c r="BL66" s="23">
        <v>7.7720207253886009E-2</v>
      </c>
      <c r="BM66" s="23">
        <v>0.19170984455958548</v>
      </c>
      <c r="BN66" s="23">
        <v>0.6424870466321243</v>
      </c>
      <c r="BR66" s="23">
        <v>0.58205128205128209</v>
      </c>
      <c r="BS66" s="23">
        <v>0.5245535714285714</v>
      </c>
      <c r="BT66" s="23">
        <v>0.73041168658698541</v>
      </c>
      <c r="BU66" s="23">
        <v>0.6074380165289256</v>
      </c>
      <c r="BV66" s="23">
        <v>0.53521126760563376</v>
      </c>
      <c r="BW66" s="23">
        <v>0.17708333333333334</v>
      </c>
      <c r="CA66" s="23">
        <v>0.54434250764525993</v>
      </c>
      <c r="CB66" s="23">
        <v>0.69727891156462585</v>
      </c>
      <c r="CC66" s="23">
        <v>0.68896321070234112</v>
      </c>
      <c r="CD66" s="23">
        <v>0.69921875</v>
      </c>
      <c r="CE66" s="23">
        <v>0.57073170731707312</v>
      </c>
      <c r="CF66" s="23">
        <v>0.63909774436090228</v>
      </c>
      <c r="CK66" s="23">
        <v>1.6064257028112448E-2</v>
      </c>
      <c r="CL66" s="23">
        <v>0.19801980198019803</v>
      </c>
      <c r="CM66" s="23">
        <v>0.19387755102040816</v>
      </c>
      <c r="CN66" s="23">
        <v>0.40697674418604651</v>
      </c>
      <c r="CO66" s="23">
        <v>0.33333333333333331</v>
      </c>
      <c r="CP66" s="23">
        <v>0.20754716981132076</v>
      </c>
    </row>
    <row r="67" spans="3:94" x14ac:dyDescent="0.25">
      <c r="C67" s="21">
        <v>25.787965616045845</v>
      </c>
      <c r="D67" s="21">
        <v>57.803468208092482</v>
      </c>
      <c r="E67" s="21">
        <v>38.46153846153846</v>
      </c>
      <c r="F67" s="21">
        <v>56.657223796033996</v>
      </c>
      <c r="G67" s="21">
        <v>32.362459546925564</v>
      </c>
      <c r="H67" s="21">
        <v>0</v>
      </c>
      <c r="K67" s="23">
        <v>0</v>
      </c>
      <c r="L67" s="23">
        <v>4.3478260869565215</v>
      </c>
      <c r="M67" s="23">
        <v>12.5</v>
      </c>
      <c r="N67" s="23">
        <v>13.636363636363635</v>
      </c>
      <c r="O67" s="23">
        <v>0</v>
      </c>
      <c r="P67" s="23">
        <v>11.111111111111111</v>
      </c>
      <c r="Q67" s="23">
        <v>27.586206896551722</v>
      </c>
      <c r="R67" s="23">
        <v>18.518518518518519</v>
      </c>
      <c r="V67" s="23">
        <v>0.20449999999999999</v>
      </c>
      <c r="W67" s="23">
        <v>0.219</v>
      </c>
      <c r="X67" s="23">
        <v>0.372</v>
      </c>
      <c r="Y67" s="23">
        <v>0.121</v>
      </c>
      <c r="Z67" s="23">
        <v>3.95E-2</v>
      </c>
      <c r="AA67" s="23">
        <v>4.3999999999999997E-2</v>
      </c>
      <c r="AE67" s="23">
        <v>3.4383954154727794E-2</v>
      </c>
      <c r="AF67" s="23">
        <v>8.0924855491329481E-2</v>
      </c>
      <c r="AG67" s="23">
        <v>7.4175824175824176E-2</v>
      </c>
      <c r="AH67" s="23">
        <v>5.3824362606232294E-2</v>
      </c>
      <c r="AI67" s="23">
        <v>3.2362459546925568E-3</v>
      </c>
      <c r="AJ67" s="23">
        <v>3.5842293906810036E-3</v>
      </c>
      <c r="AO67" s="23">
        <v>8.9552238805970154E-3</v>
      </c>
      <c r="AP67" s="23">
        <v>0.04</v>
      </c>
      <c r="AQ67" s="23">
        <v>6.8728522336769765E-2</v>
      </c>
      <c r="AR67" s="23">
        <v>6.7729083665338641E-2</v>
      </c>
      <c r="AS67" s="23">
        <v>9.6330275229357804E-2</v>
      </c>
      <c r="AT67" s="23">
        <v>7.407407407407407E-2</v>
      </c>
      <c r="AU67" s="23">
        <v>5.3892215568862277E-2</v>
      </c>
      <c r="AW67" s="100">
        <v>88</v>
      </c>
      <c r="AX67" s="100">
        <v>40.5</v>
      </c>
      <c r="BB67" s="23">
        <v>0.66666666666666663</v>
      </c>
      <c r="BC67" s="23">
        <v>0.8</v>
      </c>
      <c r="BD67" s="23">
        <v>0.73684210526315785</v>
      </c>
      <c r="BE67" s="23">
        <v>0.625</v>
      </c>
      <c r="BF67" s="23">
        <v>0</v>
      </c>
      <c r="BG67" s="23">
        <v>0</v>
      </c>
      <c r="BH67" s="23">
        <v>0.68571428571428572</v>
      </c>
      <c r="BK67" s="23">
        <v>0.12222222222222222</v>
      </c>
      <c r="BL67" s="23">
        <v>0.05</v>
      </c>
      <c r="BM67" s="23">
        <v>0.2</v>
      </c>
      <c r="BN67" s="23">
        <v>0.62777777777777777</v>
      </c>
      <c r="BR67" s="23">
        <v>0.58924205378973105</v>
      </c>
      <c r="BS67" s="23">
        <v>0.52968036529680362</v>
      </c>
      <c r="BT67" s="23">
        <v>0.71639784946236562</v>
      </c>
      <c r="BU67" s="23">
        <v>0.64876033057851235</v>
      </c>
      <c r="BV67" s="23">
        <v>0.65822784810126578</v>
      </c>
      <c r="BW67" s="23">
        <v>0.19318181818181818</v>
      </c>
      <c r="CA67" s="23">
        <v>0.53731343283582089</v>
      </c>
      <c r="CB67" s="23">
        <v>0.74</v>
      </c>
      <c r="CC67" s="23">
        <v>0.67697594501718217</v>
      </c>
      <c r="CD67" s="23">
        <v>0.67330677290836649</v>
      </c>
      <c r="CE67" s="23">
        <v>0.64678899082568808</v>
      </c>
      <c r="CF67" s="23">
        <v>0.60185185185185186</v>
      </c>
      <c r="CK67" s="23">
        <v>1.984126984126984E-2</v>
      </c>
      <c r="CL67" s="23">
        <v>0.16981132075471697</v>
      </c>
      <c r="CM67" s="23">
        <v>0.28260869565217389</v>
      </c>
      <c r="CN67" s="23">
        <v>0.3783783783783784</v>
      </c>
      <c r="CO67" s="23">
        <v>0.36585365853658536</v>
      </c>
      <c r="CP67" s="23">
        <v>0.3125</v>
      </c>
    </row>
    <row r="68" spans="3:94" x14ac:dyDescent="0.25">
      <c r="C68" s="21">
        <v>42.492917847025495</v>
      </c>
      <c r="D68" s="21">
        <v>79.178885630498527</v>
      </c>
      <c r="E68" s="21">
        <v>63.711911357340718</v>
      </c>
      <c r="F68" s="21">
        <v>50</v>
      </c>
      <c r="G68" s="21">
        <v>15.873015873015873</v>
      </c>
      <c r="H68" s="21">
        <v>3.7037037037037037</v>
      </c>
      <c r="K68" s="23">
        <v>0</v>
      </c>
      <c r="L68" s="23">
        <v>7.4626865671641784</v>
      </c>
      <c r="M68" s="23">
        <v>13.333333333333334</v>
      </c>
      <c r="N68" s="23">
        <v>5</v>
      </c>
      <c r="O68" s="23">
        <v>0</v>
      </c>
      <c r="P68" s="23">
        <v>24.137931034482758</v>
      </c>
      <c r="Q68" s="23">
        <v>32.307692307692307</v>
      </c>
      <c r="R68" s="23">
        <v>21.875</v>
      </c>
      <c r="V68" s="23">
        <v>0.21199999999999999</v>
      </c>
      <c r="W68" s="23">
        <v>0.21049999999999999</v>
      </c>
      <c r="X68" s="23">
        <v>0.3755</v>
      </c>
      <c r="Y68" s="23">
        <v>0.129</v>
      </c>
      <c r="Z68" s="23">
        <v>2.75E-2</v>
      </c>
      <c r="AA68" s="23">
        <v>4.5499999999999999E-2</v>
      </c>
      <c r="AE68" s="23">
        <v>4.2492917847025496E-2</v>
      </c>
      <c r="AF68" s="23">
        <v>5.865102639296188E-2</v>
      </c>
      <c r="AG68" s="23">
        <v>7.2022160664819951E-2</v>
      </c>
      <c r="AH68" s="23">
        <v>0.05</v>
      </c>
      <c r="AI68" s="23">
        <v>3.1746031746031744E-2</v>
      </c>
      <c r="AJ68" s="23">
        <v>7.4074074074074077E-3</v>
      </c>
      <c r="AO68" s="23">
        <v>0</v>
      </c>
      <c r="AP68" s="23">
        <v>2.6402640264026403E-2</v>
      </c>
      <c r="AQ68" s="23">
        <v>4.7457627118644069E-2</v>
      </c>
      <c r="AR68" s="23">
        <v>6.2240663900414939E-2</v>
      </c>
      <c r="AS68" s="23">
        <v>8.1967213114754092E-2</v>
      </c>
      <c r="AT68" s="23">
        <v>0.11023622047244094</v>
      </c>
      <c r="AU68" s="23">
        <v>4.4444444444444446E-2</v>
      </c>
      <c r="AW68" s="100">
        <v>91</v>
      </c>
      <c r="AX68" s="100">
        <v>33</v>
      </c>
      <c r="BB68" s="23">
        <v>0.7142857142857143</v>
      </c>
      <c r="BC68" s="23">
        <v>0.8666666666666667</v>
      </c>
      <c r="BD68" s="23">
        <v>0.86363636363636365</v>
      </c>
      <c r="BE68" s="23">
        <v>0.8571428571428571</v>
      </c>
      <c r="BF68" s="23">
        <v>0.88888888888888884</v>
      </c>
      <c r="BG68" s="23">
        <v>0</v>
      </c>
      <c r="BH68" s="23">
        <v>0.82666666666666666</v>
      </c>
      <c r="BK68" s="23">
        <v>8.8888888888888892E-2</v>
      </c>
      <c r="BL68" s="23">
        <v>2.6666666666666668E-2</v>
      </c>
      <c r="BM68" s="23">
        <v>0.24</v>
      </c>
      <c r="BN68" s="23">
        <v>0.64444444444444449</v>
      </c>
      <c r="BR68" s="23">
        <v>0.58018867924528306</v>
      </c>
      <c r="BS68" s="23">
        <v>0.52494061757719712</v>
      </c>
      <c r="BT68" s="23">
        <v>0.72569906790945404</v>
      </c>
      <c r="BU68" s="23">
        <v>0.60852713178294571</v>
      </c>
      <c r="BV68" s="23">
        <v>0.74545454545454548</v>
      </c>
      <c r="BW68" s="23">
        <v>0.19780219780219779</v>
      </c>
      <c r="CA68" s="23">
        <v>0.53869047619047616</v>
      </c>
      <c r="CB68" s="23">
        <v>0.67326732673267331</v>
      </c>
      <c r="CC68" s="23">
        <v>0.71864406779661016</v>
      </c>
      <c r="CD68" s="23">
        <v>0.68049792531120334</v>
      </c>
      <c r="CE68" s="23">
        <v>0.64480874316939896</v>
      </c>
      <c r="CF68" s="23">
        <v>0.6692913385826772</v>
      </c>
      <c r="CK68" s="23">
        <v>4.2016806722689074E-3</v>
      </c>
      <c r="CL68" s="23">
        <v>0.12745098039215685</v>
      </c>
      <c r="CM68" s="23">
        <v>0.23170731707317074</v>
      </c>
      <c r="CN68" s="23">
        <v>0.375</v>
      </c>
      <c r="CO68" s="23">
        <v>0.30434782608695654</v>
      </c>
      <c r="CP68" s="23">
        <v>0.31034482758620691</v>
      </c>
    </row>
    <row r="69" spans="3:94" x14ac:dyDescent="0.25">
      <c r="C69" s="21">
        <v>33.057851239669418</v>
      </c>
      <c r="D69" s="21">
        <v>75.528700906344412</v>
      </c>
      <c r="E69" s="21">
        <v>65.573770491803273</v>
      </c>
      <c r="F69" s="21">
        <v>69.832402234636874</v>
      </c>
      <c r="G69" s="21">
        <v>28.391167192429023</v>
      </c>
      <c r="H69" s="21">
        <v>0</v>
      </c>
      <c r="K69" s="23">
        <v>0</v>
      </c>
      <c r="L69" s="23">
        <v>8.3333333333333321</v>
      </c>
      <c r="M69" s="23">
        <v>11.711711711711711</v>
      </c>
      <c r="N69" s="23">
        <v>4.1666666666666661</v>
      </c>
      <c r="O69" s="23">
        <v>0</v>
      </c>
      <c r="P69" s="23">
        <v>11.046511627906977</v>
      </c>
      <c r="Q69" s="23">
        <v>17.307692307692307</v>
      </c>
      <c r="R69" s="23">
        <v>16</v>
      </c>
      <c r="V69" s="23">
        <v>0.192</v>
      </c>
      <c r="W69" s="23">
        <v>0.217</v>
      </c>
      <c r="X69" s="23">
        <v>0.38900000000000001</v>
      </c>
      <c r="Y69" s="23">
        <v>0.1255</v>
      </c>
      <c r="Z69" s="23">
        <v>3.15E-2</v>
      </c>
      <c r="AA69" s="23">
        <v>4.4999999999999998E-2</v>
      </c>
      <c r="AE69" s="23">
        <v>2.4793388429752067E-2</v>
      </c>
      <c r="AF69" s="23">
        <v>7.8549848942598186E-2</v>
      </c>
      <c r="AG69" s="23">
        <v>6.5573770491803282E-2</v>
      </c>
      <c r="AH69" s="23">
        <v>6.7039106145251395E-2</v>
      </c>
      <c r="AI69" s="23">
        <v>1.5772870662460567E-2</v>
      </c>
      <c r="AJ69" s="23">
        <v>7.5471698113207548E-3</v>
      </c>
      <c r="AO69" s="23">
        <v>1.1396011396011397E-2</v>
      </c>
      <c r="AP69" s="23">
        <v>2.0547945205479451E-2</v>
      </c>
      <c r="AQ69" s="23">
        <v>4.7138047138047139E-2</v>
      </c>
      <c r="AR69" s="23">
        <v>7.4509803921568626E-2</v>
      </c>
      <c r="AS69" s="23">
        <v>9.417040358744394E-2</v>
      </c>
      <c r="AT69" s="23">
        <v>6.4814814814814811E-2</v>
      </c>
      <c r="AU69" s="23">
        <v>4.652686762778506E-2</v>
      </c>
      <c r="AW69" s="100">
        <v>90</v>
      </c>
      <c r="AX69" s="100">
        <v>35.5</v>
      </c>
      <c r="BB69" s="23">
        <v>0.66666666666666663</v>
      </c>
      <c r="BC69" s="23">
        <v>0.86363636363636365</v>
      </c>
      <c r="BD69" s="23">
        <v>0.76470588235294112</v>
      </c>
      <c r="BE69" s="23">
        <v>0.68421052631578949</v>
      </c>
      <c r="BF69" s="23">
        <v>0.8</v>
      </c>
      <c r="BG69" s="23">
        <v>0.5</v>
      </c>
      <c r="BH69" s="23">
        <v>0.76056338028169013</v>
      </c>
      <c r="BK69" s="23">
        <v>0.11267605633802817</v>
      </c>
      <c r="BL69" s="23">
        <v>0.14084507042253522</v>
      </c>
      <c r="BM69" s="23">
        <v>0.25352112676056338</v>
      </c>
      <c r="BN69" s="23">
        <v>0.49295774647887325</v>
      </c>
      <c r="BR69" s="23">
        <v>0.59375</v>
      </c>
      <c r="BS69" s="23">
        <v>0.49539170506912444</v>
      </c>
      <c r="BT69" s="23">
        <v>0.72236503856041134</v>
      </c>
      <c r="BU69" s="23">
        <v>0.59760956175298807</v>
      </c>
      <c r="BV69" s="23">
        <v>0.61904761904761907</v>
      </c>
      <c r="BW69" s="23">
        <v>0.12222222222222222</v>
      </c>
      <c r="CA69" s="23">
        <v>0.5242165242165242</v>
      </c>
      <c r="CB69" s="23">
        <v>0.68150684931506844</v>
      </c>
      <c r="CC69" s="23">
        <v>0.6767676767676768</v>
      </c>
      <c r="CD69" s="23">
        <v>0.70980392156862748</v>
      </c>
      <c r="CE69" s="23">
        <v>0.60986547085201792</v>
      </c>
      <c r="CF69" s="23">
        <v>0.60185185185185186</v>
      </c>
      <c r="CK69" s="23">
        <v>2.2900763358778626E-2</v>
      </c>
      <c r="CL69" s="23">
        <v>0.12222222222222222</v>
      </c>
      <c r="CM69" s="23">
        <v>0.30666666666666664</v>
      </c>
      <c r="CN69" s="23">
        <v>0.38235294117647056</v>
      </c>
      <c r="CO69" s="23">
        <v>0.37234042553191488</v>
      </c>
      <c r="CP69" s="23">
        <v>0.23809523809523808</v>
      </c>
    </row>
    <row r="70" spans="3:94" x14ac:dyDescent="0.25">
      <c r="C70" s="21">
        <v>44.077134986225893</v>
      </c>
      <c r="D70" s="21">
        <v>66.265060240963862</v>
      </c>
      <c r="E70" s="21">
        <v>49.86149584487535</v>
      </c>
      <c r="F70" s="21">
        <v>69.892473118279568</v>
      </c>
      <c r="G70" s="21">
        <v>23.411371237458194</v>
      </c>
      <c r="H70" s="21">
        <v>0</v>
      </c>
      <c r="K70" s="23">
        <v>0</v>
      </c>
      <c r="L70" s="23">
        <v>3.6144578313253009</v>
      </c>
      <c r="M70" s="23">
        <v>10.862619808306709</v>
      </c>
      <c r="N70" s="23">
        <v>7.4074074074074066</v>
      </c>
      <c r="O70" s="23">
        <v>0</v>
      </c>
      <c r="P70" s="23">
        <v>20</v>
      </c>
      <c r="Q70" s="23">
        <v>15.254237288135593</v>
      </c>
      <c r="R70" s="23">
        <v>17.857142857142858</v>
      </c>
      <c r="V70" s="23">
        <v>0.19800000000000001</v>
      </c>
      <c r="W70" s="23">
        <v>0.217</v>
      </c>
      <c r="X70" s="23">
        <v>0.3695</v>
      </c>
      <c r="Y70" s="23">
        <v>0.14299999999999999</v>
      </c>
      <c r="Z70" s="23">
        <v>3.4000000000000002E-2</v>
      </c>
      <c r="AA70" s="23">
        <v>3.85E-2</v>
      </c>
      <c r="AE70" s="23">
        <v>3.5812672176308541E-2</v>
      </c>
      <c r="AF70" s="23">
        <v>6.0240963855421686E-2</v>
      </c>
      <c r="AG70" s="23">
        <v>4.4321329639889197E-2</v>
      </c>
      <c r="AH70" s="23">
        <v>4.3010752688172046E-2</v>
      </c>
      <c r="AI70" s="23">
        <v>4.0133779264214048E-2</v>
      </c>
      <c r="AJ70" s="23">
        <v>0</v>
      </c>
      <c r="AO70" s="23">
        <v>1.4450867052023121E-2</v>
      </c>
      <c r="AP70" s="23">
        <v>3.6544850498338874E-2</v>
      </c>
      <c r="AQ70" s="23">
        <v>4.8231511254019289E-2</v>
      </c>
      <c r="AR70" s="23">
        <v>6.5134099616858232E-2</v>
      </c>
      <c r="AS70" s="23">
        <v>9.8958333333333329E-2</v>
      </c>
      <c r="AT70" s="23">
        <v>0.13793103448275862</v>
      </c>
      <c r="AU70" s="23">
        <v>5.4354944335297972E-2</v>
      </c>
      <c r="AW70" s="100">
        <v>77</v>
      </c>
      <c r="AX70" s="100">
        <v>41.5</v>
      </c>
      <c r="BB70" s="23">
        <v>0.8</v>
      </c>
      <c r="BC70" s="23">
        <v>0.76923076923076927</v>
      </c>
      <c r="BD70" s="23">
        <v>0.69230769230769229</v>
      </c>
      <c r="BE70" s="23">
        <v>0.8571428571428571</v>
      </c>
      <c r="BF70" s="23">
        <v>0.7</v>
      </c>
      <c r="BH70" s="23">
        <v>0.76923076923076927</v>
      </c>
      <c r="BK70" s="23">
        <v>5.0314465408805034E-2</v>
      </c>
      <c r="BL70" s="23">
        <v>6.9182389937106917E-2</v>
      </c>
      <c r="BM70" s="23">
        <v>0.28301886792452829</v>
      </c>
      <c r="BN70" s="23">
        <v>0.59748427672955973</v>
      </c>
      <c r="BR70" s="23">
        <v>0.58838383838383834</v>
      </c>
      <c r="BS70" s="23">
        <v>0.55990783410138245</v>
      </c>
      <c r="BT70" s="23">
        <v>0.69959404600811903</v>
      </c>
      <c r="BU70" s="23">
        <v>0.63636363636363635</v>
      </c>
      <c r="BV70" s="23">
        <v>0.61764705882352944</v>
      </c>
      <c r="BW70" s="23">
        <v>0.27272727272727271</v>
      </c>
      <c r="CA70" s="23">
        <v>0.52890173410404628</v>
      </c>
      <c r="CB70" s="23">
        <v>0.68438538205980071</v>
      </c>
      <c r="CC70" s="23">
        <v>0.71061093247588425</v>
      </c>
      <c r="CD70" s="23">
        <v>0.66666666666666663</v>
      </c>
      <c r="CE70" s="23">
        <v>0.640625</v>
      </c>
      <c r="CF70" s="23">
        <v>0.66379310344827591</v>
      </c>
      <c r="CK70" s="23">
        <v>3.5999999999999997E-2</v>
      </c>
      <c r="CL70" s="23">
        <v>0.15454545454545454</v>
      </c>
      <c r="CM70" s="23">
        <v>0.25252525252525254</v>
      </c>
      <c r="CN70" s="23">
        <v>0.38823529411764707</v>
      </c>
      <c r="CO70" s="23">
        <v>0.453125</v>
      </c>
      <c r="CP70" s="23">
        <v>0.35849056603773582</v>
      </c>
    </row>
    <row r="71" spans="3:94" x14ac:dyDescent="0.25">
      <c r="C71" s="21">
        <v>8.4507042253521121</v>
      </c>
      <c r="D71" s="21">
        <v>57.926829268292686</v>
      </c>
      <c r="E71" s="21">
        <v>51.075268817204304</v>
      </c>
      <c r="F71" s="21">
        <v>58.171745152354568</v>
      </c>
      <c r="G71" s="21">
        <v>29.801324503311257</v>
      </c>
      <c r="H71" s="21">
        <v>10.638297872340425</v>
      </c>
      <c r="K71" s="23">
        <v>0</v>
      </c>
      <c r="L71" s="23">
        <v>3.125</v>
      </c>
      <c r="M71" s="23">
        <v>8.4592145015105746</v>
      </c>
      <c r="N71" s="23">
        <v>13.043478260869565</v>
      </c>
      <c r="O71" s="23">
        <v>0</v>
      </c>
      <c r="P71" s="23">
        <v>22.285714285714285</v>
      </c>
      <c r="Q71" s="23">
        <v>17.741935483870968</v>
      </c>
      <c r="R71" s="23">
        <v>15.151515151515152</v>
      </c>
      <c r="V71" s="23">
        <v>0.189</v>
      </c>
      <c r="W71" s="23">
        <v>0.2235</v>
      </c>
      <c r="X71" s="23">
        <v>0.40200000000000002</v>
      </c>
      <c r="Y71" s="23">
        <v>0.1135</v>
      </c>
      <c r="Z71" s="23">
        <v>3.15E-2</v>
      </c>
      <c r="AA71" s="23">
        <v>4.0500000000000001E-2</v>
      </c>
      <c r="AE71" s="23">
        <v>2.8169014084507043E-2</v>
      </c>
      <c r="AF71" s="23">
        <v>5.1829268292682924E-2</v>
      </c>
      <c r="AG71" s="23">
        <v>7.7956989247311828E-2</v>
      </c>
      <c r="AH71" s="23">
        <v>3.6011080332409975E-2</v>
      </c>
      <c r="AI71" s="23">
        <v>3.6423841059602648E-2</v>
      </c>
      <c r="AJ71" s="23">
        <v>3.5460992907801418E-3</v>
      </c>
      <c r="AO71" s="23">
        <v>2.9325513196480938E-3</v>
      </c>
      <c r="AP71" s="23">
        <v>3.3333333333333333E-2</v>
      </c>
      <c r="AQ71" s="23">
        <v>5.9016393442622953E-2</v>
      </c>
      <c r="AR71" s="23">
        <v>5.3846153846153849E-2</v>
      </c>
      <c r="AS71" s="23">
        <v>5.9701492537313432E-2</v>
      </c>
      <c r="AT71" s="23">
        <v>6.7164179104477612E-2</v>
      </c>
      <c r="AU71" s="23">
        <v>4.1531473069435429E-2</v>
      </c>
      <c r="AW71" s="100">
        <v>81</v>
      </c>
      <c r="AX71" s="100">
        <v>32</v>
      </c>
      <c r="BB71" s="23">
        <v>0.625</v>
      </c>
      <c r="BC71" s="23">
        <v>0.76923076923076927</v>
      </c>
      <c r="BD71" s="23">
        <v>0.65</v>
      </c>
      <c r="BE71" s="23">
        <v>0.6428571428571429</v>
      </c>
      <c r="BF71" s="23">
        <v>0.8</v>
      </c>
      <c r="BG71" s="23">
        <v>1</v>
      </c>
      <c r="BH71" s="23">
        <v>0.69696969696969702</v>
      </c>
      <c r="BK71" s="23">
        <v>0.17886178861788618</v>
      </c>
      <c r="BL71" s="23">
        <v>3.2520325203252036E-2</v>
      </c>
      <c r="BM71" s="23">
        <v>0.34959349593495936</v>
      </c>
      <c r="BN71" s="23">
        <v>0.43902439024390244</v>
      </c>
      <c r="BR71" s="23">
        <v>0.55026455026455023</v>
      </c>
      <c r="BS71" s="23">
        <v>0.51006711409395977</v>
      </c>
      <c r="BT71" s="23">
        <v>0.70149253731343286</v>
      </c>
      <c r="BU71" s="23">
        <v>0.65198237885462551</v>
      </c>
      <c r="BV71" s="23">
        <v>0.58730158730158732</v>
      </c>
      <c r="BW71" s="23">
        <v>0.1728395061728395</v>
      </c>
      <c r="CA71" s="23">
        <v>0.52492668621700878</v>
      </c>
      <c r="CB71" s="23">
        <v>0.69333333333333336</v>
      </c>
      <c r="CC71" s="23">
        <v>0.70491803278688525</v>
      </c>
      <c r="CD71" s="23">
        <v>0.63076923076923075</v>
      </c>
      <c r="CE71" s="23">
        <v>0.62686567164179108</v>
      </c>
      <c r="CF71" s="23">
        <v>0.63432835820895528</v>
      </c>
      <c r="CK71" s="23">
        <v>1.5209125475285171E-2</v>
      </c>
      <c r="CL71" s="23">
        <v>0.14432989690721648</v>
      </c>
      <c r="CM71" s="23">
        <v>0.35294117647058826</v>
      </c>
      <c r="CN71" s="23">
        <v>0.39436619718309857</v>
      </c>
      <c r="CO71" s="23">
        <v>0.26582278481012656</v>
      </c>
      <c r="CP71" s="23">
        <v>0.21739130434782608</v>
      </c>
    </row>
    <row r="72" spans="3:94" x14ac:dyDescent="0.25">
      <c r="C72" s="21">
        <v>19.886363636363637</v>
      </c>
      <c r="D72" s="21">
        <v>51.204819277108435</v>
      </c>
      <c r="E72" s="21">
        <v>61.497326203208559</v>
      </c>
      <c r="F72" s="21">
        <v>63.711911357340718</v>
      </c>
      <c r="G72" s="21">
        <v>19.933554817275748</v>
      </c>
      <c r="H72" s="21">
        <v>3.5714285714285716</v>
      </c>
      <c r="K72" s="23">
        <v>0</v>
      </c>
      <c r="L72" s="23">
        <v>7.4626865671641784</v>
      </c>
      <c r="M72" s="23">
        <v>11.854103343465045</v>
      </c>
      <c r="N72" s="23">
        <v>3.8461538461538463</v>
      </c>
      <c r="O72" s="23">
        <v>1.1976047904191618</v>
      </c>
      <c r="P72" s="23">
        <v>20.547945205479451</v>
      </c>
      <c r="Q72" s="23">
        <v>23.287671232876711</v>
      </c>
      <c r="R72" s="23">
        <v>15.384615384615385</v>
      </c>
      <c r="V72" s="23">
        <v>0.21049999999999999</v>
      </c>
      <c r="W72" s="23">
        <v>0.215</v>
      </c>
      <c r="X72" s="23">
        <v>0.35649999999999998</v>
      </c>
      <c r="Y72" s="23">
        <v>0.13600000000000001</v>
      </c>
      <c r="Z72" s="23">
        <v>3.3000000000000002E-2</v>
      </c>
      <c r="AA72" s="23">
        <v>4.9000000000000002E-2</v>
      </c>
      <c r="AE72" s="23">
        <v>4.5454545454545456E-2</v>
      </c>
      <c r="AF72" s="23">
        <v>7.5301204819277115E-2</v>
      </c>
      <c r="AG72" s="23">
        <v>6.684491978609626E-2</v>
      </c>
      <c r="AH72" s="23">
        <v>8.0332409972299165E-2</v>
      </c>
      <c r="AI72" s="23">
        <v>6.6445182724252493E-3</v>
      </c>
      <c r="AJ72" s="23">
        <v>3.5714285714285713E-3</v>
      </c>
      <c r="AO72" s="23">
        <v>6.0606060606060606E-3</v>
      </c>
      <c r="AP72" s="23">
        <v>3.0508474576271188E-2</v>
      </c>
      <c r="AQ72" s="23">
        <v>8.8235294117647065E-2</v>
      </c>
      <c r="AR72" s="23">
        <v>6.6945606694560664E-2</v>
      </c>
      <c r="AS72" s="23">
        <v>8.5000000000000006E-2</v>
      </c>
      <c r="AT72" s="23">
        <v>8.1081081081081086E-2</v>
      </c>
      <c r="AU72" s="23">
        <v>5.401755570560432E-2</v>
      </c>
      <c r="AW72" s="100">
        <v>98</v>
      </c>
      <c r="AX72" s="100">
        <v>40</v>
      </c>
      <c r="BB72" s="23">
        <v>0.8571428571428571</v>
      </c>
      <c r="BC72" s="23">
        <v>0.88888888888888884</v>
      </c>
      <c r="BD72" s="23">
        <v>0.73913043478260865</v>
      </c>
      <c r="BE72" s="23">
        <v>0.47619047619047616</v>
      </c>
      <c r="BF72" s="23">
        <v>0.5</v>
      </c>
      <c r="BG72" s="23">
        <v>1</v>
      </c>
      <c r="BH72" s="23">
        <v>0.72499999999999998</v>
      </c>
      <c r="BK72" s="23">
        <v>7.8947368421052627E-2</v>
      </c>
      <c r="BL72" s="23">
        <v>4.736842105263158E-2</v>
      </c>
      <c r="BM72" s="23">
        <v>0.30526315789473685</v>
      </c>
      <c r="BN72" s="23">
        <v>0.56842105263157894</v>
      </c>
      <c r="BR72" s="23">
        <v>0.61520190023752974</v>
      </c>
      <c r="BS72" s="23">
        <v>0.48372093023255813</v>
      </c>
      <c r="BT72" s="23">
        <v>0.72089761570827493</v>
      </c>
      <c r="BU72" s="23">
        <v>0.65073529411764708</v>
      </c>
      <c r="BV72" s="23">
        <v>0.68181818181818177</v>
      </c>
      <c r="BW72" s="23">
        <v>0.20408163265306123</v>
      </c>
      <c r="CA72" s="23">
        <v>0.5060606060606061</v>
      </c>
      <c r="CB72" s="23">
        <v>0.69491525423728817</v>
      </c>
      <c r="CC72" s="23">
        <v>0.73202614379084963</v>
      </c>
      <c r="CD72" s="23">
        <v>0.67782426778242677</v>
      </c>
      <c r="CE72" s="23">
        <v>0.58499999999999996</v>
      </c>
      <c r="CF72" s="23">
        <v>0.6216216216216216</v>
      </c>
      <c r="CK72" s="23">
        <v>3.0434782608695653E-2</v>
      </c>
      <c r="CL72" s="23">
        <v>0.10891089108910891</v>
      </c>
      <c r="CM72" s="23">
        <v>0.32692307692307693</v>
      </c>
      <c r="CN72" s="23">
        <v>0.3258426966292135</v>
      </c>
      <c r="CO72" s="23">
        <v>0.32467532467532467</v>
      </c>
      <c r="CP72" s="23">
        <v>0.29268292682926828</v>
      </c>
    </row>
    <row r="73" spans="3:94" x14ac:dyDescent="0.25">
      <c r="C73" s="21">
        <v>36.827195467422094</v>
      </c>
      <c r="D73" s="21">
        <v>51.873198847262245</v>
      </c>
      <c r="E73" s="21">
        <v>74.380165289256198</v>
      </c>
      <c r="F73" s="21">
        <v>84.985835694050991</v>
      </c>
      <c r="G73" s="21">
        <v>25.477707006369428</v>
      </c>
      <c r="H73" s="21">
        <v>3.7037037037037037</v>
      </c>
      <c r="K73" s="23">
        <v>0</v>
      </c>
      <c r="L73" s="23">
        <v>3.79746835443038</v>
      </c>
      <c r="M73" s="23">
        <v>10.062893081761008</v>
      </c>
      <c r="N73" s="23">
        <v>16.129032258064516</v>
      </c>
      <c r="O73" s="23">
        <v>0</v>
      </c>
      <c r="P73" s="23">
        <v>16.33986928104575</v>
      </c>
      <c r="Q73" s="23">
        <v>16.071428571428573</v>
      </c>
      <c r="R73" s="23">
        <v>17.647058823529413</v>
      </c>
      <c r="V73" s="23">
        <v>0.17849999999999999</v>
      </c>
      <c r="W73" s="23">
        <v>0.22850000000000001</v>
      </c>
      <c r="X73" s="23">
        <v>0.38200000000000001</v>
      </c>
      <c r="Y73" s="23">
        <v>0.13750000000000001</v>
      </c>
      <c r="Z73" s="23">
        <v>3.2500000000000001E-2</v>
      </c>
      <c r="AA73" s="23">
        <v>4.1000000000000002E-2</v>
      </c>
      <c r="AE73" s="23">
        <v>2.2662889518413599E-2</v>
      </c>
      <c r="AF73" s="23">
        <v>5.4755043227665709E-2</v>
      </c>
      <c r="AG73" s="23">
        <v>6.6115702479338845E-2</v>
      </c>
      <c r="AH73" s="23">
        <v>6.2322946175637391E-2</v>
      </c>
      <c r="AI73" s="23">
        <v>2.5477707006369428E-2</v>
      </c>
      <c r="AJ73" s="23">
        <v>3.7037037037037038E-3</v>
      </c>
      <c r="AO73" s="23">
        <v>2.9239766081871343E-3</v>
      </c>
      <c r="AP73" s="23">
        <v>3.1347962382445138E-2</v>
      </c>
      <c r="AQ73" s="23">
        <v>5.5374592833876218E-2</v>
      </c>
      <c r="AR73" s="23">
        <v>4.296875E-2</v>
      </c>
      <c r="AS73" s="23">
        <v>6.7307692307692304E-2</v>
      </c>
      <c r="AT73" s="23">
        <v>6.9767441860465115E-2</v>
      </c>
      <c r="AU73" s="23">
        <v>3.9718129404228059E-2</v>
      </c>
      <c r="AW73" s="100">
        <v>82</v>
      </c>
      <c r="AX73" s="100">
        <v>31</v>
      </c>
      <c r="BB73" s="23">
        <v>0.6</v>
      </c>
      <c r="BC73" s="23">
        <v>0.84210526315789469</v>
      </c>
      <c r="BD73" s="23">
        <v>0.70588235294117652</v>
      </c>
      <c r="BE73" s="23">
        <v>0.73333333333333328</v>
      </c>
      <c r="BF73" s="23">
        <v>0.875</v>
      </c>
      <c r="BG73" s="23">
        <v>1</v>
      </c>
      <c r="BH73" s="23">
        <v>0.76923076923076927</v>
      </c>
      <c r="BK73" s="23">
        <v>0.17088607594936708</v>
      </c>
      <c r="BL73" s="23">
        <v>4.4303797468354431E-2</v>
      </c>
      <c r="BM73" s="23">
        <v>0.24683544303797469</v>
      </c>
      <c r="BN73" s="23">
        <v>0.53797468354430378</v>
      </c>
      <c r="BR73" s="23">
        <v>0.56302521008403361</v>
      </c>
      <c r="BS73" s="23">
        <v>0.54704595185995619</v>
      </c>
      <c r="BT73" s="23">
        <v>0.73298429319371727</v>
      </c>
      <c r="BU73" s="23">
        <v>0.61090909090909096</v>
      </c>
      <c r="BV73" s="23">
        <v>0.50769230769230766</v>
      </c>
      <c r="BW73" s="23">
        <v>0.10975609756097561</v>
      </c>
      <c r="CA73" s="23">
        <v>0.57309941520467833</v>
      </c>
      <c r="CB73" s="23">
        <v>0.71159874608150475</v>
      </c>
      <c r="CC73" s="23">
        <v>0.69381107491856675</v>
      </c>
      <c r="CD73" s="23">
        <v>0.64453125</v>
      </c>
      <c r="CE73" s="23">
        <v>0.58173076923076927</v>
      </c>
      <c r="CF73" s="23">
        <v>0.68992248062015504</v>
      </c>
      <c r="CK73" s="23">
        <v>8.23045267489712E-3</v>
      </c>
      <c r="CL73" s="23">
        <v>0.1388888888888889</v>
      </c>
      <c r="CM73" s="23">
        <v>0.27777777777777779</v>
      </c>
      <c r="CN73" s="23">
        <v>0.38461538461538464</v>
      </c>
      <c r="CO73" s="23">
        <v>0.31521739130434784</v>
      </c>
      <c r="CP73" s="23">
        <v>0.2711864406779661</v>
      </c>
    </row>
    <row r="74" spans="3:94" x14ac:dyDescent="0.25">
      <c r="C74" s="21">
        <v>39.886039886039889</v>
      </c>
      <c r="D74" s="21">
        <v>76.246334310850443</v>
      </c>
      <c r="E74" s="21">
        <v>80.110497237569064</v>
      </c>
      <c r="F74" s="21">
        <v>55.555555555555557</v>
      </c>
      <c r="G74" s="21">
        <v>28.571428571428573</v>
      </c>
      <c r="H74" s="21">
        <v>14.760147601476016</v>
      </c>
      <c r="K74" s="23">
        <v>0</v>
      </c>
      <c r="L74" s="23">
        <v>4.4776119402985071</v>
      </c>
      <c r="M74" s="23">
        <v>7.4918566775244306</v>
      </c>
      <c r="N74" s="23">
        <v>16.666666666666664</v>
      </c>
      <c r="O74" s="23">
        <v>0</v>
      </c>
      <c r="P74" s="23">
        <v>20.625</v>
      </c>
      <c r="Q74" s="23">
        <v>18.333333333333332</v>
      </c>
      <c r="R74" s="23">
        <v>16</v>
      </c>
      <c r="V74" s="23">
        <v>0.20499999999999999</v>
      </c>
      <c r="W74" s="23">
        <v>0.2205</v>
      </c>
      <c r="X74" s="23">
        <v>0.36849999999999999</v>
      </c>
      <c r="Y74" s="23">
        <v>0.13700000000000001</v>
      </c>
      <c r="Z74" s="23">
        <v>3.4000000000000002E-2</v>
      </c>
      <c r="AA74" s="23">
        <v>3.5000000000000003E-2</v>
      </c>
      <c r="AE74" s="23">
        <v>2.8490028490028491E-2</v>
      </c>
      <c r="AF74" s="23">
        <v>5.5718475073313782E-2</v>
      </c>
      <c r="AG74" s="23">
        <v>6.0773480662983423E-2</v>
      </c>
      <c r="AH74" s="23">
        <v>4.1666666666666664E-2</v>
      </c>
      <c r="AI74" s="23">
        <v>1.2698412698412698E-2</v>
      </c>
      <c r="AJ74" s="23">
        <v>0</v>
      </c>
      <c r="AO74" s="23">
        <v>1.1869436201780416E-2</v>
      </c>
      <c r="AP74" s="23">
        <v>5.4313099041533544E-2</v>
      </c>
      <c r="AQ74" s="23">
        <v>5.944055944055944E-2</v>
      </c>
      <c r="AR74" s="23">
        <v>9.0225563909774431E-2</v>
      </c>
      <c r="AS74" s="23">
        <v>4.716981132075472E-2</v>
      </c>
      <c r="AT74" s="23">
        <v>7.5471698113207544E-2</v>
      </c>
      <c r="AU74" s="23">
        <v>5.2631578947368418E-2</v>
      </c>
      <c r="AW74" s="100">
        <v>70</v>
      </c>
      <c r="AX74" s="100">
        <v>40</v>
      </c>
      <c r="BB74" s="23">
        <v>0.625</v>
      </c>
      <c r="BC74" s="23">
        <v>0.9285714285714286</v>
      </c>
      <c r="BD74" s="23">
        <v>0.76923076923076927</v>
      </c>
      <c r="BE74" s="23">
        <v>0.83333333333333337</v>
      </c>
      <c r="BF74" s="23">
        <v>1</v>
      </c>
      <c r="BH74" s="23">
        <v>0.82352941176470584</v>
      </c>
      <c r="BK74" s="23">
        <v>0.10743801652892562</v>
      </c>
      <c r="BL74" s="23">
        <v>9.0909090909090912E-2</v>
      </c>
      <c r="BM74" s="23">
        <v>0.2231404958677686</v>
      </c>
      <c r="BN74" s="23">
        <v>0.57851239669421484</v>
      </c>
      <c r="BR74" s="23">
        <v>0.61463414634146341</v>
      </c>
      <c r="BS74" s="23">
        <v>0.51020408163265307</v>
      </c>
      <c r="BT74" s="23">
        <v>0.73405698778833106</v>
      </c>
      <c r="BU74" s="23">
        <v>0.60948905109489049</v>
      </c>
      <c r="BV74" s="23">
        <v>0.63235294117647056</v>
      </c>
      <c r="BW74" s="23">
        <v>0.15714285714285714</v>
      </c>
      <c r="CA74" s="23">
        <v>0.56973293768545996</v>
      </c>
      <c r="CB74" s="23">
        <v>0.70926517571884984</v>
      </c>
      <c r="CC74" s="23">
        <v>0.68881118881118886</v>
      </c>
      <c r="CD74" s="23">
        <v>0.66165413533834583</v>
      </c>
      <c r="CE74" s="23">
        <v>0.55660377358490565</v>
      </c>
      <c r="CF74" s="23">
        <v>0.66981132075471694</v>
      </c>
      <c r="CK74" s="23">
        <v>3.6290322580645164E-2</v>
      </c>
      <c r="CL74" s="23">
        <v>0.17647058823529413</v>
      </c>
      <c r="CM74" s="23">
        <v>0.30263157894736842</v>
      </c>
      <c r="CN74" s="23">
        <v>0.42708333333333331</v>
      </c>
      <c r="CO74" s="23">
        <v>0.35526315789473684</v>
      </c>
      <c r="CP74" s="23">
        <v>0.26829268292682928</v>
      </c>
    </row>
    <row r="75" spans="3:94" x14ac:dyDescent="0.25">
      <c r="C75" s="21">
        <v>24.324324324324323</v>
      </c>
      <c r="D75" s="21">
        <v>60.24096385542169</v>
      </c>
      <c r="E75" s="21">
        <v>64.425770308123248</v>
      </c>
      <c r="F75" s="21">
        <v>38.147138964577657</v>
      </c>
      <c r="G75" s="21">
        <v>19.292604501607716</v>
      </c>
      <c r="H75" s="21">
        <v>3.8022813688212929</v>
      </c>
      <c r="K75" s="23">
        <v>0</v>
      </c>
      <c r="L75" s="23">
        <v>7.1428571428571423</v>
      </c>
      <c r="M75" s="23">
        <v>9.4224924012158056</v>
      </c>
      <c r="N75" s="23">
        <v>5.5555555555555554</v>
      </c>
      <c r="O75" s="23">
        <v>0</v>
      </c>
      <c r="P75" s="23">
        <v>28.742514970059879</v>
      </c>
      <c r="Q75" s="23">
        <v>21.875</v>
      </c>
      <c r="R75" s="23">
        <v>24.137931034482758</v>
      </c>
      <c r="V75" s="23">
        <v>0.1885</v>
      </c>
      <c r="W75" s="23">
        <v>0.20949999999999999</v>
      </c>
      <c r="X75" s="23">
        <v>0.38750000000000001</v>
      </c>
      <c r="Y75" s="23">
        <v>0.13150000000000001</v>
      </c>
      <c r="Z75" s="23">
        <v>3.3500000000000002E-2</v>
      </c>
      <c r="AA75" s="23">
        <v>4.9500000000000002E-2</v>
      </c>
      <c r="AE75" s="23">
        <v>4.5945945945945948E-2</v>
      </c>
      <c r="AF75" s="23">
        <v>7.8313253012048195E-2</v>
      </c>
      <c r="AG75" s="23">
        <v>6.7226890756302518E-2</v>
      </c>
      <c r="AH75" s="23">
        <v>7.3569482288828342E-2</v>
      </c>
      <c r="AI75" s="23">
        <v>1.607717041800643E-2</v>
      </c>
      <c r="AJ75" s="23">
        <v>0</v>
      </c>
      <c r="AO75" s="23">
        <v>1.1363636363636364E-2</v>
      </c>
      <c r="AP75" s="23">
        <v>3.7037037037037035E-2</v>
      </c>
      <c r="AQ75" s="23">
        <v>7.0707070707070704E-2</v>
      </c>
      <c r="AR75" s="23">
        <v>6.0483870967741937E-2</v>
      </c>
      <c r="AS75" s="23">
        <v>0.10526315789473684</v>
      </c>
      <c r="AT75" s="23">
        <v>0.11570247933884298</v>
      </c>
      <c r="AU75" s="23">
        <v>5.7086614173228349E-2</v>
      </c>
      <c r="AW75" s="100">
        <v>99</v>
      </c>
      <c r="AX75" s="100">
        <v>43.5</v>
      </c>
      <c r="BB75" s="23">
        <v>0.9285714285714286</v>
      </c>
      <c r="BC75" s="23">
        <v>0.66666666666666663</v>
      </c>
      <c r="BD75" s="23">
        <v>0.5</v>
      </c>
      <c r="BE75" s="23">
        <v>0.75</v>
      </c>
      <c r="BF75" s="23">
        <v>0.5</v>
      </c>
      <c r="BH75" s="23">
        <v>0.68421052631578949</v>
      </c>
      <c r="BK75" s="23">
        <v>6.2893081761006289E-2</v>
      </c>
      <c r="BL75" s="23">
        <v>2.5157232704402517E-2</v>
      </c>
      <c r="BM75" s="23">
        <v>0.28301886792452829</v>
      </c>
      <c r="BN75" s="23">
        <v>0.62893081761006286</v>
      </c>
      <c r="BR75" s="23">
        <v>0.55968169761273212</v>
      </c>
      <c r="BS75" s="23">
        <v>0.44391408114558473</v>
      </c>
      <c r="BT75" s="23">
        <v>0.69806451612903231</v>
      </c>
      <c r="BU75" s="23">
        <v>0.63498098859315588</v>
      </c>
      <c r="BV75" s="23">
        <v>0.68656716417910446</v>
      </c>
      <c r="BW75" s="23">
        <v>0.12121212121212122</v>
      </c>
      <c r="CA75" s="23">
        <v>0.53125</v>
      </c>
      <c r="CB75" s="23">
        <v>0.58922558922558921</v>
      </c>
      <c r="CC75" s="23">
        <v>0.65993265993265993</v>
      </c>
      <c r="CD75" s="23">
        <v>0.65322580645161288</v>
      </c>
      <c r="CE75" s="23">
        <v>0.69856459330143539</v>
      </c>
      <c r="CF75" s="23">
        <v>0.61157024793388426</v>
      </c>
      <c r="CK75" s="23">
        <v>2.7450980392156862E-2</v>
      </c>
      <c r="CL75" s="23">
        <v>0.19101123595505617</v>
      </c>
      <c r="CM75" s="23">
        <v>0.31914893617021278</v>
      </c>
      <c r="CN75" s="23">
        <v>0.32467532467532467</v>
      </c>
      <c r="CO75" s="23">
        <v>0.40789473684210525</v>
      </c>
      <c r="CP75" s="23">
        <v>0.42</v>
      </c>
    </row>
    <row r="76" spans="3:94" x14ac:dyDescent="0.25">
      <c r="C76" s="21">
        <v>41.551246537396125</v>
      </c>
      <c r="D76" s="21">
        <v>36.253776435045317</v>
      </c>
      <c r="E76" s="21">
        <v>55.555555555555557</v>
      </c>
      <c r="F76" s="21">
        <v>61.827956989247312</v>
      </c>
      <c r="G76" s="21">
        <v>30</v>
      </c>
      <c r="H76" s="21">
        <v>7.2463768115942031</v>
      </c>
      <c r="K76" s="23">
        <v>0</v>
      </c>
      <c r="L76" s="23">
        <v>7.1428571428571423</v>
      </c>
      <c r="M76" s="23">
        <v>10.158730158730158</v>
      </c>
      <c r="N76" s="23">
        <v>11.111111111111111</v>
      </c>
      <c r="O76" s="23">
        <v>0</v>
      </c>
      <c r="P76" s="23">
        <v>20.129870129870131</v>
      </c>
      <c r="Q76" s="23">
        <v>15.942028985507244</v>
      </c>
      <c r="R76" s="23">
        <v>19.35483870967742</v>
      </c>
      <c r="V76" s="23">
        <v>0.19800000000000001</v>
      </c>
      <c r="W76" s="23">
        <v>0.214</v>
      </c>
      <c r="X76" s="23">
        <v>0.377</v>
      </c>
      <c r="Y76" s="23">
        <v>0.14299999999999999</v>
      </c>
      <c r="Z76" s="23">
        <v>2.8000000000000001E-2</v>
      </c>
      <c r="AA76" s="23">
        <v>0.04</v>
      </c>
      <c r="AE76" s="23">
        <v>2.4930747922437674E-2</v>
      </c>
      <c r="AF76" s="23">
        <v>5.7401812688821753E-2</v>
      </c>
      <c r="AG76" s="23">
        <v>6.6666666666666666E-2</v>
      </c>
      <c r="AH76" s="23">
        <v>5.6451612903225805E-2</v>
      </c>
      <c r="AI76" s="23">
        <v>2.3333333333333334E-2</v>
      </c>
      <c r="AJ76" s="23">
        <v>0</v>
      </c>
      <c r="AO76" s="23">
        <v>8.670520231213872E-3</v>
      </c>
      <c r="AP76" s="23">
        <v>2.2950819672131147E-2</v>
      </c>
      <c r="AQ76" s="23">
        <v>7.9470198675496692E-2</v>
      </c>
      <c r="AR76" s="23">
        <v>7.6305220883534142E-2</v>
      </c>
      <c r="AS76" s="23">
        <v>9.1787439613526575E-2</v>
      </c>
      <c r="AT76" s="23">
        <v>6.9565217391304349E-2</v>
      </c>
      <c r="AU76" s="23">
        <v>5.2493438320209973E-2</v>
      </c>
      <c r="AW76" s="100">
        <v>80</v>
      </c>
      <c r="AX76" s="100">
        <v>40</v>
      </c>
      <c r="BB76" s="23">
        <v>0.42857142857142855</v>
      </c>
      <c r="BC76" s="23">
        <v>0.83333333333333337</v>
      </c>
      <c r="BD76" s="23">
        <v>0.78947368421052633</v>
      </c>
      <c r="BE76" s="23">
        <v>0.94117647058823528</v>
      </c>
      <c r="BF76" s="23">
        <v>0.8</v>
      </c>
      <c r="BH76" s="23">
        <v>0.8</v>
      </c>
      <c r="BK76" s="23">
        <v>0.15328467153284672</v>
      </c>
      <c r="BL76" s="23">
        <v>5.8394160583941604E-2</v>
      </c>
      <c r="BM76" s="23">
        <v>0.26277372262773724</v>
      </c>
      <c r="BN76" s="23">
        <v>0.52554744525547448</v>
      </c>
      <c r="BR76" s="23">
        <v>0.59343434343434343</v>
      </c>
      <c r="BS76" s="23">
        <v>0.48364485981308414</v>
      </c>
      <c r="BT76" s="23">
        <v>0.7175066312997348</v>
      </c>
      <c r="BU76" s="23">
        <v>0.63286713286713292</v>
      </c>
      <c r="BV76" s="23">
        <v>0.6428571428571429</v>
      </c>
      <c r="BW76" s="23">
        <v>0.2</v>
      </c>
      <c r="CA76" s="23">
        <v>0.53468208092485547</v>
      </c>
      <c r="CB76" s="23">
        <v>0.65901639344262297</v>
      </c>
      <c r="CC76" s="23">
        <v>0.70860927152317876</v>
      </c>
      <c r="CD76" s="23">
        <v>0.68674698795180722</v>
      </c>
      <c r="CE76" s="23">
        <v>0.61835748792270528</v>
      </c>
      <c r="CF76" s="23">
        <v>0.57391304347826089</v>
      </c>
      <c r="CK76" s="23">
        <v>1.1811023622047244E-2</v>
      </c>
      <c r="CL76" s="23">
        <v>0.13445378151260504</v>
      </c>
      <c r="CM76" s="23">
        <v>0.3707865168539326</v>
      </c>
      <c r="CN76" s="23">
        <v>0.37681159420289856</v>
      </c>
      <c r="CO76" s="23">
        <v>0.35897435897435898</v>
      </c>
      <c r="CP76" s="23">
        <v>0.27500000000000002</v>
      </c>
    </row>
    <row r="77" spans="3:94" x14ac:dyDescent="0.25">
      <c r="C77" s="21">
        <v>33.994334277620396</v>
      </c>
      <c r="D77" s="21">
        <v>36.474164133738604</v>
      </c>
      <c r="E77" s="21">
        <v>64.690026954177895</v>
      </c>
      <c r="F77" s="21">
        <v>55.096418732782368</v>
      </c>
      <c r="G77" s="21">
        <v>36.303630363036305</v>
      </c>
      <c r="H77" s="21">
        <v>7.117437722419929</v>
      </c>
      <c r="K77" s="23">
        <v>0</v>
      </c>
      <c r="L77" s="23">
        <v>2.7777777777777777</v>
      </c>
      <c r="M77" s="23">
        <v>9.2105263157894726</v>
      </c>
      <c r="N77" s="23">
        <v>0</v>
      </c>
      <c r="O77" s="23">
        <v>0</v>
      </c>
      <c r="P77" s="23">
        <v>20.689655172413794</v>
      </c>
      <c r="Q77" s="23">
        <v>14.705882352941178</v>
      </c>
      <c r="R77" s="23">
        <v>6.0606060606060606</v>
      </c>
      <c r="V77" s="23">
        <v>0.1905</v>
      </c>
      <c r="W77" s="23">
        <v>0.2145</v>
      </c>
      <c r="X77" s="23">
        <v>0.39850000000000002</v>
      </c>
      <c r="Y77" s="23">
        <v>0.13100000000000001</v>
      </c>
      <c r="Z77" s="23">
        <v>0.03</v>
      </c>
      <c r="AA77" s="23">
        <v>3.5499999999999997E-2</v>
      </c>
      <c r="AE77" s="23">
        <v>1.69971671388102E-2</v>
      </c>
      <c r="AF77" s="23">
        <v>4.5592705167173252E-2</v>
      </c>
      <c r="AG77" s="23">
        <v>6.1994609164420483E-2</v>
      </c>
      <c r="AH77" s="23">
        <v>5.7851239669421489E-2</v>
      </c>
      <c r="AI77" s="23">
        <v>1.9801980198019802E-2</v>
      </c>
      <c r="AJ77" s="23">
        <v>0</v>
      </c>
      <c r="AO77" s="23">
        <v>8.7209302325581394E-3</v>
      </c>
      <c r="AP77" s="23">
        <v>5.2459016393442623E-2</v>
      </c>
      <c r="AQ77" s="23">
        <v>7.301587301587302E-2</v>
      </c>
      <c r="AR77" s="23">
        <v>7.8512396694214878E-2</v>
      </c>
      <c r="AS77" s="23">
        <v>8.9108910891089105E-2</v>
      </c>
      <c r="AT77" s="23">
        <v>0.1357142857142857</v>
      </c>
      <c r="AU77" s="23">
        <v>6.3307493540051676E-2</v>
      </c>
      <c r="AW77" s="100">
        <v>71</v>
      </c>
      <c r="AX77" s="100">
        <v>49</v>
      </c>
      <c r="BB77" s="23">
        <v>0.6</v>
      </c>
      <c r="BC77" s="23">
        <v>0.90909090909090906</v>
      </c>
      <c r="BD77" s="23">
        <v>0.7</v>
      </c>
      <c r="BE77" s="23">
        <v>0.7142857142857143</v>
      </c>
      <c r="BF77" s="23">
        <v>1</v>
      </c>
      <c r="BH77" s="23">
        <v>0.75471698113207553</v>
      </c>
      <c r="BK77" s="23">
        <v>0.18705035971223022</v>
      </c>
      <c r="BL77" s="23">
        <v>4.3165467625899283E-2</v>
      </c>
      <c r="BM77" s="23">
        <v>0.23021582733812951</v>
      </c>
      <c r="BN77" s="23">
        <v>0.53956834532374098</v>
      </c>
      <c r="BR77" s="23">
        <v>0.61679790026246717</v>
      </c>
      <c r="BS77" s="23">
        <v>0.52214452214452212</v>
      </c>
      <c r="BT77" s="23">
        <v>0.73651191969887075</v>
      </c>
      <c r="BU77" s="23">
        <v>0.63358778625954193</v>
      </c>
      <c r="BV77" s="23">
        <v>0.71666666666666667</v>
      </c>
      <c r="BW77" s="23">
        <v>0.16901408450704225</v>
      </c>
      <c r="CA77" s="23">
        <v>0.55232558139534882</v>
      </c>
      <c r="CB77" s="23">
        <v>0.75081967213114753</v>
      </c>
      <c r="CC77" s="23">
        <v>0.70476190476190481</v>
      </c>
      <c r="CD77" s="23">
        <v>0.66942148760330578</v>
      </c>
      <c r="CE77" s="23">
        <v>0.64356435643564358</v>
      </c>
      <c r="CF77" s="23">
        <v>0.62142857142857144</v>
      </c>
      <c r="CK77" s="23">
        <v>2.4390243902439025E-2</v>
      </c>
      <c r="CL77" s="23">
        <v>0.22222222222222221</v>
      </c>
      <c r="CM77" s="23">
        <v>0.2978723404255319</v>
      </c>
      <c r="CN77" s="23">
        <v>0.33333333333333331</v>
      </c>
      <c r="CO77" s="23">
        <v>0.38805970149253732</v>
      </c>
      <c r="CP77" s="23">
        <v>0.4</v>
      </c>
    </row>
    <row r="78" spans="3:94" x14ac:dyDescent="0.25">
      <c r="C78" s="21">
        <v>37.037037037037038</v>
      </c>
      <c r="D78" s="21">
        <v>62.874251497005986</v>
      </c>
      <c r="E78" s="21">
        <v>58.823529411764703</v>
      </c>
      <c r="F78" s="21">
        <v>69.832402234636874</v>
      </c>
      <c r="G78" s="21">
        <v>19.867549668874172</v>
      </c>
      <c r="H78" s="21">
        <v>7.117437722419929</v>
      </c>
      <c r="K78" s="23">
        <v>0</v>
      </c>
      <c r="L78" s="23">
        <v>2.7397260273972601</v>
      </c>
      <c r="M78" s="23">
        <v>10.76923076923077</v>
      </c>
      <c r="N78" s="23">
        <v>11.111111111111111</v>
      </c>
      <c r="O78" s="23">
        <v>0</v>
      </c>
      <c r="P78" s="23">
        <v>16.463414634146343</v>
      </c>
      <c r="Q78" s="23">
        <v>28.571428571428569</v>
      </c>
      <c r="R78" s="23">
        <v>12</v>
      </c>
      <c r="V78" s="23">
        <v>0.20549999999999999</v>
      </c>
      <c r="W78" s="23">
        <v>0.21299999999999999</v>
      </c>
      <c r="X78" s="23">
        <v>0.378</v>
      </c>
      <c r="Y78" s="23">
        <v>0.13250000000000001</v>
      </c>
      <c r="Z78" s="23">
        <v>2.6499999999999999E-2</v>
      </c>
      <c r="AA78" s="23">
        <v>4.4499999999999998E-2</v>
      </c>
      <c r="AE78" s="23">
        <v>3.9886039886039885E-2</v>
      </c>
      <c r="AF78" s="23">
        <v>8.0838323353293412E-2</v>
      </c>
      <c r="AG78" s="23">
        <v>7.2192513368983954E-2</v>
      </c>
      <c r="AH78" s="23">
        <v>5.3072625698324022E-2</v>
      </c>
      <c r="AI78" s="23">
        <v>6.6225165562913907E-3</v>
      </c>
      <c r="AJ78" s="23">
        <v>0</v>
      </c>
      <c r="AO78" s="23">
        <v>5.9880239520958087E-3</v>
      </c>
      <c r="AP78" s="23">
        <v>3.678929765886288E-2</v>
      </c>
      <c r="AQ78" s="23">
        <v>3.7414965986394558E-2</v>
      </c>
      <c r="AR78" s="23">
        <v>7.43801652892562E-2</v>
      </c>
      <c r="AS78" s="23">
        <v>5.3140096618357488E-2</v>
      </c>
      <c r="AT78" s="23">
        <v>8.0645161290322578E-2</v>
      </c>
      <c r="AU78" s="23">
        <v>4.2000000000000003E-2</v>
      </c>
      <c r="AW78" s="100">
        <v>89</v>
      </c>
      <c r="AX78" s="100">
        <v>31.5</v>
      </c>
      <c r="BB78" s="23">
        <v>0.9285714285714286</v>
      </c>
      <c r="BC78" s="23">
        <v>0.80952380952380953</v>
      </c>
      <c r="BD78" s="23">
        <v>0.65</v>
      </c>
      <c r="BE78" s="23">
        <v>0.8666666666666667</v>
      </c>
      <c r="BF78" s="23">
        <v>0</v>
      </c>
      <c r="BH78" s="23">
        <v>0.78873239436619713</v>
      </c>
      <c r="BK78" s="23">
        <v>0.13043478260869565</v>
      </c>
      <c r="BL78" s="23">
        <v>6.8322981366459631E-2</v>
      </c>
      <c r="BM78" s="23">
        <v>0.29192546583850931</v>
      </c>
      <c r="BN78" s="23">
        <v>0.50931677018633537</v>
      </c>
      <c r="BR78" s="23">
        <v>0.59854014598540151</v>
      </c>
      <c r="BS78" s="23">
        <v>0.51643192488262912</v>
      </c>
      <c r="BT78" s="23">
        <v>0.70634920634920639</v>
      </c>
      <c r="BU78" s="23">
        <v>0.63018867924528299</v>
      </c>
      <c r="BV78" s="23">
        <v>0.56603773584905659</v>
      </c>
      <c r="BW78" s="23">
        <v>0.16853932584269662</v>
      </c>
      <c r="CA78" s="23">
        <v>0.51796407185628746</v>
      </c>
      <c r="CB78" s="23">
        <v>0.68561872909698995</v>
      </c>
      <c r="CC78" s="23">
        <v>0.69727891156462585</v>
      </c>
      <c r="CD78" s="23">
        <v>0.64876033057851235</v>
      </c>
      <c r="CE78" s="23">
        <v>0.63285024154589375</v>
      </c>
      <c r="CF78" s="23">
        <v>0.64516129032258063</v>
      </c>
      <c r="CK78" s="23">
        <v>1.2658227848101266E-2</v>
      </c>
      <c r="CL78" s="23">
        <v>0.1743119266055046</v>
      </c>
      <c r="CM78" s="23">
        <v>0.22077922077922077</v>
      </c>
      <c r="CN78" s="23">
        <v>0.44776119402985076</v>
      </c>
      <c r="CO78" s="23">
        <v>0.31428571428571428</v>
      </c>
      <c r="CP78" s="23">
        <v>0.3</v>
      </c>
    </row>
    <row r="79" spans="3:94" x14ac:dyDescent="0.25">
      <c r="C79" s="21">
        <v>22.038567493112946</v>
      </c>
      <c r="D79" s="21">
        <v>38.805970149253731</v>
      </c>
      <c r="E79" s="21">
        <v>70.224719101123597</v>
      </c>
      <c r="F79" s="21">
        <v>67.204301075268816</v>
      </c>
      <c r="G79" s="21">
        <v>19.607843137254903</v>
      </c>
      <c r="H79" s="21">
        <v>7.4626865671641793</v>
      </c>
      <c r="K79" s="23">
        <v>0</v>
      </c>
      <c r="L79" s="23">
        <v>2.5641025641025639</v>
      </c>
      <c r="M79" s="23">
        <v>7.0028011204481793</v>
      </c>
      <c r="N79" s="23">
        <v>22.58064516129032</v>
      </c>
      <c r="O79" s="23">
        <v>0</v>
      </c>
      <c r="P79" s="23">
        <v>14.084507042253522</v>
      </c>
      <c r="Q79" s="23">
        <v>30</v>
      </c>
      <c r="R79" s="23">
        <v>21.875</v>
      </c>
      <c r="V79" s="23">
        <v>0.1835</v>
      </c>
      <c r="W79" s="23">
        <v>0.217</v>
      </c>
      <c r="X79" s="23">
        <v>0.38750000000000001</v>
      </c>
      <c r="Y79" s="23">
        <v>0.13400000000000001</v>
      </c>
      <c r="Z79" s="23">
        <v>3.0499999999999999E-2</v>
      </c>
      <c r="AA79" s="23">
        <v>4.7500000000000001E-2</v>
      </c>
      <c r="AE79" s="23">
        <v>3.5812672176308541E-2</v>
      </c>
      <c r="AF79" s="23">
        <v>5.0746268656716415E-2</v>
      </c>
      <c r="AG79" s="23">
        <v>6.741573033707865E-2</v>
      </c>
      <c r="AH79" s="23">
        <v>8.8709677419354843E-2</v>
      </c>
      <c r="AI79" s="23">
        <v>2.2875816993464051E-2</v>
      </c>
      <c r="AJ79" s="23">
        <v>3.7313432835820895E-3</v>
      </c>
      <c r="AO79" s="23">
        <v>1.1627906976744186E-2</v>
      </c>
      <c r="AP79" s="23">
        <v>3.5830618892508145E-2</v>
      </c>
      <c r="AQ79" s="23">
        <v>3.8062283737024222E-2</v>
      </c>
      <c r="AR79" s="23">
        <v>5.1383399209486168E-2</v>
      </c>
      <c r="AS79" s="23">
        <v>7.3732718894009217E-2</v>
      </c>
      <c r="AT79" s="23">
        <v>0.1015625</v>
      </c>
      <c r="AU79" s="23">
        <v>4.4213263979193757E-2</v>
      </c>
      <c r="AW79" s="100">
        <v>95</v>
      </c>
      <c r="AX79" s="100">
        <v>34</v>
      </c>
      <c r="BB79" s="23">
        <v>0.53846153846153844</v>
      </c>
      <c r="BC79" s="23">
        <v>0.9</v>
      </c>
      <c r="BD79" s="23">
        <v>0.8666666666666667</v>
      </c>
      <c r="BE79" s="23">
        <v>0.72727272727272729</v>
      </c>
      <c r="BF79" s="23">
        <v>0.8571428571428571</v>
      </c>
      <c r="BG79" s="23">
        <v>0</v>
      </c>
      <c r="BH79" s="23">
        <v>0.75</v>
      </c>
      <c r="BK79" s="23">
        <v>8.6206896551724144E-2</v>
      </c>
      <c r="BL79" s="23">
        <v>5.7471264367816091E-2</v>
      </c>
      <c r="BM79" s="23">
        <v>0.2471264367816092</v>
      </c>
      <c r="BN79" s="23">
        <v>0.60919540229885061</v>
      </c>
      <c r="BR79" s="23">
        <v>0.64032697547683926</v>
      </c>
      <c r="BS79" s="23">
        <v>0.50230414746543783</v>
      </c>
      <c r="BT79" s="23">
        <v>0.74709677419354836</v>
      </c>
      <c r="BU79" s="23">
        <v>0.59701492537313428</v>
      </c>
      <c r="BV79" s="23">
        <v>0.70491803278688525</v>
      </c>
      <c r="BW79" s="23">
        <v>0.1368421052631579</v>
      </c>
      <c r="CA79" s="23">
        <v>0.54651162790697672</v>
      </c>
      <c r="CB79" s="23">
        <v>0.7263843648208469</v>
      </c>
      <c r="CC79" s="23">
        <v>0.70934256055363321</v>
      </c>
      <c r="CD79" s="23">
        <v>0.64822134387351782</v>
      </c>
      <c r="CE79" s="23">
        <v>0.62211981566820274</v>
      </c>
      <c r="CF79" s="23">
        <v>0.6640625</v>
      </c>
      <c r="CK79" s="23">
        <v>2.766798418972332E-2</v>
      </c>
      <c r="CL79" s="23">
        <v>0.13513513513513514</v>
      </c>
      <c r="CM79" s="23">
        <v>0.24390243902439024</v>
      </c>
      <c r="CN79" s="23">
        <v>0.34722222222222221</v>
      </c>
      <c r="CO79" s="23">
        <v>0.36363636363636365</v>
      </c>
      <c r="CP79" s="23">
        <v>0.31578947368421051</v>
      </c>
    </row>
    <row r="80" spans="3:94" x14ac:dyDescent="0.25">
      <c r="C80" s="21">
        <v>50.70422535211268</v>
      </c>
      <c r="D80" s="21">
        <v>65.476190476190482</v>
      </c>
      <c r="E80" s="21">
        <v>43.956043956043956</v>
      </c>
      <c r="F80" s="21">
        <v>54.644808743169399</v>
      </c>
      <c r="G80" s="21">
        <v>26.143790849673202</v>
      </c>
      <c r="H80" s="21">
        <v>0</v>
      </c>
      <c r="K80" s="23">
        <v>0</v>
      </c>
      <c r="L80" s="23">
        <v>4.0540540540540544</v>
      </c>
      <c r="M80" s="23">
        <v>10.48951048951049</v>
      </c>
      <c r="N80" s="23">
        <v>18.181818181818183</v>
      </c>
      <c r="O80" s="23">
        <v>0</v>
      </c>
      <c r="P80" s="23">
        <v>18.128654970760234</v>
      </c>
      <c r="Q80" s="23">
        <v>17.910447761194028</v>
      </c>
      <c r="R80" s="23">
        <v>16.666666666666664</v>
      </c>
      <c r="V80" s="23">
        <v>0.20349999999999999</v>
      </c>
      <c r="W80" s="23">
        <v>0.219</v>
      </c>
      <c r="X80" s="23">
        <v>0.38200000000000001</v>
      </c>
      <c r="Y80" s="23">
        <v>0.126</v>
      </c>
      <c r="Z80" s="23">
        <v>2.9499999999999998E-2</v>
      </c>
      <c r="AA80" s="23">
        <v>0.04</v>
      </c>
      <c r="AE80" s="23">
        <v>2.2535211267605635E-2</v>
      </c>
      <c r="AF80" s="23">
        <v>7.1428571428571425E-2</v>
      </c>
      <c r="AG80" s="23">
        <v>6.3186813186813184E-2</v>
      </c>
      <c r="AH80" s="23">
        <v>5.1912568306010931E-2</v>
      </c>
      <c r="AI80" s="23">
        <v>1.3071895424836602E-2</v>
      </c>
      <c r="AJ80" s="23">
        <v>7.326007326007326E-3</v>
      </c>
      <c r="AO80" s="23">
        <v>8.7209302325581394E-3</v>
      </c>
      <c r="AP80" s="23">
        <v>2.7027027027027029E-2</v>
      </c>
      <c r="AQ80" s="23">
        <v>6.4846416382252553E-2</v>
      </c>
      <c r="AR80" s="23">
        <v>7.1698113207547168E-2</v>
      </c>
      <c r="AS80" s="23">
        <v>0.08</v>
      </c>
      <c r="AT80" s="23">
        <v>0.10434782608695652</v>
      </c>
      <c r="AU80" s="23">
        <v>5.0892267019167214E-2</v>
      </c>
      <c r="AW80" s="100">
        <v>80</v>
      </c>
      <c r="AX80" s="100">
        <v>38.5</v>
      </c>
      <c r="BB80" s="23">
        <v>0.8</v>
      </c>
      <c r="BC80" s="23">
        <v>0.76470588235294112</v>
      </c>
      <c r="BD80" s="23">
        <v>0.66666666666666663</v>
      </c>
      <c r="BE80" s="23">
        <v>0.77777777777777779</v>
      </c>
      <c r="BF80" s="23">
        <v>1</v>
      </c>
      <c r="BG80" s="23">
        <v>0.5</v>
      </c>
      <c r="BH80" s="23">
        <v>0.74545454545454548</v>
      </c>
      <c r="BK80" s="23">
        <v>0.14465408805031446</v>
      </c>
      <c r="BL80" s="23">
        <v>2.5157232704402517E-2</v>
      </c>
      <c r="BM80" s="23">
        <v>0.14465408805031446</v>
      </c>
      <c r="BN80" s="23">
        <v>0.68553459119496851</v>
      </c>
      <c r="BR80" s="23">
        <v>0.6117936117936118</v>
      </c>
      <c r="BS80" s="23">
        <v>0.53881278538812782</v>
      </c>
      <c r="BT80" s="23">
        <v>0.69371727748691103</v>
      </c>
      <c r="BU80" s="23">
        <v>0.61507936507936511</v>
      </c>
      <c r="BV80" s="23">
        <v>0.76271186440677963</v>
      </c>
      <c r="BW80" s="23">
        <v>0.125</v>
      </c>
      <c r="CA80" s="23">
        <v>0.52906976744186052</v>
      </c>
      <c r="CB80" s="23">
        <v>0.69256756756756754</v>
      </c>
      <c r="CC80" s="23">
        <v>0.71331058020477811</v>
      </c>
      <c r="CD80" s="23">
        <v>0.66792452830188676</v>
      </c>
      <c r="CE80" s="23">
        <v>0.61</v>
      </c>
      <c r="CF80" s="23">
        <v>0.61739130434782608</v>
      </c>
      <c r="CK80" s="23">
        <v>2.8000000000000001E-2</v>
      </c>
      <c r="CL80" s="23">
        <v>0.17821782178217821</v>
      </c>
      <c r="CM80" s="23">
        <v>0.2808988764044944</v>
      </c>
      <c r="CN80" s="23">
        <v>0.30120481927710846</v>
      </c>
      <c r="CO80" s="23">
        <v>0.34210526315789475</v>
      </c>
      <c r="CP80" s="23">
        <v>0.39534883720930231</v>
      </c>
    </row>
    <row r="81" spans="3:94" x14ac:dyDescent="0.25">
      <c r="C81" s="21">
        <v>39.660056657223798</v>
      </c>
      <c r="D81" s="21">
        <v>53.412462908011868</v>
      </c>
      <c r="E81" s="21">
        <v>44.077134986225893</v>
      </c>
      <c r="F81" s="21">
        <v>54.644808743169399</v>
      </c>
      <c r="G81" s="21">
        <v>22.801302931596091</v>
      </c>
      <c r="H81" s="21">
        <v>3.6496350364963503</v>
      </c>
      <c r="K81" s="23">
        <v>0</v>
      </c>
      <c r="L81" s="23">
        <v>8.4745762711864394</v>
      </c>
      <c r="M81" s="23">
        <v>7.9617834394904454</v>
      </c>
      <c r="N81" s="23">
        <v>14.814814814814813</v>
      </c>
      <c r="O81" s="23">
        <v>0</v>
      </c>
      <c r="P81" s="23">
        <v>21.637426900584796</v>
      </c>
      <c r="Q81" s="23">
        <v>29.411764705882355</v>
      </c>
      <c r="R81" s="23">
        <v>12.5</v>
      </c>
      <c r="V81" s="23">
        <v>0.20449999999999999</v>
      </c>
      <c r="W81" s="23">
        <v>0.21249999999999999</v>
      </c>
      <c r="X81" s="23">
        <v>0.38500000000000001</v>
      </c>
      <c r="Y81" s="23">
        <v>0.127</v>
      </c>
      <c r="Z81" s="23">
        <v>2.9000000000000001E-2</v>
      </c>
      <c r="AA81" s="23">
        <v>4.2000000000000003E-2</v>
      </c>
      <c r="AE81" s="23">
        <v>2.5495750708215296E-2</v>
      </c>
      <c r="AF81" s="23">
        <v>6.2314540059347182E-2</v>
      </c>
      <c r="AG81" s="23">
        <v>8.8154269972451793E-2</v>
      </c>
      <c r="AH81" s="23">
        <v>4.9180327868852458E-2</v>
      </c>
      <c r="AI81" s="23">
        <v>6.5146579804560263E-3</v>
      </c>
      <c r="AJ81" s="23">
        <v>7.2992700729927005E-3</v>
      </c>
      <c r="AO81" s="23">
        <v>1.1730205278592375E-2</v>
      </c>
      <c r="AP81" s="23">
        <v>3.9735099337748346E-2</v>
      </c>
      <c r="AQ81" s="23">
        <v>7.1428571428571425E-2</v>
      </c>
      <c r="AR81" s="23">
        <v>3.515625E-2</v>
      </c>
      <c r="AS81" s="23">
        <v>6.4356435643564358E-2</v>
      </c>
      <c r="AT81" s="23">
        <v>9.5238095238095233E-2</v>
      </c>
      <c r="AU81" s="23">
        <v>4.6449900464499004E-2</v>
      </c>
      <c r="AW81" s="100">
        <v>84</v>
      </c>
      <c r="AX81" s="100">
        <v>35</v>
      </c>
      <c r="BB81" s="23">
        <v>0.88888888888888884</v>
      </c>
      <c r="BC81" s="23">
        <v>0.4375</v>
      </c>
      <c r="BD81" s="23">
        <v>0.83333333333333337</v>
      </c>
      <c r="BE81" s="23">
        <v>0.8</v>
      </c>
      <c r="BF81" s="23">
        <v>1</v>
      </c>
      <c r="BG81" s="23">
        <v>0.33333333333333331</v>
      </c>
      <c r="BH81" s="23">
        <v>0.72058823529411764</v>
      </c>
      <c r="BK81" s="23">
        <v>0.10429447852760736</v>
      </c>
      <c r="BL81" s="23">
        <v>1.8404907975460124E-2</v>
      </c>
      <c r="BM81" s="23">
        <v>0.23312883435582821</v>
      </c>
      <c r="BN81" s="23">
        <v>0.64417177914110424</v>
      </c>
      <c r="BR81" s="23">
        <v>0.66748166259168706</v>
      </c>
      <c r="BS81" s="23">
        <v>0.52</v>
      </c>
      <c r="BT81" s="23">
        <v>0.71038961038961035</v>
      </c>
      <c r="BU81" s="23">
        <v>0.64960629921259838</v>
      </c>
      <c r="BV81" s="23">
        <v>0.5</v>
      </c>
      <c r="BW81" s="23">
        <v>0.26190476190476192</v>
      </c>
      <c r="CA81" s="23">
        <v>0.53958944281524923</v>
      </c>
      <c r="CB81" s="23">
        <v>0.70198675496688745</v>
      </c>
      <c r="CC81" s="23">
        <v>0.71071428571428574</v>
      </c>
      <c r="CD81" s="23">
        <v>0.65625</v>
      </c>
      <c r="CE81" s="23">
        <v>0.57920792079207917</v>
      </c>
      <c r="CF81" s="23">
        <v>0.65079365079365081</v>
      </c>
      <c r="CK81" s="23">
        <v>1.9455252918287938E-2</v>
      </c>
      <c r="CL81" s="23">
        <v>0.16326530612244897</v>
      </c>
      <c r="CM81" s="23">
        <v>0.36363636363636365</v>
      </c>
      <c r="CN81" s="23">
        <v>0.22500000000000001</v>
      </c>
      <c r="CO81" s="23">
        <v>0.37333333333333335</v>
      </c>
      <c r="CP81" s="23">
        <v>0.38095238095238093</v>
      </c>
    </row>
    <row r="82" spans="3:94" x14ac:dyDescent="0.25">
      <c r="C82" s="21">
        <v>42.372881355932201</v>
      </c>
      <c r="D82" s="21">
        <v>68.452380952380949</v>
      </c>
      <c r="E82" s="21">
        <v>65.040650406504071</v>
      </c>
      <c r="F82" s="21">
        <v>56.179775280898873</v>
      </c>
      <c r="G82" s="21">
        <v>22.653721682847895</v>
      </c>
      <c r="H82" s="21">
        <v>3.6231884057971016</v>
      </c>
      <c r="K82" s="23">
        <v>0</v>
      </c>
      <c r="L82" s="23">
        <v>4.0540540540540544</v>
      </c>
      <c r="M82" s="23">
        <v>8.6261980830670915</v>
      </c>
      <c r="N82" s="23">
        <v>9.0909090909090917</v>
      </c>
      <c r="O82" s="23">
        <v>0</v>
      </c>
      <c r="P82" s="23">
        <v>20.33898305084746</v>
      </c>
      <c r="Q82" s="23">
        <v>30.64516129032258</v>
      </c>
      <c r="R82" s="23">
        <v>16.666666666666664</v>
      </c>
      <c r="V82" s="23">
        <v>0.193</v>
      </c>
      <c r="W82" s="23">
        <v>0.21299999999999999</v>
      </c>
      <c r="X82" s="23">
        <v>0.38950000000000001</v>
      </c>
      <c r="Y82" s="23">
        <v>0.1305</v>
      </c>
      <c r="Z82" s="23">
        <v>3.15E-2</v>
      </c>
      <c r="AA82" s="23">
        <v>4.2500000000000003E-2</v>
      </c>
      <c r="AE82" s="23">
        <v>3.6723163841807911E-2</v>
      </c>
      <c r="AF82" s="23">
        <v>4.7619047619047616E-2</v>
      </c>
      <c r="AG82" s="23">
        <v>8.1300813008130079E-2</v>
      </c>
      <c r="AH82" s="23">
        <v>4.7752808988764044E-2</v>
      </c>
      <c r="AI82" s="23">
        <v>2.9126213592233011E-2</v>
      </c>
      <c r="AJ82" s="23">
        <v>0</v>
      </c>
      <c r="AO82" s="23">
        <v>1.1869436201780416E-2</v>
      </c>
      <c r="AP82" s="23">
        <v>3.2467532467532464E-2</v>
      </c>
      <c r="AQ82" s="23">
        <v>6.9536423841059597E-2</v>
      </c>
      <c r="AR82" s="23">
        <v>7.0588235294117646E-2</v>
      </c>
      <c r="AS82" s="23">
        <v>6.3414634146341464E-2</v>
      </c>
      <c r="AT82" s="23">
        <v>0.13934426229508196</v>
      </c>
      <c r="AU82" s="23">
        <v>5.4283845650752123E-2</v>
      </c>
      <c r="AW82" s="100">
        <v>85</v>
      </c>
      <c r="AX82" s="100">
        <v>41.5</v>
      </c>
      <c r="BB82" s="23">
        <v>1</v>
      </c>
      <c r="BC82" s="23">
        <v>0.90909090909090906</v>
      </c>
      <c r="BD82" s="23">
        <v>0.72222222222222221</v>
      </c>
      <c r="BE82" s="23">
        <v>0.6</v>
      </c>
      <c r="BF82" s="23">
        <v>0.5714285714285714</v>
      </c>
      <c r="BG82" s="23">
        <v>0</v>
      </c>
      <c r="BH82" s="23">
        <v>0.75438596491228072</v>
      </c>
      <c r="BK82" s="23">
        <v>0.12903225806451613</v>
      </c>
      <c r="BL82" s="23">
        <v>3.2258064516129031E-2</v>
      </c>
      <c r="BM82" s="23">
        <v>0.29838709677419356</v>
      </c>
      <c r="BN82" s="23">
        <v>0.54032258064516125</v>
      </c>
      <c r="BR82" s="23">
        <v>0.58549222797927458</v>
      </c>
      <c r="BS82" s="23">
        <v>0.539906103286385</v>
      </c>
      <c r="BT82" s="23">
        <v>0.72143774069319644</v>
      </c>
      <c r="BU82" s="23">
        <v>0.64367816091954022</v>
      </c>
      <c r="BV82" s="23">
        <v>0.63492063492063489</v>
      </c>
      <c r="BW82" s="23">
        <v>9.4117647058823528E-2</v>
      </c>
      <c r="CA82" s="23">
        <v>0.60830860534124631</v>
      </c>
      <c r="CB82" s="23">
        <v>0.65259740259740262</v>
      </c>
      <c r="CC82" s="23">
        <v>0.6887417218543046</v>
      </c>
      <c r="CD82" s="23">
        <v>0.65490196078431373</v>
      </c>
      <c r="CE82" s="23">
        <v>0.65853658536585369</v>
      </c>
      <c r="CF82" s="23">
        <v>0.68852459016393441</v>
      </c>
      <c r="CK82" s="23">
        <v>2.9045643153526972E-2</v>
      </c>
      <c r="CL82" s="23">
        <v>0.13725490196078433</v>
      </c>
      <c r="CM82" s="23">
        <v>0.31914893617021278</v>
      </c>
      <c r="CN82" s="23">
        <v>0.44776119402985076</v>
      </c>
      <c r="CO82" s="23">
        <v>0.33333333333333331</v>
      </c>
      <c r="CP82" s="23">
        <v>0.34545454545454546</v>
      </c>
    </row>
    <row r="83" spans="3:94" x14ac:dyDescent="0.25">
      <c r="C83" s="21">
        <v>36.516853932584269</v>
      </c>
      <c r="D83" s="21">
        <v>51.204819277108435</v>
      </c>
      <c r="E83" s="21">
        <v>70.652173913043484</v>
      </c>
      <c r="F83" s="21">
        <v>47.486033519553075</v>
      </c>
      <c r="G83" s="21">
        <v>35.483870967741936</v>
      </c>
      <c r="H83" s="21">
        <v>3.6231884057971016</v>
      </c>
      <c r="K83" s="23">
        <v>0</v>
      </c>
      <c r="L83" s="23">
        <v>5.4794520547945202</v>
      </c>
      <c r="M83" s="23">
        <v>14.285714285714285</v>
      </c>
      <c r="N83" s="23">
        <v>9.5238095238095237</v>
      </c>
      <c r="O83" s="23">
        <v>0.4784688995215311</v>
      </c>
      <c r="P83" s="23">
        <v>20.88607594936709</v>
      </c>
      <c r="Q83" s="23">
        <v>24.590163934426229</v>
      </c>
      <c r="R83" s="23">
        <v>22.222222222222221</v>
      </c>
      <c r="V83" s="23">
        <v>0.19700000000000001</v>
      </c>
      <c r="W83" s="23">
        <v>0.20649999999999999</v>
      </c>
      <c r="X83" s="23">
        <v>0.38450000000000001</v>
      </c>
      <c r="Y83" s="23">
        <v>0.1285</v>
      </c>
      <c r="Z83" s="23">
        <v>3.15E-2</v>
      </c>
      <c r="AA83" s="23">
        <v>5.1999999999999998E-2</v>
      </c>
      <c r="AE83" s="23">
        <v>2.8089887640449437E-2</v>
      </c>
      <c r="AF83" s="23">
        <v>6.0240963855421686E-2</v>
      </c>
      <c r="AG83" s="23">
        <v>8.6956521739130432E-2</v>
      </c>
      <c r="AH83" s="23">
        <v>8.6592178770949726E-2</v>
      </c>
      <c r="AI83" s="23">
        <v>3.2258064516129031E-2</v>
      </c>
      <c r="AJ83" s="23">
        <v>3.6231884057971015E-3</v>
      </c>
      <c r="AO83" s="23">
        <v>0</v>
      </c>
      <c r="AP83" s="23">
        <v>2.6845637583892617E-2</v>
      </c>
      <c r="AQ83" s="23">
        <v>8.7837837837837843E-2</v>
      </c>
      <c r="AR83" s="23">
        <v>6.4257028112449793E-2</v>
      </c>
      <c r="AS83" s="23">
        <v>4.6391752577319589E-2</v>
      </c>
      <c r="AT83" s="23">
        <v>0.104</v>
      </c>
      <c r="AU83" s="23">
        <v>4.7936085219707054E-2</v>
      </c>
      <c r="AW83" s="100">
        <v>104</v>
      </c>
      <c r="AX83" s="100">
        <v>36</v>
      </c>
      <c r="BB83" s="23">
        <v>1</v>
      </c>
      <c r="BC83" s="23">
        <v>0.83333333333333337</v>
      </c>
      <c r="BD83" s="23">
        <v>0.76</v>
      </c>
      <c r="BE83" s="23">
        <v>0.76190476190476186</v>
      </c>
      <c r="BF83" s="23">
        <v>0.875</v>
      </c>
      <c r="BG83" s="23">
        <v>1</v>
      </c>
      <c r="BH83" s="23">
        <v>0.81818181818181823</v>
      </c>
      <c r="BK83" s="23">
        <v>0.16384180790960451</v>
      </c>
      <c r="BL83" s="23">
        <v>5.6497175141242938E-3</v>
      </c>
      <c r="BM83" s="23">
        <v>0.24293785310734464</v>
      </c>
      <c r="BN83" s="23">
        <v>0.58757062146892658</v>
      </c>
      <c r="BR83" s="23">
        <v>0.62182741116751272</v>
      </c>
      <c r="BS83" s="23">
        <v>0.46973365617433416</v>
      </c>
      <c r="BT83" s="23">
        <v>0.72431729518855659</v>
      </c>
      <c r="BU83" s="23">
        <v>0.59922178988326846</v>
      </c>
      <c r="BV83" s="23">
        <v>0.68253968253968256</v>
      </c>
      <c r="BW83" s="23">
        <v>0.15384615384615385</v>
      </c>
      <c r="CA83" s="23">
        <v>0.49411764705882355</v>
      </c>
      <c r="CB83" s="23">
        <v>0.68120805369127513</v>
      </c>
      <c r="CC83" s="23">
        <v>0.71283783783783783</v>
      </c>
      <c r="CD83" s="23">
        <v>0.68273092369477917</v>
      </c>
      <c r="CE83" s="23">
        <v>0.60309278350515461</v>
      </c>
      <c r="CF83" s="23">
        <v>0.63200000000000001</v>
      </c>
      <c r="CK83" s="23">
        <v>1.2096774193548387E-2</v>
      </c>
      <c r="CL83" s="23">
        <v>0.14953271028037382</v>
      </c>
      <c r="CM83" s="23">
        <v>0.34523809523809523</v>
      </c>
      <c r="CN83" s="23">
        <v>0.39130434782608697</v>
      </c>
      <c r="CO83" s="23">
        <v>0.31034482758620691</v>
      </c>
      <c r="CP83" s="23">
        <v>0.30434782608695654</v>
      </c>
    </row>
    <row r="84" spans="3:94" x14ac:dyDescent="0.25">
      <c r="C84" s="21">
        <v>38.997214484679667</v>
      </c>
      <c r="D84" s="21">
        <v>42.296072507552871</v>
      </c>
      <c r="E84" s="21">
        <v>81.743869209809262</v>
      </c>
      <c r="F84" s="21">
        <v>52.777777777777779</v>
      </c>
      <c r="G84" s="21">
        <v>25.974025974025974</v>
      </c>
      <c r="H84" s="21">
        <v>0</v>
      </c>
      <c r="K84" s="23">
        <v>0</v>
      </c>
      <c r="L84" s="23">
        <v>4.1666666666666661</v>
      </c>
      <c r="M84" s="23">
        <v>9.4915254237288131</v>
      </c>
      <c r="N84" s="23">
        <v>10.714285714285714</v>
      </c>
      <c r="O84" s="23">
        <v>0</v>
      </c>
      <c r="P84" s="23">
        <v>19.101123595505616</v>
      </c>
      <c r="Q84" s="23">
        <v>24.285714285714285</v>
      </c>
      <c r="R84" s="23">
        <v>24.242424242424242</v>
      </c>
      <c r="V84" s="23">
        <v>0.20200000000000001</v>
      </c>
      <c r="W84" s="23">
        <v>0.20949999999999999</v>
      </c>
      <c r="X84" s="23">
        <v>0.39500000000000002</v>
      </c>
      <c r="Y84" s="23">
        <v>0.1235</v>
      </c>
      <c r="Z84" s="23">
        <v>2.7E-2</v>
      </c>
      <c r="AA84" s="23">
        <v>4.2999999999999997E-2</v>
      </c>
      <c r="AE84" s="23">
        <v>5.5710306406685235E-2</v>
      </c>
      <c r="AF84" s="23">
        <v>5.7401812688821753E-2</v>
      </c>
      <c r="AG84" s="23">
        <v>5.9945504087193457E-2</v>
      </c>
      <c r="AH84" s="23">
        <v>5.2777777777777778E-2</v>
      </c>
      <c r="AI84" s="23">
        <v>1.948051948051948E-2</v>
      </c>
      <c r="AJ84" s="23">
        <v>0</v>
      </c>
      <c r="AO84" s="23">
        <v>1.1904761904761904E-2</v>
      </c>
      <c r="AP84" s="23">
        <v>1.9801980198019802E-2</v>
      </c>
      <c r="AQ84" s="23">
        <v>5.1369863013698627E-2</v>
      </c>
      <c r="AR84" s="23">
        <v>6.6666666666666666E-2</v>
      </c>
      <c r="AS84" s="23">
        <v>3.5353535353535352E-2</v>
      </c>
      <c r="AT84" s="23">
        <v>0.1111111111111111</v>
      </c>
      <c r="AU84" s="23">
        <v>4.1721854304635764E-2</v>
      </c>
      <c r="AW84" s="100">
        <v>86</v>
      </c>
      <c r="AX84" s="100">
        <v>31.5</v>
      </c>
      <c r="BB84" s="23">
        <v>0.72222222222222221</v>
      </c>
      <c r="BC84" s="23">
        <v>0.8</v>
      </c>
      <c r="BD84" s="23">
        <v>0.76923076923076927</v>
      </c>
      <c r="BE84" s="23">
        <v>0.8571428571428571</v>
      </c>
      <c r="BF84" s="23">
        <v>0.33333333333333331</v>
      </c>
      <c r="BH84" s="23">
        <v>0.76190476190476186</v>
      </c>
      <c r="BK84" s="23">
        <v>0.10416666666666667</v>
      </c>
      <c r="BL84" s="23">
        <v>5.5555555555555552E-2</v>
      </c>
      <c r="BM84" s="23">
        <v>0.3611111111111111</v>
      </c>
      <c r="BN84" s="23">
        <v>0.47916666666666669</v>
      </c>
      <c r="BR84" s="23">
        <v>0.59900990099009899</v>
      </c>
      <c r="BS84" s="23">
        <v>0.49880668257756561</v>
      </c>
      <c r="BT84" s="23">
        <v>0.71392405063291142</v>
      </c>
      <c r="BU84" s="23">
        <v>0.63157894736842102</v>
      </c>
      <c r="BV84" s="23">
        <v>0.61111111111111116</v>
      </c>
      <c r="BW84" s="23">
        <v>6.9767441860465115E-2</v>
      </c>
      <c r="CA84" s="23">
        <v>0.5625</v>
      </c>
      <c r="CB84" s="23">
        <v>0.63696369636963701</v>
      </c>
      <c r="CC84" s="23">
        <v>0.70205479452054798</v>
      </c>
      <c r="CD84" s="23">
        <v>0.6470588235294118</v>
      </c>
      <c r="CE84" s="23">
        <v>0.66161616161616166</v>
      </c>
      <c r="CF84" s="23">
        <v>0.62698412698412698</v>
      </c>
      <c r="CK84" s="23">
        <v>2.1367521367521368E-2</v>
      </c>
      <c r="CL84" s="23">
        <v>0.13333333333333333</v>
      </c>
      <c r="CM84" s="23">
        <v>0.25882352941176473</v>
      </c>
      <c r="CN84" s="23">
        <v>0.375</v>
      </c>
      <c r="CO84" s="23">
        <v>0.29090909090909089</v>
      </c>
      <c r="CP84" s="23">
        <v>0.30508474576271188</v>
      </c>
    </row>
    <row r="85" spans="3:94" x14ac:dyDescent="0.25">
      <c r="C85" s="21">
        <v>16.759776536312849</v>
      </c>
      <c r="D85" s="21">
        <v>50.898203592814369</v>
      </c>
      <c r="E85" s="21">
        <v>52.197802197802197</v>
      </c>
      <c r="F85" s="21">
        <v>62.670299727520437</v>
      </c>
      <c r="G85" s="21">
        <v>26.578073089700997</v>
      </c>
      <c r="H85" s="21">
        <v>0</v>
      </c>
      <c r="K85" s="23">
        <v>0</v>
      </c>
      <c r="L85" s="23">
        <v>9.433962264150944</v>
      </c>
      <c r="M85" s="23">
        <v>8.1761006289308167</v>
      </c>
      <c r="N85" s="23">
        <v>7.6923076923076925</v>
      </c>
      <c r="O85" s="23">
        <v>0.54054054054054057</v>
      </c>
      <c r="P85" s="23">
        <v>21.379310344827587</v>
      </c>
      <c r="Q85" s="23">
        <v>18.96551724137931</v>
      </c>
      <c r="R85" s="23">
        <v>27.27272727272727</v>
      </c>
      <c r="V85" s="23">
        <v>0.2</v>
      </c>
      <c r="W85" s="23">
        <v>0.2185</v>
      </c>
      <c r="X85" s="23">
        <v>0.371</v>
      </c>
      <c r="Y85" s="23">
        <v>0.13</v>
      </c>
      <c r="Z85" s="23">
        <v>3.3500000000000002E-2</v>
      </c>
      <c r="AA85" s="23">
        <v>4.7E-2</v>
      </c>
      <c r="AE85" s="23">
        <v>3.3519553072625698E-2</v>
      </c>
      <c r="AF85" s="23">
        <v>8.6826347305389226E-2</v>
      </c>
      <c r="AG85" s="23">
        <v>8.2417582417582416E-2</v>
      </c>
      <c r="AH85" s="23">
        <v>4.632152588555858E-2</v>
      </c>
      <c r="AI85" s="23">
        <v>1.3289036544850499E-2</v>
      </c>
      <c r="AJ85" s="23">
        <v>7.246376811594203E-3</v>
      </c>
      <c r="AO85" s="23">
        <v>2.9239766081871343E-3</v>
      </c>
      <c r="AP85" s="23">
        <v>4.7945205479452052E-2</v>
      </c>
      <c r="AQ85" s="23">
        <v>5.3191489361702128E-2</v>
      </c>
      <c r="AR85" s="23">
        <v>5.7471264367816091E-2</v>
      </c>
      <c r="AS85" s="23">
        <v>8.6956521739130432E-2</v>
      </c>
      <c r="AT85" s="23">
        <v>8.1967213114754092E-2</v>
      </c>
      <c r="AU85" s="23">
        <v>4.8472775564409029E-2</v>
      </c>
      <c r="AW85" s="100">
        <v>94</v>
      </c>
      <c r="AX85" s="100">
        <v>36.5</v>
      </c>
      <c r="BB85" s="23">
        <v>0.6</v>
      </c>
      <c r="BC85" s="23">
        <v>0.75</v>
      </c>
      <c r="BD85" s="23">
        <v>0.73684210526315785</v>
      </c>
      <c r="BE85" s="23">
        <v>0.61538461538461542</v>
      </c>
      <c r="BF85" s="23">
        <v>0.66666666666666663</v>
      </c>
      <c r="BG85" s="23">
        <v>1</v>
      </c>
      <c r="BH85" s="23">
        <v>0.69696969696969702</v>
      </c>
      <c r="BK85" s="23">
        <v>0.11842105263157894</v>
      </c>
      <c r="BL85" s="23">
        <v>8.5526315789473686E-2</v>
      </c>
      <c r="BM85" s="23">
        <v>0.23684210526315788</v>
      </c>
      <c r="BN85" s="23">
        <v>0.55921052631578949</v>
      </c>
      <c r="BR85" s="23">
        <v>0.60250000000000004</v>
      </c>
      <c r="BS85" s="23">
        <v>0.52173913043478259</v>
      </c>
      <c r="BT85" s="23">
        <v>0.73450134770889486</v>
      </c>
      <c r="BU85" s="23">
        <v>0.62692307692307692</v>
      </c>
      <c r="BV85" s="23">
        <v>0.59701492537313428</v>
      </c>
      <c r="BW85" s="23">
        <v>0.11702127659574468</v>
      </c>
      <c r="CA85" s="23">
        <v>0.56140350877192979</v>
      </c>
      <c r="CB85" s="23">
        <v>0.69178082191780821</v>
      </c>
      <c r="CC85" s="23">
        <v>0.68085106382978722</v>
      </c>
      <c r="CD85" s="23">
        <v>0.70498084291187735</v>
      </c>
      <c r="CE85" s="23">
        <v>0.6280193236714976</v>
      </c>
      <c r="CF85" s="23">
        <v>0.62295081967213117</v>
      </c>
      <c r="CK85" s="23">
        <v>7.7220077220077222E-3</v>
      </c>
      <c r="CL85" s="23">
        <v>0.18811881188118812</v>
      </c>
      <c r="CM85" s="23">
        <v>0.28888888888888886</v>
      </c>
      <c r="CN85" s="23">
        <v>0.29166666666666669</v>
      </c>
      <c r="CO85" s="23">
        <v>0.35227272727272729</v>
      </c>
      <c r="CP85" s="23">
        <v>0.34883720930232559</v>
      </c>
    </row>
    <row r="86" spans="3:94" x14ac:dyDescent="0.25">
      <c r="C86" s="21">
        <v>36.619718309859152</v>
      </c>
      <c r="D86" s="21">
        <v>50.445103857566764</v>
      </c>
      <c r="E86" s="21">
        <v>57.692307692307693</v>
      </c>
      <c r="F86" s="21">
        <v>49.450549450549453</v>
      </c>
      <c r="G86" s="21">
        <v>38.834951456310677</v>
      </c>
      <c r="H86" s="21">
        <v>11.07011070110701</v>
      </c>
      <c r="K86" s="23">
        <v>0</v>
      </c>
      <c r="L86" s="23">
        <v>8.064516129032258</v>
      </c>
      <c r="M86" s="23">
        <v>10.9375</v>
      </c>
      <c r="N86" s="23">
        <v>22.222222222222221</v>
      </c>
      <c r="O86" s="23">
        <v>0</v>
      </c>
      <c r="P86" s="23">
        <v>16.981132075471699</v>
      </c>
      <c r="Q86" s="23">
        <v>28.260869565217391</v>
      </c>
      <c r="R86" s="23">
        <v>23.333333333333332</v>
      </c>
      <c r="V86" s="23">
        <v>0.19750000000000001</v>
      </c>
      <c r="W86" s="23">
        <v>0.2175</v>
      </c>
      <c r="X86" s="23">
        <v>0.3765</v>
      </c>
      <c r="Y86" s="23">
        <v>0.124</v>
      </c>
      <c r="Z86" s="23">
        <v>3.5499999999999997E-2</v>
      </c>
      <c r="AA86" s="23">
        <v>4.9000000000000002E-2</v>
      </c>
      <c r="AE86" s="23">
        <v>4.507042253521127E-2</v>
      </c>
      <c r="AF86" s="23">
        <v>6.8249258160237386E-2</v>
      </c>
      <c r="AG86" s="23">
        <v>8.5164835164835168E-2</v>
      </c>
      <c r="AH86" s="23">
        <v>6.3186813186813184E-2</v>
      </c>
      <c r="AI86" s="23">
        <v>1.6181229773462782E-2</v>
      </c>
      <c r="AJ86" s="23">
        <v>0</v>
      </c>
      <c r="AO86" s="23">
        <v>8.9552238805970154E-3</v>
      </c>
      <c r="AP86" s="23">
        <v>2.7027027027027029E-2</v>
      </c>
      <c r="AQ86" s="23">
        <v>2.6936026936026935E-2</v>
      </c>
      <c r="AR86" s="23">
        <v>8.6614173228346455E-2</v>
      </c>
      <c r="AS86" s="23">
        <v>8.0402010050251257E-2</v>
      </c>
      <c r="AT86" s="23">
        <v>3.968253968253968E-2</v>
      </c>
      <c r="AU86" s="23">
        <v>4.1141340411413402E-2</v>
      </c>
      <c r="AW86" s="100">
        <v>98</v>
      </c>
      <c r="AX86" s="100">
        <v>31</v>
      </c>
      <c r="BB86" s="23">
        <v>0.76470588235294112</v>
      </c>
      <c r="BC86" s="23">
        <v>0.6470588235294118</v>
      </c>
      <c r="BD86" s="23">
        <v>0.94117647058823528</v>
      </c>
      <c r="BE86" s="23">
        <v>0.55555555555555558</v>
      </c>
      <c r="BF86" s="23">
        <v>0.6</v>
      </c>
      <c r="BH86" s="23">
        <v>0.71621621621621623</v>
      </c>
      <c r="BK86" s="23">
        <v>7.7348066298342538E-2</v>
      </c>
      <c r="BL86" s="23">
        <v>3.8674033149171269E-2</v>
      </c>
      <c r="BM86" s="23">
        <v>0.24309392265193369</v>
      </c>
      <c r="BN86" s="23">
        <v>0.64088397790055252</v>
      </c>
      <c r="BR86" s="23">
        <v>0.65569620253164562</v>
      </c>
      <c r="BS86" s="23">
        <v>0.54022988505747127</v>
      </c>
      <c r="BT86" s="23">
        <v>0.73173970783532538</v>
      </c>
      <c r="BU86" s="23">
        <v>0.61290322580645162</v>
      </c>
      <c r="BV86" s="23">
        <v>0.57746478873239437</v>
      </c>
      <c r="BW86" s="23">
        <v>0.16326530612244897</v>
      </c>
      <c r="CA86" s="23">
        <v>0.56417910447761199</v>
      </c>
      <c r="CB86" s="23">
        <v>0.71621621621621623</v>
      </c>
      <c r="CC86" s="23">
        <v>0.6835016835016835</v>
      </c>
      <c r="CD86" s="23">
        <v>0.68110236220472442</v>
      </c>
      <c r="CE86" s="23">
        <v>0.62311557788944727</v>
      </c>
      <c r="CF86" s="23">
        <v>0.61904761904761907</v>
      </c>
      <c r="CK86" s="23">
        <v>1.9920318725099601E-2</v>
      </c>
      <c r="CL86" s="23">
        <v>0.15</v>
      </c>
      <c r="CM86" s="23">
        <v>0.19540229885057472</v>
      </c>
      <c r="CN86" s="23">
        <v>0.43023255813953487</v>
      </c>
      <c r="CO86" s="23">
        <v>0.40579710144927539</v>
      </c>
      <c r="CP86" s="23">
        <v>0.22222222222222221</v>
      </c>
    </row>
    <row r="87" spans="3:94" x14ac:dyDescent="0.25">
      <c r="C87" s="21">
        <v>22.922636103151863</v>
      </c>
      <c r="D87" s="21">
        <v>68.047337278106511</v>
      </c>
      <c r="E87" s="21">
        <v>43.835616438356162</v>
      </c>
      <c r="F87" s="21">
        <v>58.171745152354568</v>
      </c>
      <c r="G87" s="21">
        <v>28.846153846153847</v>
      </c>
      <c r="H87" s="21">
        <v>3.6363636363636362</v>
      </c>
      <c r="K87" s="23">
        <v>0</v>
      </c>
      <c r="L87" s="23">
        <v>11.111111111111111</v>
      </c>
      <c r="M87" s="23">
        <v>10.897435897435898</v>
      </c>
      <c r="N87" s="23">
        <v>26.086956521739129</v>
      </c>
      <c r="O87" s="23">
        <v>0</v>
      </c>
      <c r="P87" s="23">
        <v>11.656441717791409</v>
      </c>
      <c r="Q87" s="23">
        <v>27.586206896551722</v>
      </c>
      <c r="R87" s="23">
        <v>27.27272727272727</v>
      </c>
      <c r="V87" s="23">
        <v>0.21199999999999999</v>
      </c>
      <c r="W87" s="23">
        <v>0.2155</v>
      </c>
      <c r="X87" s="23">
        <v>0.3765</v>
      </c>
      <c r="Y87" s="23">
        <v>0.121</v>
      </c>
      <c r="Z87" s="23">
        <v>2.8500000000000001E-2</v>
      </c>
      <c r="AA87" s="23">
        <v>4.65E-2</v>
      </c>
      <c r="AE87" s="23">
        <v>4.5845272206303724E-2</v>
      </c>
      <c r="AF87" s="23">
        <v>9.1715976331360943E-2</v>
      </c>
      <c r="AG87" s="23">
        <v>6.8493150684931503E-2</v>
      </c>
      <c r="AH87" s="23">
        <v>4.4321329639889197E-2</v>
      </c>
      <c r="AI87" s="23">
        <v>1.282051282051282E-2</v>
      </c>
      <c r="AJ87" s="23">
        <v>3.6363636363636364E-3</v>
      </c>
      <c r="AO87" s="23">
        <v>1.5290519877675841E-2</v>
      </c>
      <c r="AP87" s="23">
        <v>3.484320557491289E-2</v>
      </c>
      <c r="AQ87" s="23">
        <v>4.8442906574394463E-2</v>
      </c>
      <c r="AR87" s="23">
        <v>5.3846153846153849E-2</v>
      </c>
      <c r="AS87" s="23">
        <v>0.10256410256410256</v>
      </c>
      <c r="AT87" s="23">
        <v>0.08</v>
      </c>
      <c r="AU87" s="23">
        <v>4.9224544841537425E-2</v>
      </c>
      <c r="AW87" s="100">
        <v>93</v>
      </c>
      <c r="AX87" s="100">
        <v>36.5</v>
      </c>
      <c r="BB87" s="23">
        <v>0.8666666666666667</v>
      </c>
      <c r="BC87" s="23">
        <v>0.82608695652173914</v>
      </c>
      <c r="BD87" s="23">
        <v>0.83333333333333337</v>
      </c>
      <c r="BE87" s="23">
        <v>0.66666666666666663</v>
      </c>
      <c r="BF87" s="23">
        <v>0.66666666666666663</v>
      </c>
      <c r="BG87" s="23">
        <v>0</v>
      </c>
      <c r="BH87" s="23">
        <v>0.78082191780821919</v>
      </c>
      <c r="BK87" s="23">
        <v>0.16756756756756758</v>
      </c>
      <c r="BL87" s="23">
        <v>8.1081081081081086E-2</v>
      </c>
      <c r="BM87" s="23">
        <v>0.20540540540540542</v>
      </c>
      <c r="BN87" s="23">
        <v>0.54594594594594592</v>
      </c>
      <c r="BR87" s="23">
        <v>0.66273584905660377</v>
      </c>
      <c r="BS87" s="23">
        <v>0.53596287703016243</v>
      </c>
      <c r="BT87" s="23">
        <v>0.7211155378486056</v>
      </c>
      <c r="BU87" s="23">
        <v>0.65702479338842978</v>
      </c>
      <c r="BV87" s="23">
        <v>0.64912280701754388</v>
      </c>
      <c r="BW87" s="23">
        <v>0.16129032258064516</v>
      </c>
      <c r="CA87" s="23">
        <v>0.51987767584097855</v>
      </c>
      <c r="CB87" s="23">
        <v>0.7142857142857143</v>
      </c>
      <c r="CC87" s="23">
        <v>0.72664359861591699</v>
      </c>
      <c r="CD87" s="23">
        <v>0.68846153846153846</v>
      </c>
      <c r="CE87" s="23">
        <v>0.6</v>
      </c>
      <c r="CF87" s="23">
        <v>0.71199999999999997</v>
      </c>
      <c r="CK87" s="23">
        <v>3.017241379310345E-2</v>
      </c>
      <c r="CL87" s="23">
        <v>0.16346153846153846</v>
      </c>
      <c r="CM87" s="23">
        <v>0.27906976744186046</v>
      </c>
      <c r="CN87" s="23">
        <v>0.25301204819277107</v>
      </c>
      <c r="CO87" s="23">
        <v>0.39130434782608697</v>
      </c>
      <c r="CP87" s="23">
        <v>0.28846153846153844</v>
      </c>
    </row>
    <row r="88" spans="3:94" x14ac:dyDescent="0.25">
      <c r="C88" s="21">
        <v>42.134831460674157</v>
      </c>
      <c r="D88" s="21">
        <v>53.731343283582092</v>
      </c>
      <c r="E88" s="21">
        <v>48.913043478260867</v>
      </c>
      <c r="F88" s="21">
        <v>58.659217877094974</v>
      </c>
      <c r="G88" s="21">
        <v>26.058631921824105</v>
      </c>
      <c r="H88" s="21">
        <v>3.6231884057971016</v>
      </c>
      <c r="K88" s="23">
        <v>0</v>
      </c>
      <c r="L88" s="23">
        <v>1.5384615384615385</v>
      </c>
      <c r="M88" s="23">
        <v>11.111111111111111</v>
      </c>
      <c r="N88" s="23">
        <v>7.1428571428571423</v>
      </c>
      <c r="O88" s="23">
        <v>0</v>
      </c>
      <c r="P88" s="23">
        <v>15</v>
      </c>
      <c r="Q88" s="23">
        <v>18.032786885245901</v>
      </c>
      <c r="R88" s="23">
        <v>13.043478260869565</v>
      </c>
      <c r="V88" s="23">
        <v>0.185</v>
      </c>
      <c r="W88" s="23">
        <v>0.22950000000000001</v>
      </c>
      <c r="X88" s="23">
        <v>0.3795</v>
      </c>
      <c r="Y88" s="23">
        <v>0.125</v>
      </c>
      <c r="Z88" s="23">
        <v>3.95E-2</v>
      </c>
      <c r="AA88" s="23">
        <v>4.1500000000000002E-2</v>
      </c>
      <c r="AE88" s="23">
        <v>2.247191011235955E-2</v>
      </c>
      <c r="AF88" s="23">
        <v>6.2686567164179099E-2</v>
      </c>
      <c r="AG88" s="23">
        <v>5.9782608695652176E-2</v>
      </c>
      <c r="AH88" s="23">
        <v>7.5418994413407825E-2</v>
      </c>
      <c r="AI88" s="23">
        <v>1.6286644951140065E-2</v>
      </c>
      <c r="AJ88" s="23">
        <v>0</v>
      </c>
      <c r="AO88" s="23">
        <v>1.4534883720930232E-2</v>
      </c>
      <c r="AP88" s="23">
        <v>3.9473684210526314E-2</v>
      </c>
      <c r="AQ88" s="23">
        <v>8.8815789473684209E-2</v>
      </c>
      <c r="AR88" s="23">
        <v>5.8139534883720929E-2</v>
      </c>
      <c r="AS88" s="23">
        <v>8.8785046728971959E-2</v>
      </c>
      <c r="AT88" s="23">
        <v>8.1300813008130079E-2</v>
      </c>
      <c r="AU88" s="23">
        <v>5.6884292178409825E-2</v>
      </c>
      <c r="AW88" s="100">
        <v>83</v>
      </c>
      <c r="AX88" s="100">
        <v>44</v>
      </c>
      <c r="BB88" s="23">
        <v>0.5714285714285714</v>
      </c>
      <c r="BC88" s="23">
        <v>0.8571428571428571</v>
      </c>
      <c r="BD88" s="23">
        <v>0.77777777777777779</v>
      </c>
      <c r="BE88" s="23">
        <v>0.73684210526315785</v>
      </c>
      <c r="BF88" s="23">
        <v>0.2</v>
      </c>
      <c r="BH88" s="23">
        <v>0.7142857142857143</v>
      </c>
      <c r="BK88" s="23">
        <v>0.10416666666666667</v>
      </c>
      <c r="BL88" s="23">
        <v>8.3333333333333329E-2</v>
      </c>
      <c r="BM88" s="23">
        <v>0.22222222222222221</v>
      </c>
      <c r="BN88" s="23">
        <v>0.59027777777777779</v>
      </c>
      <c r="BR88" s="23">
        <v>0.6216216216216216</v>
      </c>
      <c r="BS88" s="23">
        <v>0.56209150326797386</v>
      </c>
      <c r="BT88" s="23">
        <v>0.70750988142292492</v>
      </c>
      <c r="BU88" s="23">
        <v>0.65600000000000003</v>
      </c>
      <c r="BV88" s="23">
        <v>0.63291139240506333</v>
      </c>
      <c r="BW88" s="23">
        <v>0.18072289156626506</v>
      </c>
      <c r="CA88" s="23">
        <v>0.58720930232558144</v>
      </c>
      <c r="CB88" s="23">
        <v>0.71381578947368418</v>
      </c>
      <c r="CC88" s="23">
        <v>0.68092105263157898</v>
      </c>
      <c r="CD88" s="23">
        <v>0.66279069767441856</v>
      </c>
      <c r="CE88" s="23">
        <v>0.60280373831775702</v>
      </c>
      <c r="CF88" s="23">
        <v>0.67479674796747968</v>
      </c>
      <c r="CK88" s="23">
        <v>2.2388059701492536E-2</v>
      </c>
      <c r="CL88" s="23">
        <v>0.15887850467289719</v>
      </c>
      <c r="CM88" s="23">
        <v>0.34693877551020408</v>
      </c>
      <c r="CN88" s="23">
        <v>0.36249999999999999</v>
      </c>
      <c r="CO88" s="23">
        <v>0.37037037037037035</v>
      </c>
      <c r="CP88" s="23">
        <v>0.28301886792452829</v>
      </c>
    </row>
    <row r="89" spans="3:94" x14ac:dyDescent="0.25">
      <c r="C89" s="21">
        <v>28.011204481792717</v>
      </c>
      <c r="D89" s="21">
        <v>66.265060240963862</v>
      </c>
      <c r="E89" s="21">
        <v>51.771117166212534</v>
      </c>
      <c r="F89" s="21">
        <v>83.333333333333329</v>
      </c>
      <c r="G89" s="21">
        <v>29.315960912052116</v>
      </c>
      <c r="H89" s="21">
        <v>7.2202166064981945</v>
      </c>
      <c r="K89" s="23">
        <v>0</v>
      </c>
      <c r="L89" s="23">
        <v>11.29032258064516</v>
      </c>
      <c r="M89" s="23">
        <v>12.538226299694188</v>
      </c>
      <c r="N89" s="23">
        <v>8.3333333333333321</v>
      </c>
      <c r="O89" s="23">
        <v>0</v>
      </c>
      <c r="P89" s="23">
        <v>19.49685534591195</v>
      </c>
      <c r="Q89" s="23">
        <v>29.310344827586203</v>
      </c>
      <c r="R89" s="23">
        <v>6.0606060606060606</v>
      </c>
      <c r="V89" s="23">
        <v>0.21299999999999999</v>
      </c>
      <c r="W89" s="23">
        <v>0.21299999999999999</v>
      </c>
      <c r="X89" s="23">
        <v>0.35749999999999998</v>
      </c>
      <c r="Y89" s="23">
        <v>0.13600000000000001</v>
      </c>
      <c r="Z89" s="23">
        <v>2.9000000000000001E-2</v>
      </c>
      <c r="AA89" s="23">
        <v>5.1499999999999997E-2</v>
      </c>
      <c r="AE89" s="23">
        <v>4.4817927170868348E-2</v>
      </c>
      <c r="AF89" s="23">
        <v>7.5301204819277115E-2</v>
      </c>
      <c r="AG89" s="23">
        <v>9.5367847411444148E-2</v>
      </c>
      <c r="AH89" s="23">
        <v>5.5555555555555552E-2</v>
      </c>
      <c r="AI89" s="23">
        <v>2.2801302931596091E-2</v>
      </c>
      <c r="AJ89" s="23">
        <v>0</v>
      </c>
      <c r="AO89" s="23">
        <v>2.976190476190476E-3</v>
      </c>
      <c r="AP89" s="23">
        <v>3.7414965986394558E-2</v>
      </c>
      <c r="AQ89" s="23">
        <v>4.878048780487805E-2</v>
      </c>
      <c r="AR89" s="23">
        <v>4.878048780487805E-2</v>
      </c>
      <c r="AS89" s="23">
        <v>7.179487179487179E-2</v>
      </c>
      <c r="AT89" s="23">
        <v>9.7345132743362831E-2</v>
      </c>
      <c r="AU89" s="23">
        <v>4.2828008157715841E-2</v>
      </c>
      <c r="AW89" s="100">
        <v>103</v>
      </c>
      <c r="AX89" s="100">
        <v>31.5</v>
      </c>
      <c r="BB89" s="23">
        <v>0.7857142857142857</v>
      </c>
      <c r="BC89" s="23">
        <v>0.7142857142857143</v>
      </c>
      <c r="BD89" s="23">
        <v>0.84615384615384615</v>
      </c>
      <c r="BE89" s="23">
        <v>0.9285714285714286</v>
      </c>
      <c r="BF89" s="23">
        <v>0.66666666666666663</v>
      </c>
      <c r="BH89" s="23">
        <v>0.80769230769230771</v>
      </c>
      <c r="BK89" s="23">
        <v>9.8039215686274508E-2</v>
      </c>
      <c r="BL89" s="23">
        <v>3.4313725490196081E-2</v>
      </c>
      <c r="BM89" s="23">
        <v>0.28921568627450983</v>
      </c>
      <c r="BN89" s="23">
        <v>0.57843137254901966</v>
      </c>
      <c r="BR89" s="23">
        <v>0.66666666666666663</v>
      </c>
      <c r="BS89" s="23">
        <v>0.49061032863849763</v>
      </c>
      <c r="BT89" s="23">
        <v>0.71048951048951048</v>
      </c>
      <c r="BU89" s="23">
        <v>0.59191176470588236</v>
      </c>
      <c r="BV89" s="23">
        <v>0.72413793103448276</v>
      </c>
      <c r="BW89" s="23">
        <v>0.14563106796116504</v>
      </c>
      <c r="CA89" s="23">
        <v>0.55059523809523814</v>
      </c>
      <c r="CB89" s="23">
        <v>0.64965986394557829</v>
      </c>
      <c r="CC89" s="23">
        <v>0.68989547038327526</v>
      </c>
      <c r="CD89" s="23">
        <v>0.63008130081300817</v>
      </c>
      <c r="CE89" s="23">
        <v>0.6</v>
      </c>
      <c r="CF89" s="23">
        <v>0.65486725663716816</v>
      </c>
      <c r="CK89" s="23">
        <v>8.1967213114754103E-3</v>
      </c>
      <c r="CL89" s="23">
        <v>0.17647058823529413</v>
      </c>
      <c r="CM89" s="23">
        <v>0.23529411764705882</v>
      </c>
      <c r="CN89" s="23">
        <v>0.36507936507936506</v>
      </c>
      <c r="CO89" s="23">
        <v>0.28749999999999998</v>
      </c>
      <c r="CP89" s="23">
        <v>0.2978723404255319</v>
      </c>
    </row>
    <row r="90" spans="3:94" x14ac:dyDescent="0.25">
      <c r="C90" s="21">
        <v>44.444444444444443</v>
      </c>
      <c r="D90" s="21">
        <v>69.696969696969703</v>
      </c>
      <c r="E90" s="21">
        <v>68.119891008174392</v>
      </c>
      <c r="F90" s="21">
        <v>63.18681318681319</v>
      </c>
      <c r="G90" s="21">
        <v>16.33986928104575</v>
      </c>
      <c r="H90" s="21">
        <v>10.989010989010989</v>
      </c>
      <c r="K90" s="23">
        <v>0</v>
      </c>
      <c r="L90" s="23">
        <v>4.6153846153846159</v>
      </c>
      <c r="M90" s="23">
        <v>9.375</v>
      </c>
      <c r="N90" s="23">
        <v>0</v>
      </c>
      <c r="O90" s="23">
        <v>0</v>
      </c>
      <c r="P90" s="23">
        <v>23.178807947019866</v>
      </c>
      <c r="Q90" s="23">
        <v>26.865671641791046</v>
      </c>
      <c r="R90" s="23">
        <v>41.666666666666671</v>
      </c>
      <c r="V90" s="23">
        <v>0.20050000000000001</v>
      </c>
      <c r="W90" s="23">
        <v>0.22850000000000001</v>
      </c>
      <c r="X90" s="23">
        <v>0.36699999999999999</v>
      </c>
      <c r="Y90" s="23">
        <v>0.13700000000000001</v>
      </c>
      <c r="Z90" s="23">
        <v>1.95E-2</v>
      </c>
      <c r="AA90" s="23">
        <v>4.7500000000000001E-2</v>
      </c>
      <c r="AE90" s="23">
        <v>3.3333333333333333E-2</v>
      </c>
      <c r="AF90" s="23">
        <v>8.7878787878787876E-2</v>
      </c>
      <c r="AG90" s="23">
        <v>6.8119891008174394E-2</v>
      </c>
      <c r="AH90" s="23">
        <v>5.21978021978022E-2</v>
      </c>
      <c r="AI90" s="23">
        <v>2.6143790849673203E-2</v>
      </c>
      <c r="AJ90" s="23">
        <v>7.326007326007326E-3</v>
      </c>
      <c r="AO90" s="23">
        <v>1.4409221902017291E-2</v>
      </c>
      <c r="AP90" s="23">
        <v>3.1034482758620689E-2</v>
      </c>
      <c r="AQ90" s="23">
        <v>3.6544850498338874E-2</v>
      </c>
      <c r="AR90" s="23">
        <v>6.9387755102040816E-2</v>
      </c>
      <c r="AS90" s="23">
        <v>6.8062827225130892E-2</v>
      </c>
      <c r="AT90" s="23">
        <v>6.9230769230769235E-2</v>
      </c>
      <c r="AU90" s="23">
        <v>4.2553191489361701E-2</v>
      </c>
      <c r="AW90" s="100">
        <v>95</v>
      </c>
      <c r="AX90" s="100">
        <v>32</v>
      </c>
      <c r="BB90" s="23">
        <v>0.8</v>
      </c>
      <c r="BC90" s="23">
        <v>0.94736842105263153</v>
      </c>
      <c r="BD90" s="23">
        <v>0.88888888888888884</v>
      </c>
      <c r="BE90" s="23">
        <v>0.69230769230769229</v>
      </c>
      <c r="BF90" s="23">
        <v>0.83333333333333337</v>
      </c>
      <c r="BG90" s="23">
        <v>0</v>
      </c>
      <c r="BH90" s="23">
        <v>0.83582089552238803</v>
      </c>
      <c r="BK90" s="23">
        <v>8.7179487179487175E-2</v>
      </c>
      <c r="BL90" s="23">
        <v>2.0512820512820513E-2</v>
      </c>
      <c r="BM90" s="23">
        <v>0.25128205128205128</v>
      </c>
      <c r="BN90" s="23">
        <v>0.64102564102564108</v>
      </c>
      <c r="BR90" s="23">
        <v>0.60099750623441395</v>
      </c>
      <c r="BS90" s="23">
        <v>0.49015317286652077</v>
      </c>
      <c r="BT90" s="23">
        <v>0.73841961852861038</v>
      </c>
      <c r="BU90" s="23">
        <v>0.56934306569343063</v>
      </c>
      <c r="BV90" s="23">
        <v>0.64102564102564108</v>
      </c>
      <c r="BW90" s="23">
        <v>0.2</v>
      </c>
      <c r="CA90" s="23">
        <v>0.48414985590778098</v>
      </c>
      <c r="CB90" s="23">
        <v>0.7</v>
      </c>
      <c r="CC90" s="23">
        <v>0.68770764119601324</v>
      </c>
      <c r="CD90" s="23">
        <v>0.68979591836734699</v>
      </c>
      <c r="CE90" s="23">
        <v>0.64921465968586389</v>
      </c>
      <c r="CF90" s="23">
        <v>0.58461538461538465</v>
      </c>
      <c r="CK90" s="23">
        <v>3.8167938931297711E-2</v>
      </c>
      <c r="CL90" s="23">
        <v>0.13592233009708737</v>
      </c>
      <c r="CM90" s="23">
        <v>0.22784810126582278</v>
      </c>
      <c r="CN90" s="23">
        <v>0.32467532467532467</v>
      </c>
      <c r="CO90" s="23">
        <v>0.30666666666666664</v>
      </c>
      <c r="CP90" s="23">
        <v>0.2</v>
      </c>
    </row>
    <row r="91" spans="3:94" x14ac:dyDescent="0.25">
      <c r="C91" s="21">
        <v>50.70422535211268</v>
      </c>
      <c r="D91" s="21">
        <v>53.892215568862277</v>
      </c>
      <c r="E91" s="21">
        <v>71.038251366120221</v>
      </c>
      <c r="F91" s="21">
        <v>57.692307692307693</v>
      </c>
      <c r="G91" s="21">
        <v>23.255813953488371</v>
      </c>
      <c r="H91" s="21">
        <v>3.5714285714285716</v>
      </c>
      <c r="K91" s="23">
        <v>0</v>
      </c>
      <c r="L91" s="23">
        <v>5.0632911392405067</v>
      </c>
      <c r="M91" s="23">
        <v>10.759493670886076</v>
      </c>
      <c r="N91" s="23">
        <v>0</v>
      </c>
      <c r="O91" s="23">
        <v>0</v>
      </c>
      <c r="P91" s="23">
        <v>15.822784810126583</v>
      </c>
      <c r="Q91" s="23">
        <v>24</v>
      </c>
      <c r="R91" s="23">
        <v>17.391304347826086</v>
      </c>
      <c r="V91" s="23">
        <v>0.20599999999999999</v>
      </c>
      <c r="W91" s="23">
        <v>0.20300000000000001</v>
      </c>
      <c r="X91" s="23">
        <v>0.3765</v>
      </c>
      <c r="Y91" s="23">
        <v>0.13600000000000001</v>
      </c>
      <c r="Z91" s="23">
        <v>3.4500000000000003E-2</v>
      </c>
      <c r="AA91" s="23">
        <v>4.3999999999999997E-2</v>
      </c>
      <c r="AE91" s="23">
        <v>2.8169014084507043E-2</v>
      </c>
      <c r="AF91" s="23">
        <v>7.1856287425149698E-2</v>
      </c>
      <c r="AG91" s="23">
        <v>9.0163934426229511E-2</v>
      </c>
      <c r="AH91" s="23">
        <v>4.1208791208791208E-2</v>
      </c>
      <c r="AI91" s="23">
        <v>1.6611295681063124E-2</v>
      </c>
      <c r="AJ91" s="23">
        <v>3.5714285714285713E-3</v>
      </c>
      <c r="AO91" s="23">
        <v>1.1764705882352941E-2</v>
      </c>
      <c r="AP91" s="23">
        <v>2.6845637583892617E-2</v>
      </c>
      <c r="AQ91" s="23">
        <v>4.4827586206896551E-2</v>
      </c>
      <c r="AR91" s="23">
        <v>0.10843373493975904</v>
      </c>
      <c r="AS91" s="23">
        <v>9.5000000000000001E-2</v>
      </c>
      <c r="AT91" s="23">
        <v>8.943089430894309E-2</v>
      </c>
      <c r="AU91" s="23">
        <v>5.4666666666666669E-2</v>
      </c>
      <c r="AW91" s="100">
        <v>88</v>
      </c>
      <c r="AX91" s="100">
        <v>41</v>
      </c>
      <c r="BB91" s="23">
        <v>1</v>
      </c>
      <c r="BC91" s="23">
        <v>0.9285714285714286</v>
      </c>
      <c r="BD91" s="23">
        <v>0.91666666666666663</v>
      </c>
      <c r="BE91" s="23">
        <v>0.6</v>
      </c>
      <c r="BF91" s="23">
        <v>0.66666666666666663</v>
      </c>
      <c r="BG91" s="23">
        <v>1</v>
      </c>
      <c r="BH91" s="23">
        <v>0.85245901639344257</v>
      </c>
      <c r="BK91" s="23">
        <v>0.11602209944751381</v>
      </c>
      <c r="BL91" s="23">
        <v>3.8674033149171269E-2</v>
      </c>
      <c r="BM91" s="23">
        <v>0.23756906077348067</v>
      </c>
      <c r="BN91" s="23">
        <v>0.60773480662983426</v>
      </c>
      <c r="BR91" s="23">
        <v>0.63834951456310685</v>
      </c>
      <c r="BS91" s="23">
        <v>0.48029556650246308</v>
      </c>
      <c r="BT91" s="23">
        <v>0.69853917662682607</v>
      </c>
      <c r="BU91" s="23">
        <v>0.62867647058823528</v>
      </c>
      <c r="BV91" s="23">
        <v>0.6376811594202898</v>
      </c>
      <c r="BW91" s="23">
        <v>0.125</v>
      </c>
      <c r="CA91" s="23">
        <v>0.5117647058823529</v>
      </c>
      <c r="CB91" s="23">
        <v>0.6476510067114094</v>
      </c>
      <c r="CC91" s="23">
        <v>0.68965517241379315</v>
      </c>
      <c r="CD91" s="23">
        <v>0.68674698795180722</v>
      </c>
      <c r="CE91" s="23">
        <v>0.63500000000000001</v>
      </c>
      <c r="CF91" s="23">
        <v>0.57723577235772361</v>
      </c>
      <c r="CK91" s="23">
        <v>2.0833333333333332E-2</v>
      </c>
      <c r="CL91" s="23">
        <v>0.14851485148514851</v>
      </c>
      <c r="CM91" s="23">
        <v>0.22972972972972974</v>
      </c>
      <c r="CN91" s="23">
        <v>0.5</v>
      </c>
      <c r="CO91" s="23">
        <v>0.39534883720930231</v>
      </c>
      <c r="CP91" s="23">
        <v>0.39215686274509803</v>
      </c>
    </row>
    <row r="92" spans="3:94" x14ac:dyDescent="0.25">
      <c r="C92" s="21">
        <v>47.486033519553075</v>
      </c>
      <c r="D92" s="21">
        <v>65.671641791044777</v>
      </c>
      <c r="E92" s="21">
        <v>46.703296703296701</v>
      </c>
      <c r="F92" s="21">
        <v>54.794520547945204</v>
      </c>
      <c r="G92" s="21">
        <v>12.987012987012987</v>
      </c>
      <c r="H92" s="21">
        <v>7.4074074074074074</v>
      </c>
      <c r="K92" s="23">
        <v>0</v>
      </c>
      <c r="L92" s="23">
        <v>4.10958904109589</v>
      </c>
      <c r="M92" s="23">
        <v>9.4395280235988199</v>
      </c>
      <c r="N92" s="23">
        <v>9.5238095238095237</v>
      </c>
      <c r="O92" s="23">
        <v>0</v>
      </c>
      <c r="P92" s="23">
        <v>13.20754716981132</v>
      </c>
      <c r="Q92" s="23">
        <v>22.807017543859647</v>
      </c>
      <c r="R92" s="23">
        <v>26.315789473684209</v>
      </c>
      <c r="V92" s="23">
        <v>0.2</v>
      </c>
      <c r="W92" s="23">
        <v>0.20150000000000001</v>
      </c>
      <c r="X92" s="23">
        <v>0.39250000000000002</v>
      </c>
      <c r="Y92" s="23">
        <v>0.13200000000000001</v>
      </c>
      <c r="Z92" s="23">
        <v>2.8000000000000001E-2</v>
      </c>
      <c r="AA92" s="23">
        <v>4.5999999999999999E-2</v>
      </c>
      <c r="AE92" s="23">
        <v>3.9106145251396648E-2</v>
      </c>
      <c r="AF92" s="23">
        <v>7.4626865671641784E-2</v>
      </c>
      <c r="AG92" s="23">
        <v>7.6923076923076927E-2</v>
      </c>
      <c r="AH92" s="23">
        <v>4.6575342465753428E-2</v>
      </c>
      <c r="AI92" s="23">
        <v>1.948051948051948E-2</v>
      </c>
      <c r="AJ92" s="23">
        <v>7.4074074074074077E-3</v>
      </c>
      <c r="AO92" s="23">
        <v>8.8495575221238937E-3</v>
      </c>
      <c r="AP92" s="23">
        <v>4.0677966101694912E-2</v>
      </c>
      <c r="AQ92" s="23">
        <v>6.0402684563758392E-2</v>
      </c>
      <c r="AR92" s="23">
        <v>7.3076923076923081E-2</v>
      </c>
      <c r="AS92" s="23">
        <v>8.7628865979381437E-2</v>
      </c>
      <c r="AT92" s="23">
        <v>0.12295081967213115</v>
      </c>
      <c r="AU92" s="23">
        <v>5.5702917771883291E-2</v>
      </c>
      <c r="AW92" s="100">
        <v>92</v>
      </c>
      <c r="AX92" s="100">
        <v>42</v>
      </c>
      <c r="BB92" s="23">
        <v>0.8</v>
      </c>
      <c r="BC92" s="23">
        <v>0.75</v>
      </c>
      <c r="BD92" s="23">
        <v>0.5714285714285714</v>
      </c>
      <c r="BE92" s="23">
        <v>0.8571428571428571</v>
      </c>
      <c r="BF92" s="23">
        <v>0.75</v>
      </c>
      <c r="BG92" s="23">
        <v>0.5</v>
      </c>
      <c r="BH92" s="23">
        <v>0.734375</v>
      </c>
      <c r="BK92" s="23">
        <v>0.1953125</v>
      </c>
      <c r="BL92" s="23">
        <v>0.125</v>
      </c>
      <c r="BM92" s="23">
        <v>0.203125</v>
      </c>
      <c r="BN92" s="23">
        <v>0.4765625</v>
      </c>
      <c r="BR92" s="23">
        <v>0.61</v>
      </c>
      <c r="BS92" s="23">
        <v>0.49627791563275436</v>
      </c>
      <c r="BT92" s="23">
        <v>0.74394904458598721</v>
      </c>
      <c r="BU92" s="23">
        <v>0.59848484848484851</v>
      </c>
      <c r="BV92" s="23">
        <v>0.7142857142857143</v>
      </c>
      <c r="BW92" s="23">
        <v>8.6956521739130432E-2</v>
      </c>
      <c r="CA92" s="23">
        <v>0.53097345132743368</v>
      </c>
      <c r="CB92" s="23">
        <v>0.70847457627118648</v>
      </c>
      <c r="CC92" s="23">
        <v>0.69463087248322153</v>
      </c>
      <c r="CD92" s="23">
        <v>0.71923076923076923</v>
      </c>
      <c r="CE92" s="23">
        <v>0.634020618556701</v>
      </c>
      <c r="CF92" s="23">
        <v>0.62295081967213117</v>
      </c>
      <c r="CK92" s="23">
        <v>2.0833333333333332E-2</v>
      </c>
      <c r="CL92" s="23">
        <v>0.13461538461538461</v>
      </c>
      <c r="CM92" s="23">
        <v>0.35</v>
      </c>
      <c r="CN92" s="23">
        <v>0.42857142857142855</v>
      </c>
      <c r="CO92" s="23">
        <v>0.34246575342465752</v>
      </c>
      <c r="CP92" s="23">
        <v>0.41176470588235292</v>
      </c>
    </row>
    <row r="93" spans="3:94" x14ac:dyDescent="0.25">
      <c r="C93" s="21">
        <v>28.328611898016998</v>
      </c>
      <c r="D93" s="21">
        <v>56.547619047619051</v>
      </c>
      <c r="E93" s="21">
        <v>63.013698630136986</v>
      </c>
      <c r="F93" s="21">
        <v>49.450549450549453</v>
      </c>
      <c r="G93" s="21">
        <v>16.286644951140065</v>
      </c>
      <c r="H93" s="21">
        <v>0</v>
      </c>
      <c r="K93" s="23">
        <v>0</v>
      </c>
      <c r="L93" s="23">
        <v>4.6875</v>
      </c>
      <c r="M93" s="23">
        <v>12.012012012012011</v>
      </c>
      <c r="N93" s="23">
        <v>9.0909090909090917</v>
      </c>
      <c r="O93" s="23">
        <v>0</v>
      </c>
      <c r="P93" s="23">
        <v>17.283950617283949</v>
      </c>
      <c r="Q93" s="23">
        <v>19.298245614035086</v>
      </c>
      <c r="R93" s="23">
        <v>14.285714285714285</v>
      </c>
      <c r="V93" s="23">
        <v>0.20200000000000001</v>
      </c>
      <c r="W93" s="23">
        <v>0.214</v>
      </c>
      <c r="X93" s="23">
        <v>0.372</v>
      </c>
      <c r="Y93" s="23">
        <v>0.13250000000000001</v>
      </c>
      <c r="Z93" s="23">
        <v>3.3500000000000002E-2</v>
      </c>
      <c r="AA93" s="23">
        <v>4.5999999999999999E-2</v>
      </c>
      <c r="AE93" s="23">
        <v>3.39943342776204E-2</v>
      </c>
      <c r="AF93" s="23">
        <v>8.0357142857142863E-2</v>
      </c>
      <c r="AG93" s="23">
        <v>5.2054794520547946E-2</v>
      </c>
      <c r="AH93" s="23">
        <v>6.8681318681318687E-2</v>
      </c>
      <c r="AI93" s="23">
        <v>2.9315960912052116E-2</v>
      </c>
      <c r="AJ93" s="23">
        <v>0</v>
      </c>
      <c r="AO93" s="23">
        <v>2.976190476190476E-3</v>
      </c>
      <c r="AP93" s="23">
        <v>0.04</v>
      </c>
      <c r="AQ93" s="23">
        <v>5.4421768707482991E-2</v>
      </c>
      <c r="AR93" s="23">
        <v>8.8709677419354843E-2</v>
      </c>
      <c r="AS93" s="23">
        <v>6.7307692307692304E-2</v>
      </c>
      <c r="AT93" s="23">
        <v>8.4745762711864403E-2</v>
      </c>
      <c r="AU93" s="23">
        <v>4.9867021276595744E-2</v>
      </c>
      <c r="AW93" s="100">
        <v>92</v>
      </c>
      <c r="AX93" s="100">
        <v>37.5</v>
      </c>
      <c r="BB93" s="23">
        <v>0.88888888888888884</v>
      </c>
      <c r="BC93" s="23">
        <v>0.89473684210526316</v>
      </c>
      <c r="BD93" s="23">
        <v>0.5714285714285714</v>
      </c>
      <c r="BE93" s="23">
        <v>0.77777777777777779</v>
      </c>
      <c r="BF93" s="23">
        <v>0.44444444444444442</v>
      </c>
      <c r="BH93" s="23">
        <v>0.73913043478260865</v>
      </c>
      <c r="BK93" s="23">
        <v>5.8823529411764705E-2</v>
      </c>
      <c r="BL93" s="23">
        <v>4.1176470588235294E-2</v>
      </c>
      <c r="BM93" s="23">
        <v>0.28823529411764703</v>
      </c>
      <c r="BN93" s="23">
        <v>0.61176470588235299</v>
      </c>
      <c r="BR93" s="23">
        <v>0.63613861386138615</v>
      </c>
      <c r="BS93" s="23">
        <v>0.48598130841121495</v>
      </c>
      <c r="BT93" s="23">
        <v>0.71505376344086025</v>
      </c>
      <c r="BU93" s="23">
        <v>0.62641509433962261</v>
      </c>
      <c r="BV93" s="23">
        <v>0.65671641791044777</v>
      </c>
      <c r="BW93" s="23">
        <v>0.19565217391304349</v>
      </c>
      <c r="CA93" s="23">
        <v>0.52083333333333337</v>
      </c>
      <c r="CB93" s="23">
        <v>0.69666666666666666</v>
      </c>
      <c r="CC93" s="23">
        <v>0.66666666666666663</v>
      </c>
      <c r="CD93" s="23">
        <v>0.66935483870967738</v>
      </c>
      <c r="CE93" s="23">
        <v>0.60576923076923073</v>
      </c>
      <c r="CF93" s="23">
        <v>0.66101694915254239</v>
      </c>
      <c r="CK93" s="23">
        <v>2.9166666666666667E-2</v>
      </c>
      <c r="CL93" s="23">
        <v>0.17924528301886791</v>
      </c>
      <c r="CM93" s="23">
        <v>0.26595744680851063</v>
      </c>
      <c r="CN93" s="23">
        <v>0.3902439024390244</v>
      </c>
      <c r="CO93" s="23">
        <v>0.41176470588235292</v>
      </c>
      <c r="CP93" s="23">
        <v>0.2857142857142857</v>
      </c>
    </row>
    <row r="94" spans="3:94" x14ac:dyDescent="0.25">
      <c r="C94" s="21">
        <v>44.943820224719104</v>
      </c>
      <c r="D94" s="21">
        <v>53.731343283582092</v>
      </c>
      <c r="E94" s="21">
        <v>59.945504087193463</v>
      </c>
      <c r="F94" s="21">
        <v>78.212290502793294</v>
      </c>
      <c r="G94" s="21">
        <v>16.181229773462782</v>
      </c>
      <c r="H94" s="21">
        <v>3.6363636363636362</v>
      </c>
      <c r="K94" s="23">
        <v>0</v>
      </c>
      <c r="L94" s="23">
        <v>2.9411764705882351</v>
      </c>
      <c r="M94" s="23">
        <v>11.838006230529595</v>
      </c>
      <c r="N94" s="23">
        <v>11.538461538461538</v>
      </c>
      <c r="O94" s="23">
        <v>0</v>
      </c>
      <c r="P94" s="23">
        <v>15.646258503401361</v>
      </c>
      <c r="Q94" s="23">
        <v>10.714285714285714</v>
      </c>
      <c r="R94" s="23">
        <v>29.629629629629626</v>
      </c>
      <c r="V94" s="23">
        <v>0.20449999999999999</v>
      </c>
      <c r="W94" s="23">
        <v>0.2135</v>
      </c>
      <c r="X94" s="23">
        <v>0.3745</v>
      </c>
      <c r="Y94" s="23">
        <v>0.13600000000000001</v>
      </c>
      <c r="Z94" s="23">
        <v>3.15E-2</v>
      </c>
      <c r="AA94" s="23">
        <v>0.04</v>
      </c>
      <c r="AE94" s="23">
        <v>3.9325842696629212E-2</v>
      </c>
      <c r="AF94" s="23">
        <v>6.5671641791044774E-2</v>
      </c>
      <c r="AG94" s="23">
        <v>5.4495912806539509E-2</v>
      </c>
      <c r="AH94" s="23">
        <v>5.027932960893855E-2</v>
      </c>
      <c r="AI94" s="23">
        <v>1.9417475728155338E-2</v>
      </c>
      <c r="AJ94" s="23">
        <v>0</v>
      </c>
      <c r="AO94" s="23">
        <v>1.4792899408284023E-2</v>
      </c>
      <c r="AP94" s="23">
        <v>2.6578073089700997E-2</v>
      </c>
      <c r="AQ94" s="23">
        <v>5.3156146179401995E-2</v>
      </c>
      <c r="AR94" s="23">
        <v>5.905511811023622E-2</v>
      </c>
      <c r="AS94" s="23">
        <v>9.4527363184079602E-2</v>
      </c>
      <c r="AT94" s="23">
        <v>8.6206896551724144E-2</v>
      </c>
      <c r="AU94" s="23">
        <v>4.8312375909993384E-2</v>
      </c>
      <c r="AW94" s="100">
        <v>80</v>
      </c>
      <c r="AX94" s="100">
        <v>36.5</v>
      </c>
      <c r="BB94" s="23">
        <v>0.84615384615384615</v>
      </c>
      <c r="BC94" s="23">
        <v>0.7857142857142857</v>
      </c>
      <c r="BD94" s="23">
        <v>0.83333333333333337</v>
      </c>
      <c r="BE94" s="23">
        <v>0.68421052631578949</v>
      </c>
      <c r="BF94" s="23">
        <v>1</v>
      </c>
      <c r="BH94" s="23">
        <v>0.78688524590163933</v>
      </c>
      <c r="BK94" s="23">
        <v>6.3380281690140844E-2</v>
      </c>
      <c r="BL94" s="23">
        <v>4.9295774647887321E-2</v>
      </c>
      <c r="BM94" s="23">
        <v>0.33098591549295775</v>
      </c>
      <c r="BN94" s="23">
        <v>0.55633802816901412</v>
      </c>
      <c r="BR94" s="23">
        <v>0.61369193154034229</v>
      </c>
      <c r="BS94" s="23">
        <v>0.51288056206088994</v>
      </c>
      <c r="BT94" s="23">
        <v>0.69292389853137515</v>
      </c>
      <c r="BU94" s="23">
        <v>0.5625</v>
      </c>
      <c r="BV94" s="23">
        <v>0.63492063492063489</v>
      </c>
      <c r="BW94" s="23">
        <v>0.2</v>
      </c>
      <c r="CA94" s="23">
        <v>0.52071005917159763</v>
      </c>
      <c r="CB94" s="23">
        <v>0.62790697674418605</v>
      </c>
      <c r="CC94" s="23">
        <v>0.69435215946843853</v>
      </c>
      <c r="CD94" s="23">
        <v>0.65354330708661412</v>
      </c>
      <c r="CE94" s="23">
        <v>0.61691542288557211</v>
      </c>
      <c r="CF94" s="23">
        <v>0.57758620689655171</v>
      </c>
      <c r="CK94" s="23">
        <v>2.8112449799196786E-2</v>
      </c>
      <c r="CL94" s="23">
        <v>0.14432989690721648</v>
      </c>
      <c r="CM94" s="23">
        <v>0.32222222222222224</v>
      </c>
      <c r="CN94" s="23">
        <v>0.37349397590361444</v>
      </c>
      <c r="CO94" s="23">
        <v>0.421875</v>
      </c>
      <c r="CP94" s="23">
        <v>0.31372549019607843</v>
      </c>
    </row>
    <row r="95" spans="3:94" x14ac:dyDescent="0.25">
      <c r="C95" s="21">
        <v>27.777777777777779</v>
      </c>
      <c r="D95" s="21">
        <v>73.170731707317074</v>
      </c>
      <c r="E95" s="21">
        <v>58.981233243967829</v>
      </c>
      <c r="F95" s="21">
        <v>64.066852367688028</v>
      </c>
      <c r="G95" s="21">
        <v>19.736842105263158</v>
      </c>
      <c r="H95" s="21">
        <v>10.869565217391305</v>
      </c>
      <c r="K95" s="23">
        <v>0</v>
      </c>
      <c r="L95" s="23">
        <v>4.10958904109589</v>
      </c>
      <c r="M95" s="23">
        <v>7.5907590759075907</v>
      </c>
      <c r="N95" s="23">
        <v>9.0909090909090917</v>
      </c>
      <c r="O95" s="23">
        <v>0.55555555555555558</v>
      </c>
      <c r="P95" s="23">
        <v>20.382165605095544</v>
      </c>
      <c r="Q95" s="23">
        <v>29.577464788732392</v>
      </c>
      <c r="R95" s="23">
        <v>18.75</v>
      </c>
      <c r="V95" s="23">
        <v>0.20349999999999999</v>
      </c>
      <c r="W95" s="23">
        <v>0.22850000000000001</v>
      </c>
      <c r="X95" s="23">
        <v>0.39100000000000001</v>
      </c>
      <c r="Y95" s="23">
        <v>0.1105</v>
      </c>
      <c r="Z95" s="23">
        <v>2.5999999999999999E-2</v>
      </c>
      <c r="AA95" s="23">
        <v>4.0500000000000001E-2</v>
      </c>
      <c r="AE95" s="23">
        <v>1.9444444444444445E-2</v>
      </c>
      <c r="AF95" s="23">
        <v>6.7073170731707321E-2</v>
      </c>
      <c r="AG95" s="23">
        <v>7.2386058981233251E-2</v>
      </c>
      <c r="AH95" s="23">
        <v>3.6211699164345405E-2</v>
      </c>
      <c r="AI95" s="23">
        <v>3.6184210526315791E-2</v>
      </c>
      <c r="AJ95" s="23">
        <v>3.6231884057971015E-3</v>
      </c>
      <c r="AO95" s="23">
        <v>8.5470085470085479E-3</v>
      </c>
      <c r="AP95" s="23">
        <v>2.3972602739726026E-2</v>
      </c>
      <c r="AQ95" s="23">
        <v>4.6511627906976744E-2</v>
      </c>
      <c r="AR95" s="23">
        <v>5.2208835341365459E-2</v>
      </c>
      <c r="AS95" s="23">
        <v>6.1452513966480445E-2</v>
      </c>
      <c r="AT95" s="23">
        <v>7.857142857142857E-2</v>
      </c>
      <c r="AU95" s="23">
        <v>3.9021164021164019E-2</v>
      </c>
      <c r="AW95" s="100">
        <v>81</v>
      </c>
      <c r="AX95" s="100">
        <v>29.5</v>
      </c>
      <c r="BB95" s="23">
        <v>0.5</v>
      </c>
      <c r="BC95" s="23">
        <v>0.91666666666666663</v>
      </c>
      <c r="BD95" s="23">
        <v>0.88888888888888884</v>
      </c>
      <c r="BE95" s="23">
        <v>0.83333333333333337</v>
      </c>
      <c r="BF95" s="23">
        <v>0.5</v>
      </c>
      <c r="BG95" s="23">
        <v>0.5</v>
      </c>
      <c r="BH95" s="23">
        <v>0.76666666666666672</v>
      </c>
      <c r="BK95" s="23">
        <v>0.11920529801324503</v>
      </c>
      <c r="BL95" s="23">
        <v>1.9867549668874173E-2</v>
      </c>
      <c r="BM95" s="23">
        <v>0.27152317880794702</v>
      </c>
      <c r="BN95" s="23">
        <v>0.58940397350993379</v>
      </c>
      <c r="BR95" s="23">
        <v>0.64127764127764131</v>
      </c>
      <c r="BS95" s="23">
        <v>0.52078774617067836</v>
      </c>
      <c r="BT95" s="23">
        <v>0.70716112531969311</v>
      </c>
      <c r="BU95" s="23">
        <v>0.61990950226244346</v>
      </c>
      <c r="BV95" s="23">
        <v>0.48076923076923078</v>
      </c>
      <c r="BW95" s="23">
        <v>0.18518518518518517</v>
      </c>
      <c r="CA95" s="23">
        <v>0.54985754985754987</v>
      </c>
      <c r="CB95" s="23">
        <v>0.65068493150684936</v>
      </c>
      <c r="CC95" s="23">
        <v>0.7142857142857143</v>
      </c>
      <c r="CD95" s="23">
        <v>0.61445783132530118</v>
      </c>
      <c r="CE95" s="23">
        <v>0.61452513966480449</v>
      </c>
      <c r="CF95" s="23">
        <v>0.65714285714285714</v>
      </c>
      <c r="CK95" s="23">
        <v>3.7344398340248962E-2</v>
      </c>
      <c r="CL95" s="23">
        <v>0.11702127659574468</v>
      </c>
      <c r="CM95" s="23">
        <v>0.25555555555555554</v>
      </c>
      <c r="CN95" s="23">
        <v>0.33333333333333331</v>
      </c>
      <c r="CO95" s="23">
        <v>0.29411764705882354</v>
      </c>
      <c r="CP95" s="23">
        <v>0.26984126984126983</v>
      </c>
    </row>
    <row r="96" spans="3:94" x14ac:dyDescent="0.25">
      <c r="C96" s="21">
        <v>13.888888888888889</v>
      </c>
      <c r="D96" s="21">
        <v>39.156626506024097</v>
      </c>
      <c r="E96" s="21">
        <v>54.644808743169399</v>
      </c>
      <c r="F96" s="21">
        <v>49.723756906077348</v>
      </c>
      <c r="G96" s="21">
        <v>26.058631921824105</v>
      </c>
      <c r="H96" s="21">
        <v>0</v>
      </c>
      <c r="K96" s="23">
        <v>0</v>
      </c>
      <c r="L96" s="23">
        <v>6.25</v>
      </c>
      <c r="M96" s="23">
        <v>9.0909090909090917</v>
      </c>
      <c r="N96" s="23">
        <v>20</v>
      </c>
      <c r="O96" s="23">
        <v>0</v>
      </c>
      <c r="P96" s="23">
        <v>23.404255319148938</v>
      </c>
      <c r="Q96" s="23">
        <v>16.393442622950818</v>
      </c>
      <c r="R96" s="23">
        <v>18.518518518518519</v>
      </c>
      <c r="V96" s="23">
        <v>0.1925</v>
      </c>
      <c r="W96" s="23">
        <v>0.2185</v>
      </c>
      <c r="X96" s="23">
        <v>0.39050000000000001</v>
      </c>
      <c r="Y96" s="23">
        <v>0.1195</v>
      </c>
      <c r="Z96" s="23">
        <v>3.1E-2</v>
      </c>
      <c r="AA96" s="23">
        <v>4.8000000000000001E-2</v>
      </c>
      <c r="AE96" s="23">
        <v>4.1666666666666664E-2</v>
      </c>
      <c r="AF96" s="23">
        <v>6.0240963855421686E-2</v>
      </c>
      <c r="AG96" s="23">
        <v>7.3770491803278687E-2</v>
      </c>
      <c r="AH96" s="23">
        <v>5.5248618784530384E-2</v>
      </c>
      <c r="AI96" s="23">
        <v>4.5602605863192182E-2</v>
      </c>
      <c r="AJ96" s="23">
        <v>0</v>
      </c>
      <c r="AO96" s="23">
        <v>5.8309037900874635E-3</v>
      </c>
      <c r="AP96" s="23">
        <v>3.0100334448160536E-2</v>
      </c>
      <c r="AQ96" s="23">
        <v>3.3783783783783786E-2</v>
      </c>
      <c r="AR96" s="23">
        <v>7.662835249042145E-2</v>
      </c>
      <c r="AS96" s="23">
        <v>4.6875E-2</v>
      </c>
      <c r="AT96" s="23">
        <v>5.46875E-2</v>
      </c>
      <c r="AU96" s="23">
        <v>3.7524687294272545E-2</v>
      </c>
      <c r="AW96" s="100">
        <v>96</v>
      </c>
      <c r="AX96" s="100">
        <v>28.5</v>
      </c>
      <c r="BB96" s="23">
        <v>0.6875</v>
      </c>
      <c r="BC96" s="23">
        <v>0.76190476190476186</v>
      </c>
      <c r="BD96" s="23">
        <v>0.68421052631578949</v>
      </c>
      <c r="BE96" s="23">
        <v>0.76190476190476186</v>
      </c>
      <c r="BF96" s="23">
        <v>0.76923076923076927</v>
      </c>
      <c r="BH96" s="23">
        <v>0.73333333333333328</v>
      </c>
      <c r="BK96" s="23">
        <v>0.12429378531073447</v>
      </c>
      <c r="BL96" s="23">
        <v>3.954802259887006E-2</v>
      </c>
      <c r="BM96" s="23">
        <v>0.33333333333333331</v>
      </c>
      <c r="BN96" s="23">
        <v>0.50282485875706218</v>
      </c>
      <c r="BR96" s="23">
        <v>0.62857142857142856</v>
      </c>
      <c r="BS96" s="23">
        <v>0.52631578947368418</v>
      </c>
      <c r="BT96" s="23">
        <v>0.71190781049935981</v>
      </c>
      <c r="BU96" s="23">
        <v>0.65690376569037656</v>
      </c>
      <c r="BV96" s="23">
        <v>0.58064516129032262</v>
      </c>
      <c r="BW96" s="23">
        <v>0.14583333333333334</v>
      </c>
      <c r="CA96" s="23">
        <v>0.54227405247813409</v>
      </c>
      <c r="CB96" s="23">
        <v>0.71571906354515047</v>
      </c>
      <c r="CC96" s="23">
        <v>0.69594594594594594</v>
      </c>
      <c r="CD96" s="23">
        <v>0.65517241379310343</v>
      </c>
      <c r="CE96" s="23">
        <v>0.66145833333333337</v>
      </c>
      <c r="CF96" s="23">
        <v>0.5859375</v>
      </c>
      <c r="CK96" s="23">
        <v>1.5810276679841896E-2</v>
      </c>
      <c r="CL96" s="23">
        <v>0.12820512820512819</v>
      </c>
      <c r="CM96" s="23">
        <v>0.26666666666666666</v>
      </c>
      <c r="CN96" s="23">
        <v>0.46031746031746029</v>
      </c>
      <c r="CO96" s="23">
        <v>0.25</v>
      </c>
      <c r="CP96" s="23">
        <v>0.25</v>
      </c>
    </row>
    <row r="97" spans="3:94" x14ac:dyDescent="0.25">
      <c r="C97" s="21">
        <v>36.312849162011176</v>
      </c>
      <c r="D97" s="21">
        <v>44.642857142857146</v>
      </c>
      <c r="E97" s="21">
        <v>43.956043956043956</v>
      </c>
      <c r="F97" s="21">
        <v>65.753424657534254</v>
      </c>
      <c r="G97" s="21">
        <v>26.402640264026402</v>
      </c>
      <c r="H97" s="21">
        <v>0</v>
      </c>
      <c r="K97" s="23">
        <v>0</v>
      </c>
      <c r="L97" s="23">
        <v>1.7241379310344827</v>
      </c>
      <c r="M97" s="23">
        <v>10.153846153846153</v>
      </c>
      <c r="N97" s="23">
        <v>6.25</v>
      </c>
      <c r="O97" s="23">
        <v>0.6097560975609756</v>
      </c>
      <c r="P97" s="23">
        <v>22.58064516129032</v>
      </c>
      <c r="Q97" s="23">
        <v>24.242424242424242</v>
      </c>
      <c r="R97" s="23">
        <v>12.5</v>
      </c>
      <c r="V97" s="23">
        <v>0.21249999999999999</v>
      </c>
      <c r="W97" s="23">
        <v>0.20949999999999999</v>
      </c>
      <c r="X97" s="23">
        <v>0.36299999999999999</v>
      </c>
      <c r="Y97" s="23">
        <v>0.13800000000000001</v>
      </c>
      <c r="Z97" s="23">
        <v>2.5499999999999998E-2</v>
      </c>
      <c r="AA97" s="23">
        <v>5.1499999999999997E-2</v>
      </c>
      <c r="AE97" s="23">
        <v>6.1452513966480445E-2</v>
      </c>
      <c r="AF97" s="23">
        <v>8.6309523809523808E-2</v>
      </c>
      <c r="AG97" s="23">
        <v>7.6923076923076927E-2</v>
      </c>
      <c r="AH97" s="23">
        <v>4.3835616438356165E-2</v>
      </c>
      <c r="AI97" s="23">
        <v>2.6402640264026403E-2</v>
      </c>
      <c r="AJ97" s="23">
        <v>0</v>
      </c>
      <c r="AO97" s="23">
        <v>9.0909090909090905E-3</v>
      </c>
      <c r="AP97" s="23">
        <v>3.6912751677852351E-2</v>
      </c>
      <c r="AQ97" s="23">
        <v>7.586206896551724E-2</v>
      </c>
      <c r="AR97" s="23">
        <v>5.7851239669421489E-2</v>
      </c>
      <c r="AS97" s="23">
        <v>7.8048780487804878E-2</v>
      </c>
      <c r="AT97" s="23">
        <v>7.476635514018691E-2</v>
      </c>
      <c r="AU97" s="23">
        <v>5.0271739130434784E-2</v>
      </c>
      <c r="AW97" s="100">
        <v>103</v>
      </c>
      <c r="AX97" s="100">
        <v>37</v>
      </c>
      <c r="BB97" s="23">
        <v>0.89473684210526316</v>
      </c>
      <c r="BC97" s="23">
        <v>0.94117647058823528</v>
      </c>
      <c r="BD97" s="23">
        <v>0.77272727272727271</v>
      </c>
      <c r="BE97" s="23">
        <v>0.45454545454545453</v>
      </c>
      <c r="BF97" s="23">
        <v>0.66666666666666663</v>
      </c>
      <c r="BH97" s="23">
        <v>0.78666666666666663</v>
      </c>
      <c r="BK97" s="23">
        <v>6.5868263473053898E-2</v>
      </c>
      <c r="BL97" s="23">
        <v>3.5928143712574849E-2</v>
      </c>
      <c r="BM97" s="23">
        <v>0.3413173652694611</v>
      </c>
      <c r="BN97" s="23">
        <v>0.55688622754491013</v>
      </c>
      <c r="BR97" s="23">
        <v>0.63294117647058823</v>
      </c>
      <c r="BS97" s="23">
        <v>0.47255369928400953</v>
      </c>
      <c r="BT97" s="23">
        <v>0.71625344352617082</v>
      </c>
      <c r="BU97" s="23">
        <v>0.65217391304347827</v>
      </c>
      <c r="BV97" s="23">
        <v>0.6470588235294118</v>
      </c>
      <c r="BW97" s="23">
        <v>0.20388349514563106</v>
      </c>
      <c r="CA97" s="23">
        <v>0.46363636363636362</v>
      </c>
      <c r="CB97" s="23">
        <v>0.72818791946308725</v>
      </c>
      <c r="CC97" s="23">
        <v>0.7</v>
      </c>
      <c r="CD97" s="23">
        <v>0.70661157024793386</v>
      </c>
      <c r="CE97" s="23">
        <v>0.58536585365853655</v>
      </c>
      <c r="CF97" s="23">
        <v>0.62616822429906538</v>
      </c>
      <c r="CK97" s="23">
        <v>2.8225806451612902E-2</v>
      </c>
      <c r="CL97" s="23">
        <v>0.17171717171717171</v>
      </c>
      <c r="CM97" s="23">
        <v>0.3493975903614458</v>
      </c>
      <c r="CN97" s="23">
        <v>0.31944444444444442</v>
      </c>
      <c r="CO97" s="23">
        <v>0.29629629629629628</v>
      </c>
      <c r="CP97" s="23">
        <v>0.32500000000000001</v>
      </c>
    </row>
    <row r="98" spans="3:94" x14ac:dyDescent="0.25">
      <c r="C98" s="21">
        <v>19.774011299435028</v>
      </c>
      <c r="D98" s="21">
        <v>47.337278106508876</v>
      </c>
      <c r="E98" s="21">
        <v>60.941828254847643</v>
      </c>
      <c r="F98" s="21">
        <v>46.575342465753423</v>
      </c>
      <c r="G98" s="21">
        <v>22.727272727272727</v>
      </c>
      <c r="H98" s="21">
        <v>3.6496350364963503</v>
      </c>
      <c r="K98" s="23">
        <v>0</v>
      </c>
      <c r="L98" s="23">
        <v>8.4507042253521121</v>
      </c>
      <c r="M98" s="23">
        <v>10.461538461538462</v>
      </c>
      <c r="N98" s="23">
        <v>11.111111111111111</v>
      </c>
      <c r="O98" s="23">
        <v>0.5617977528089888</v>
      </c>
      <c r="P98" s="23">
        <v>21.98581560283688</v>
      </c>
      <c r="Q98" s="23">
        <v>22.222222222222221</v>
      </c>
      <c r="R98" s="23">
        <v>11.111111111111111</v>
      </c>
      <c r="V98" s="23">
        <v>0.19700000000000001</v>
      </c>
      <c r="W98" s="23">
        <v>0.224</v>
      </c>
      <c r="X98" s="23">
        <v>0.36399999999999999</v>
      </c>
      <c r="Y98" s="23">
        <v>0.13800000000000001</v>
      </c>
      <c r="Z98" s="23">
        <v>3.2000000000000001E-2</v>
      </c>
      <c r="AA98" s="23">
        <v>4.4999999999999998E-2</v>
      </c>
      <c r="AE98" s="23">
        <v>3.3898305084745763E-2</v>
      </c>
      <c r="AF98" s="23">
        <v>7.3964497041420121E-2</v>
      </c>
      <c r="AG98" s="23">
        <v>7.2022160664819951E-2</v>
      </c>
      <c r="AH98" s="23">
        <v>6.3013698630136991E-2</v>
      </c>
      <c r="AI98" s="23">
        <v>6.4935064935064939E-3</v>
      </c>
      <c r="AJ98" s="23">
        <v>7.2992700729927005E-3</v>
      </c>
      <c r="AO98" s="23">
        <v>8.9285714285714281E-3</v>
      </c>
      <c r="AP98" s="23">
        <v>2.3333333333333334E-2</v>
      </c>
      <c r="AQ98" s="23">
        <v>5.7627118644067797E-2</v>
      </c>
      <c r="AR98" s="23">
        <v>7.3643410852713184E-2</v>
      </c>
      <c r="AS98" s="23">
        <v>8.0808080808080815E-2</v>
      </c>
      <c r="AT98" s="23">
        <v>9.3023255813953487E-2</v>
      </c>
      <c r="AU98" s="23">
        <v>4.8812664907651716E-2</v>
      </c>
      <c r="AW98" s="100">
        <v>90</v>
      </c>
      <c r="AX98" s="100">
        <v>37</v>
      </c>
      <c r="BB98" s="23">
        <v>0.83333333333333337</v>
      </c>
      <c r="BC98" s="23">
        <v>0.81818181818181823</v>
      </c>
      <c r="BD98" s="23">
        <v>0.72727272727272729</v>
      </c>
      <c r="BE98" s="23">
        <v>0.6875</v>
      </c>
      <c r="BF98" s="23">
        <v>0.5</v>
      </c>
      <c r="BG98" s="23">
        <v>1</v>
      </c>
      <c r="BH98" s="23">
        <v>0.76315789473684215</v>
      </c>
      <c r="BK98" s="23">
        <v>0.10714285714285714</v>
      </c>
      <c r="BL98" s="23">
        <v>3.125E-2</v>
      </c>
      <c r="BM98" s="23">
        <v>0.20982142857142858</v>
      </c>
      <c r="BN98" s="23">
        <v>0.6517857142857143</v>
      </c>
      <c r="BR98" s="23">
        <v>0.6116751269035533</v>
      </c>
      <c r="BS98" s="23">
        <v>0.48660714285714285</v>
      </c>
      <c r="BT98" s="23">
        <v>0.73076923076923073</v>
      </c>
      <c r="BU98" s="23">
        <v>0.6123188405797102</v>
      </c>
      <c r="BV98" s="23">
        <v>0.734375</v>
      </c>
      <c r="BW98" s="23">
        <v>0.22222222222222221</v>
      </c>
      <c r="CA98" s="23">
        <v>0.53869047619047616</v>
      </c>
      <c r="CB98" s="23">
        <v>0.70666666666666667</v>
      </c>
      <c r="CC98" s="23">
        <v>0.71525423728813564</v>
      </c>
      <c r="CD98" s="23">
        <v>0.62403100775193798</v>
      </c>
      <c r="CE98" s="23">
        <v>0.61616161616161613</v>
      </c>
      <c r="CF98" s="23">
        <v>0.61240310077519378</v>
      </c>
      <c r="CK98" s="23">
        <v>2.9045643153526972E-2</v>
      </c>
      <c r="CL98" s="23">
        <v>7.6923076923076927E-2</v>
      </c>
      <c r="CM98" s="23">
        <v>0.24</v>
      </c>
      <c r="CN98" s="23">
        <v>0.33695652173913043</v>
      </c>
      <c r="CO98" s="23">
        <v>0.33333333333333331</v>
      </c>
      <c r="CP98" s="23">
        <v>0.2711864406779661</v>
      </c>
    </row>
    <row r="99" spans="3:94" x14ac:dyDescent="0.25">
      <c r="C99" s="21">
        <v>42.492917847025495</v>
      </c>
      <c r="D99" s="21">
        <v>56.547619047619051</v>
      </c>
      <c r="E99" s="21">
        <v>68.119891008174392</v>
      </c>
      <c r="F99" s="21">
        <v>72.02216066481995</v>
      </c>
      <c r="G99" s="21">
        <v>22.801302931596091</v>
      </c>
      <c r="H99" s="21">
        <v>3.6231884057971016</v>
      </c>
      <c r="K99" s="23">
        <v>0</v>
      </c>
      <c r="L99" s="23">
        <v>3.75</v>
      </c>
      <c r="M99" s="23">
        <v>10.064935064935066</v>
      </c>
      <c r="N99" s="23">
        <v>7.4074074074074066</v>
      </c>
      <c r="O99" s="23">
        <v>0</v>
      </c>
      <c r="P99" s="23">
        <v>16.891891891891891</v>
      </c>
      <c r="Q99" s="23">
        <v>16.666666666666664</v>
      </c>
      <c r="R99" s="23">
        <v>20.689655172413794</v>
      </c>
      <c r="V99" s="23">
        <v>0.1905</v>
      </c>
      <c r="W99" s="23">
        <v>0.2205</v>
      </c>
      <c r="X99" s="23">
        <v>0.372</v>
      </c>
      <c r="Y99" s="23">
        <v>0.14299999999999999</v>
      </c>
      <c r="Z99" s="23">
        <v>3.5499999999999997E-2</v>
      </c>
      <c r="AA99" s="23">
        <v>3.85E-2</v>
      </c>
      <c r="AE99" s="23">
        <v>1.9830028328611898E-2</v>
      </c>
      <c r="AF99" s="23">
        <v>3.273809523809524E-2</v>
      </c>
      <c r="AG99" s="23">
        <v>7.901907356948229E-2</v>
      </c>
      <c r="AH99" s="23">
        <v>4.9861495844875349E-2</v>
      </c>
      <c r="AI99" s="23">
        <v>3.5830618892508145E-2</v>
      </c>
      <c r="AJ99" s="23">
        <v>3.6231884057971015E-3</v>
      </c>
      <c r="AO99" s="23">
        <v>1.1730205278592375E-2</v>
      </c>
      <c r="AP99" s="23">
        <v>3.4920634920634921E-2</v>
      </c>
      <c r="AQ99" s="23">
        <v>4.9668874172185427E-2</v>
      </c>
      <c r="AR99" s="23">
        <v>6.6176470588235295E-2</v>
      </c>
      <c r="AS99" s="23">
        <v>9.2391304347826081E-2</v>
      </c>
      <c r="AT99" s="23">
        <v>6.25E-2</v>
      </c>
      <c r="AU99" s="23">
        <v>4.7341115434500647E-2</v>
      </c>
      <c r="AW99" s="100">
        <v>77</v>
      </c>
      <c r="AX99" s="100">
        <v>36.5</v>
      </c>
      <c r="BB99" s="23">
        <v>0.83333333333333337</v>
      </c>
      <c r="BC99" s="23">
        <v>0.90909090909090906</v>
      </c>
      <c r="BD99" s="23">
        <v>0.72222222222222221</v>
      </c>
      <c r="BE99" s="23">
        <v>0.69230769230769229</v>
      </c>
      <c r="BF99" s="23">
        <v>1</v>
      </c>
      <c r="BG99" s="23">
        <v>1</v>
      </c>
      <c r="BH99" s="23">
        <v>0.81666666666666665</v>
      </c>
      <c r="BK99" s="23">
        <v>0.12698412698412698</v>
      </c>
      <c r="BL99" s="23">
        <v>6.3492063492063489E-2</v>
      </c>
      <c r="BM99" s="23">
        <v>0.34920634920634919</v>
      </c>
      <c r="BN99" s="23">
        <v>0.46031746031746029</v>
      </c>
      <c r="BR99" s="23">
        <v>0.60892388451443569</v>
      </c>
      <c r="BS99" s="23">
        <v>0.4943310657596372</v>
      </c>
      <c r="BT99" s="23">
        <v>0.74193548387096775</v>
      </c>
      <c r="BU99" s="23">
        <v>0.60139860139860135</v>
      </c>
      <c r="BV99" s="23">
        <v>0.63380281690140849</v>
      </c>
      <c r="BW99" s="23">
        <v>6.4935064935064929E-2</v>
      </c>
      <c r="CA99" s="23">
        <v>0.53372434017595305</v>
      </c>
      <c r="CB99" s="23">
        <v>0.73333333333333328</v>
      </c>
      <c r="CC99" s="23">
        <v>0.67880794701986757</v>
      </c>
      <c r="CD99" s="23">
        <v>0.67279411764705888</v>
      </c>
      <c r="CE99" s="23">
        <v>0.55978260869565222</v>
      </c>
      <c r="CF99" s="23">
        <v>0.6484375</v>
      </c>
      <c r="CK99" s="23">
        <v>3.1872509960159362E-2</v>
      </c>
      <c r="CL99" s="23">
        <v>0.16814159292035399</v>
      </c>
      <c r="CM99" s="23">
        <v>0.28735632183908044</v>
      </c>
      <c r="CN99" s="23">
        <v>0.30851063829787234</v>
      </c>
      <c r="CO99" s="23">
        <v>0.33734939759036142</v>
      </c>
      <c r="CP99" s="23">
        <v>0.3</v>
      </c>
    </row>
    <row r="100" spans="3:94" x14ac:dyDescent="0.25">
      <c r="C100" s="21">
        <v>30.726256983240223</v>
      </c>
      <c r="D100" s="21">
        <v>27.108433734939759</v>
      </c>
      <c r="E100" s="21">
        <v>65.217391304347828</v>
      </c>
      <c r="F100" s="21">
        <v>72.423398328690809</v>
      </c>
      <c r="G100" s="21">
        <v>16.286644951140065</v>
      </c>
      <c r="H100" s="21">
        <v>3.6231884057971016</v>
      </c>
      <c r="K100" s="23">
        <v>0</v>
      </c>
      <c r="L100" s="23">
        <v>4.4776119402985071</v>
      </c>
      <c r="M100" s="23">
        <v>10.060975609756099</v>
      </c>
      <c r="N100" s="23">
        <v>11.111111111111111</v>
      </c>
      <c r="O100" s="23">
        <v>0</v>
      </c>
      <c r="P100" s="23">
        <v>9.3959731543624159</v>
      </c>
      <c r="Q100" s="23">
        <v>21.311475409836063</v>
      </c>
      <c r="R100" s="23">
        <v>15.789473684210526</v>
      </c>
      <c r="V100" s="23">
        <v>0.19950000000000001</v>
      </c>
      <c r="W100" s="23">
        <v>0.2155</v>
      </c>
      <c r="X100" s="23">
        <v>0.3735</v>
      </c>
      <c r="Y100" s="23">
        <v>0.14149999999999999</v>
      </c>
      <c r="Z100" s="23">
        <v>2.6499999999999999E-2</v>
      </c>
      <c r="AA100" s="23">
        <v>4.3499999999999997E-2</v>
      </c>
      <c r="AE100" s="23">
        <v>3.3519553072625698E-2</v>
      </c>
      <c r="AF100" s="23">
        <v>6.9277108433734941E-2</v>
      </c>
      <c r="AG100" s="23">
        <v>5.434782608695652E-2</v>
      </c>
      <c r="AH100" s="23">
        <v>6.9637883008356549E-2</v>
      </c>
      <c r="AI100" s="23">
        <v>2.2801302931596091E-2</v>
      </c>
      <c r="AJ100" s="23">
        <v>0</v>
      </c>
      <c r="AO100" s="23">
        <v>1.1627906976744186E-2</v>
      </c>
      <c r="AP100" s="23">
        <v>3.0612244897959183E-2</v>
      </c>
      <c r="AQ100" s="23">
        <v>5.5374592833876218E-2</v>
      </c>
      <c r="AR100" s="23">
        <v>5.1999999999999998E-2</v>
      </c>
      <c r="AS100" s="23">
        <v>6.25E-2</v>
      </c>
      <c r="AT100" s="23">
        <v>5.4054054054054057E-2</v>
      </c>
      <c r="AU100" s="23">
        <v>4.0951122853368563E-2</v>
      </c>
      <c r="AW100" s="100">
        <v>87</v>
      </c>
      <c r="AX100" s="100">
        <v>31</v>
      </c>
      <c r="BB100" s="23">
        <v>0.75</v>
      </c>
      <c r="BC100" s="23">
        <v>0.84210526315789469</v>
      </c>
      <c r="BD100" s="23">
        <v>0.73333333333333328</v>
      </c>
      <c r="BE100" s="23">
        <v>0.625</v>
      </c>
      <c r="BF100" s="23">
        <v>0.5</v>
      </c>
      <c r="BH100" s="23">
        <v>0.72580645161290325</v>
      </c>
      <c r="BK100" s="23">
        <v>0.14864864864864866</v>
      </c>
      <c r="BL100" s="23">
        <v>4.72972972972973E-2</v>
      </c>
      <c r="BM100" s="23">
        <v>0.22972972972972974</v>
      </c>
      <c r="BN100" s="23">
        <v>0.57432432432432434</v>
      </c>
      <c r="BR100" s="23">
        <v>0.63408521303258147</v>
      </c>
      <c r="BS100" s="23">
        <v>0.54988399071925753</v>
      </c>
      <c r="BT100" s="23">
        <v>0.73493975903614461</v>
      </c>
      <c r="BU100" s="23">
        <v>0.63957597173144876</v>
      </c>
      <c r="BV100" s="23">
        <v>0.54716981132075471</v>
      </c>
      <c r="BW100" s="23">
        <v>0.13793103448275862</v>
      </c>
      <c r="CA100" s="23">
        <v>0.59883720930232553</v>
      </c>
      <c r="CB100" s="23">
        <v>0.6428571428571429</v>
      </c>
      <c r="CC100" s="23">
        <v>0.7263843648208469</v>
      </c>
      <c r="CD100" s="23">
        <v>0.68400000000000005</v>
      </c>
      <c r="CE100" s="23">
        <v>0.63942307692307687</v>
      </c>
      <c r="CF100" s="23">
        <v>0.66666666666666663</v>
      </c>
      <c r="CK100" s="23">
        <v>2.9535864978902954E-2</v>
      </c>
      <c r="CL100" s="23">
        <v>0.21359223300970873</v>
      </c>
      <c r="CM100" s="23">
        <v>0.21276595744680851</v>
      </c>
      <c r="CN100" s="23">
        <v>0.33333333333333331</v>
      </c>
      <c r="CO100" s="23">
        <v>0.32911392405063289</v>
      </c>
      <c r="CP100" s="23">
        <v>0.29411764705882354</v>
      </c>
    </row>
    <row r="101" spans="3:94" x14ac:dyDescent="0.25">
      <c r="C101" s="21">
        <v>25.280898876404493</v>
      </c>
      <c r="D101" s="21">
        <v>57.575757575757578</v>
      </c>
      <c r="E101" s="21">
        <v>75.88075880758808</v>
      </c>
      <c r="F101" s="21">
        <v>61.281337047353759</v>
      </c>
      <c r="G101" s="21">
        <v>16.181229773462782</v>
      </c>
      <c r="H101" s="21">
        <v>21.660649819494584</v>
      </c>
      <c r="K101" s="23">
        <v>0</v>
      </c>
      <c r="L101" s="23">
        <v>3.3333333333333335</v>
      </c>
      <c r="M101" s="23">
        <v>8.4175084175084187</v>
      </c>
      <c r="N101" s="23">
        <v>13.793103448275861</v>
      </c>
      <c r="O101" s="23">
        <v>0</v>
      </c>
      <c r="P101" s="23">
        <v>18.70967741935484</v>
      </c>
      <c r="Q101" s="23">
        <v>7.5471698113207548</v>
      </c>
      <c r="R101" s="23">
        <v>10.714285714285714</v>
      </c>
      <c r="V101" s="23">
        <v>0.2</v>
      </c>
      <c r="W101" s="23">
        <v>0.2185</v>
      </c>
      <c r="X101" s="23">
        <v>0.3755</v>
      </c>
      <c r="Y101" s="23">
        <v>0.13650000000000001</v>
      </c>
      <c r="Z101" s="23">
        <v>3.9E-2</v>
      </c>
      <c r="AA101" s="23">
        <v>3.0499999999999999E-2</v>
      </c>
      <c r="AE101" s="23">
        <v>2.8089887640449437E-2</v>
      </c>
      <c r="AF101" s="23">
        <v>5.1515151515151514E-2</v>
      </c>
      <c r="AG101" s="23">
        <v>5.1490514905149054E-2</v>
      </c>
      <c r="AH101" s="23">
        <v>2.7855153203342618E-2</v>
      </c>
      <c r="AI101" s="23">
        <v>1.2944983818770227E-2</v>
      </c>
      <c r="AJ101" s="23">
        <v>3.6101083032490976E-3</v>
      </c>
      <c r="AO101" s="23">
        <v>8.7463556851311956E-3</v>
      </c>
      <c r="AP101" s="23">
        <v>5.5737704918032788E-2</v>
      </c>
      <c r="AQ101" s="23">
        <v>6.9078947368421059E-2</v>
      </c>
      <c r="AR101" s="23">
        <v>4.4609665427509292E-2</v>
      </c>
      <c r="AS101" s="23">
        <v>7.9601990049751242E-2</v>
      </c>
      <c r="AT101" s="23">
        <v>5.9829059829059832E-2</v>
      </c>
      <c r="AU101" s="23">
        <v>4.9382716049382713E-2</v>
      </c>
      <c r="AW101" s="100">
        <v>61</v>
      </c>
      <c r="AX101" s="100">
        <v>38</v>
      </c>
      <c r="BB101" s="23">
        <v>0.875</v>
      </c>
      <c r="BC101" s="23">
        <v>0.92307692307692313</v>
      </c>
      <c r="BD101" s="23">
        <v>0.76923076923076927</v>
      </c>
      <c r="BE101" s="23">
        <v>0.81818181818181823</v>
      </c>
      <c r="BF101" s="23">
        <v>0.75</v>
      </c>
      <c r="BG101" s="23">
        <v>1</v>
      </c>
      <c r="BH101" s="23">
        <v>0.84</v>
      </c>
      <c r="BK101" s="23">
        <v>9.6000000000000002E-2</v>
      </c>
      <c r="BL101" s="23">
        <v>4.8000000000000001E-2</v>
      </c>
      <c r="BM101" s="23">
        <v>0.32800000000000001</v>
      </c>
      <c r="BN101" s="23">
        <v>0.52800000000000002</v>
      </c>
      <c r="BR101" s="23">
        <v>0.63</v>
      </c>
      <c r="BS101" s="23">
        <v>0.49656750572082381</v>
      </c>
      <c r="BT101" s="23">
        <v>0.74966711051930757</v>
      </c>
      <c r="BU101" s="23">
        <v>0.58241758241758246</v>
      </c>
      <c r="BV101" s="23">
        <v>0.62820512820512819</v>
      </c>
      <c r="BW101" s="23">
        <v>0.16393442622950818</v>
      </c>
      <c r="CA101" s="23">
        <v>0.55102040816326525</v>
      </c>
      <c r="CB101" s="23">
        <v>0.70819672131147537</v>
      </c>
      <c r="CC101" s="23">
        <v>0.67763157894736847</v>
      </c>
      <c r="CD101" s="23">
        <v>0.65799256505576209</v>
      </c>
      <c r="CE101" s="23">
        <v>0.57711442786069655</v>
      </c>
      <c r="CF101" s="23">
        <v>0.71794871794871795</v>
      </c>
      <c r="CK101" s="23">
        <v>3.0769230769230771E-2</v>
      </c>
      <c r="CL101" s="23">
        <v>0.21428571428571427</v>
      </c>
      <c r="CM101" s="23">
        <v>0.29213483146067415</v>
      </c>
      <c r="CN101" s="23">
        <v>0.31395348837209303</v>
      </c>
      <c r="CO101" s="23">
        <v>0.44736842105263158</v>
      </c>
      <c r="CP101" s="23">
        <v>0.22500000000000001</v>
      </c>
    </row>
    <row r="102" spans="3:94" x14ac:dyDescent="0.25">
      <c r="C102" s="21">
        <v>36.211699164345404</v>
      </c>
      <c r="D102" s="21">
        <v>68.862275449101801</v>
      </c>
      <c r="E102" s="21">
        <v>71.428571428571431</v>
      </c>
      <c r="F102" s="21">
        <v>35.422343324250683</v>
      </c>
      <c r="G102" s="21">
        <v>26.490066225165563</v>
      </c>
      <c r="H102" s="21">
        <v>0</v>
      </c>
      <c r="K102" s="23">
        <v>0</v>
      </c>
      <c r="L102" s="23">
        <v>11.267605633802818</v>
      </c>
      <c r="M102" s="23">
        <v>6.9306930693069315</v>
      </c>
      <c r="N102" s="23">
        <v>17.241379310344829</v>
      </c>
      <c r="O102" s="23">
        <v>0</v>
      </c>
      <c r="P102" s="23">
        <v>16.201117318435752</v>
      </c>
      <c r="Q102" s="23">
        <v>19.718309859154928</v>
      </c>
      <c r="R102" s="23">
        <v>20.689655172413794</v>
      </c>
      <c r="V102" s="23">
        <v>0.192</v>
      </c>
      <c r="W102" s="23">
        <v>0.216</v>
      </c>
      <c r="X102" s="23">
        <v>0.373</v>
      </c>
      <c r="Y102" s="23">
        <v>0.13750000000000001</v>
      </c>
      <c r="Z102" s="23">
        <v>3.4500000000000003E-2</v>
      </c>
      <c r="AA102" s="23">
        <v>4.7E-2</v>
      </c>
      <c r="AE102" s="23">
        <v>4.1782729805013928E-2</v>
      </c>
      <c r="AF102" s="23">
        <v>6.5868263473053898E-2</v>
      </c>
      <c r="AG102" s="23">
        <v>6.8681318681318687E-2</v>
      </c>
      <c r="AH102" s="23">
        <v>6.2670299727520432E-2</v>
      </c>
      <c r="AI102" s="23">
        <v>2.6490066225165563E-2</v>
      </c>
      <c r="AJ102" s="23">
        <v>3.6496350364963502E-3</v>
      </c>
      <c r="AO102" s="23">
        <v>2.9154518950437317E-3</v>
      </c>
      <c r="AP102" s="23">
        <v>3.3333333333333333E-2</v>
      </c>
      <c r="AQ102" s="23">
        <v>7.0469798657718116E-2</v>
      </c>
      <c r="AR102" s="23">
        <v>9.8039215686274508E-2</v>
      </c>
      <c r="AS102" s="23">
        <v>5.9113300492610835E-2</v>
      </c>
      <c r="AT102" s="23">
        <v>0.13008130081300814</v>
      </c>
      <c r="AU102" s="23">
        <v>5.5847568988173453E-2</v>
      </c>
      <c r="AW102" s="100">
        <v>94</v>
      </c>
      <c r="AX102" s="100">
        <v>42.5</v>
      </c>
      <c r="BB102" s="23">
        <v>0.58333333333333337</v>
      </c>
      <c r="BC102" s="23">
        <v>1</v>
      </c>
      <c r="BD102" s="23">
        <v>0.84210526315789469</v>
      </c>
      <c r="BE102" s="23">
        <v>0.93333333333333335</v>
      </c>
      <c r="BF102" s="23">
        <v>0.7142857142857143</v>
      </c>
      <c r="BH102" s="23">
        <v>0.83076923076923082</v>
      </c>
      <c r="BK102" s="23">
        <v>0.11564625850340136</v>
      </c>
      <c r="BL102" s="23">
        <v>0.12244897959183673</v>
      </c>
      <c r="BM102" s="23">
        <v>0.27210884353741499</v>
      </c>
      <c r="BN102" s="23">
        <v>0.48979591836734693</v>
      </c>
      <c r="BR102" s="23">
        <v>0.6171875</v>
      </c>
      <c r="BS102" s="23">
        <v>0.51388888888888884</v>
      </c>
      <c r="BT102" s="23">
        <v>0.71849865951742631</v>
      </c>
      <c r="BU102" s="23">
        <v>0.61454545454545451</v>
      </c>
      <c r="BV102" s="23">
        <v>0.71014492753623193</v>
      </c>
      <c r="BW102" s="23">
        <v>0.14893617021276595</v>
      </c>
      <c r="CA102" s="23">
        <v>0.5714285714285714</v>
      </c>
      <c r="CB102" s="23">
        <v>0.72</v>
      </c>
      <c r="CC102" s="23">
        <v>0.65771812080536918</v>
      </c>
      <c r="CD102" s="23">
        <v>0.6705882352941176</v>
      </c>
      <c r="CE102" s="23">
        <v>0.5714285714285714</v>
      </c>
      <c r="CF102" s="23">
        <v>0.65853658536585369</v>
      </c>
      <c r="CK102" s="23">
        <v>8.1967213114754103E-3</v>
      </c>
      <c r="CL102" s="23">
        <v>0.13043478260869565</v>
      </c>
      <c r="CM102" s="23">
        <v>0.35294117647058826</v>
      </c>
      <c r="CN102" s="23">
        <v>0.38823529411764707</v>
      </c>
      <c r="CO102" s="23">
        <v>0.33333333333333331</v>
      </c>
      <c r="CP102" s="23">
        <v>0.35087719298245612</v>
      </c>
    </row>
    <row r="103" spans="3:94" x14ac:dyDescent="0.25">
      <c r="C103" s="21">
        <v>28.011204481792717</v>
      </c>
      <c r="D103" s="21">
        <v>59.880239520958085</v>
      </c>
      <c r="E103" s="21">
        <v>76.294277929155314</v>
      </c>
      <c r="F103" s="21">
        <v>54.945054945054942</v>
      </c>
      <c r="G103" s="21">
        <v>19.672131147540984</v>
      </c>
      <c r="H103" s="21">
        <v>3.6630036630036629</v>
      </c>
      <c r="K103" s="23">
        <v>0</v>
      </c>
      <c r="L103" s="23">
        <v>11.428571428571429</v>
      </c>
      <c r="M103" s="23">
        <v>9.2307692307692317</v>
      </c>
      <c r="N103" s="23">
        <v>5</v>
      </c>
      <c r="O103" s="23">
        <v>0</v>
      </c>
      <c r="P103" s="23">
        <v>26.143790849673206</v>
      </c>
      <c r="Q103" s="23">
        <v>27.631578947368425</v>
      </c>
      <c r="R103" s="23">
        <v>15</v>
      </c>
      <c r="V103" s="23">
        <v>0.1865</v>
      </c>
      <c r="W103" s="23">
        <v>0.20649999999999999</v>
      </c>
      <c r="X103" s="23">
        <v>0.377</v>
      </c>
      <c r="Y103" s="23">
        <v>0.14299999999999999</v>
      </c>
      <c r="Z103" s="23">
        <v>3.4500000000000003E-2</v>
      </c>
      <c r="AA103" s="23">
        <v>5.2499999999999998E-2</v>
      </c>
      <c r="AE103" s="23">
        <v>4.2016806722689079E-2</v>
      </c>
      <c r="AF103" s="23">
        <v>7.7844311377245512E-2</v>
      </c>
      <c r="AG103" s="23">
        <v>8.4468664850136238E-2</v>
      </c>
      <c r="AH103" s="23">
        <v>7.4175824175824176E-2</v>
      </c>
      <c r="AI103" s="23">
        <v>1.9672131147540985E-2</v>
      </c>
      <c r="AJ103" s="23">
        <v>0</v>
      </c>
      <c r="AO103" s="23">
        <v>2.6470588235294117E-2</v>
      </c>
      <c r="AP103" s="23">
        <v>5.6291390728476824E-2</v>
      </c>
      <c r="AQ103" s="23">
        <v>5.387205387205387E-2</v>
      </c>
      <c r="AR103" s="23">
        <v>6.1302681992337162E-2</v>
      </c>
      <c r="AS103" s="23">
        <v>0.11442786069651742</v>
      </c>
      <c r="AT103" s="23">
        <v>0.10743801652892562</v>
      </c>
      <c r="AU103" s="23">
        <v>6.1760840998685937E-2</v>
      </c>
      <c r="AW103" s="100">
        <v>105</v>
      </c>
      <c r="AX103" s="100">
        <v>47</v>
      </c>
      <c r="BB103" s="23">
        <v>0.84615384615384615</v>
      </c>
      <c r="BC103" s="23">
        <v>0.75</v>
      </c>
      <c r="BD103" s="23">
        <v>0.8571428571428571</v>
      </c>
      <c r="BE103" s="23">
        <v>0.89473684210526316</v>
      </c>
      <c r="BF103" s="23">
        <v>0.375</v>
      </c>
      <c r="BH103" s="23">
        <v>0.79012345679012341</v>
      </c>
      <c r="BK103" s="23">
        <v>0.14438502673796791</v>
      </c>
      <c r="BL103" s="23">
        <v>5.3475935828877004E-2</v>
      </c>
      <c r="BM103" s="23">
        <v>0.25133689839572193</v>
      </c>
      <c r="BN103" s="23">
        <v>0.55080213903743314</v>
      </c>
      <c r="BR103" s="23">
        <v>0.60053619302949057</v>
      </c>
      <c r="BS103" s="23">
        <v>0.46489104116222763</v>
      </c>
      <c r="BT103" s="23">
        <v>0.72679045092838201</v>
      </c>
      <c r="BU103" s="23">
        <v>0.65734265734265729</v>
      </c>
      <c r="BV103" s="23">
        <v>0.71014492753623193</v>
      </c>
      <c r="BW103" s="23">
        <v>0.16190476190476191</v>
      </c>
      <c r="CA103" s="23">
        <v>0.52941176470588236</v>
      </c>
      <c r="CB103" s="23">
        <v>0.69867549668874174</v>
      </c>
      <c r="CC103" s="23">
        <v>0.67003367003366998</v>
      </c>
      <c r="CD103" s="23">
        <v>0.66283524904214564</v>
      </c>
      <c r="CE103" s="23">
        <v>0.70149253731343286</v>
      </c>
      <c r="CF103" s="23">
        <v>0.60330578512396693</v>
      </c>
      <c r="CK103" s="23">
        <v>5.46875E-2</v>
      </c>
      <c r="CL103" s="23">
        <v>0.22330097087378642</v>
      </c>
      <c r="CM103" s="23">
        <v>0.21348314606741572</v>
      </c>
      <c r="CN103" s="23">
        <v>0.35</v>
      </c>
      <c r="CO103" s="23">
        <v>0.44736842105263158</v>
      </c>
      <c r="CP103" s="23">
        <v>0.42</v>
      </c>
    </row>
    <row r="104" spans="3:94" x14ac:dyDescent="0.25">
      <c r="C104" s="21">
        <v>22.408963585434172</v>
      </c>
      <c r="D104" s="21">
        <v>50.295857988165679</v>
      </c>
      <c r="E104" s="21">
        <v>67.226890756302524</v>
      </c>
      <c r="F104" s="21">
        <v>37.837837837837839</v>
      </c>
      <c r="G104" s="21">
        <v>16.393442622950818</v>
      </c>
      <c r="H104" s="21">
        <v>3.6630036630036629</v>
      </c>
      <c r="K104" s="23">
        <v>0</v>
      </c>
      <c r="L104" s="23">
        <v>6.5789473684210522</v>
      </c>
      <c r="M104" s="23">
        <v>7.4766355140186906</v>
      </c>
      <c r="N104" s="23">
        <v>17.391304347826086</v>
      </c>
      <c r="O104" s="23">
        <v>0</v>
      </c>
      <c r="P104" s="23">
        <v>28.846153846153843</v>
      </c>
      <c r="Q104" s="23">
        <v>32.258064516129032</v>
      </c>
      <c r="R104" s="23">
        <v>32.142857142857146</v>
      </c>
      <c r="V104" s="23">
        <v>0.20250000000000001</v>
      </c>
      <c r="W104" s="23">
        <v>0.219</v>
      </c>
      <c r="X104" s="23">
        <v>0.36399999999999999</v>
      </c>
      <c r="Y104" s="23">
        <v>0.13300000000000001</v>
      </c>
      <c r="Z104" s="23">
        <v>3.5000000000000003E-2</v>
      </c>
      <c r="AA104" s="23">
        <v>4.65E-2</v>
      </c>
      <c r="AE104" s="23">
        <v>4.7619047619047616E-2</v>
      </c>
      <c r="AF104" s="23">
        <v>6.8047337278106509E-2</v>
      </c>
      <c r="AG104" s="23">
        <v>5.3221288515406161E-2</v>
      </c>
      <c r="AH104" s="23">
        <v>7.2972972972972977E-2</v>
      </c>
      <c r="AI104" s="23">
        <v>2.2950819672131147E-2</v>
      </c>
      <c r="AJ104" s="23">
        <v>0</v>
      </c>
      <c r="AO104" s="23">
        <v>5.9880239520958087E-3</v>
      </c>
      <c r="AP104" s="23">
        <v>2.6936026936026935E-2</v>
      </c>
      <c r="AQ104" s="23">
        <v>6.2091503267973858E-2</v>
      </c>
      <c r="AR104" s="23">
        <v>7.03125E-2</v>
      </c>
      <c r="AS104" s="23">
        <v>9.0452261306532666E-2</v>
      </c>
      <c r="AT104" s="23">
        <v>0.10909090909090909</v>
      </c>
      <c r="AU104" s="23">
        <v>5.1264980026631157E-2</v>
      </c>
      <c r="AW104" s="100">
        <v>93</v>
      </c>
      <c r="AX104" s="100">
        <v>38.5</v>
      </c>
      <c r="BB104" s="23">
        <v>0.8571428571428571</v>
      </c>
      <c r="BC104" s="23">
        <v>0.83333333333333337</v>
      </c>
      <c r="BD104" s="23">
        <v>0.625</v>
      </c>
      <c r="BE104" s="23">
        <v>0.73333333333333328</v>
      </c>
      <c r="BF104" s="23">
        <v>0.75</v>
      </c>
      <c r="BH104" s="23">
        <v>0.76119402985074625</v>
      </c>
      <c r="BK104" s="23">
        <v>1.4598540145985401E-2</v>
      </c>
      <c r="BL104" s="23">
        <v>8.7591240875912413E-2</v>
      </c>
      <c r="BM104" s="23">
        <v>0.31386861313868614</v>
      </c>
      <c r="BN104" s="23">
        <v>0.58394160583941601</v>
      </c>
      <c r="BR104" s="23">
        <v>0.64691358024691359</v>
      </c>
      <c r="BS104" s="23">
        <v>0.47031963470319632</v>
      </c>
      <c r="BT104" s="23">
        <v>0.72664835164835162</v>
      </c>
      <c r="BU104" s="23">
        <v>0.60526315789473684</v>
      </c>
      <c r="BV104" s="23">
        <v>0.6</v>
      </c>
      <c r="BW104" s="23">
        <v>0.15053763440860216</v>
      </c>
      <c r="CA104" s="23">
        <v>0.49700598802395207</v>
      </c>
      <c r="CB104" s="23">
        <v>0.59259259259259256</v>
      </c>
      <c r="CC104" s="23">
        <v>0.69607843137254899</v>
      </c>
      <c r="CD104" s="23">
        <v>0.66015625</v>
      </c>
      <c r="CE104" s="23">
        <v>0.65829145728643212</v>
      </c>
      <c r="CF104" s="23">
        <v>0.75454545454545452</v>
      </c>
      <c r="CK104" s="23">
        <v>1.6326530612244899E-2</v>
      </c>
      <c r="CL104" s="23">
        <v>0.15306122448979592</v>
      </c>
      <c r="CM104" s="23">
        <v>0.29906542056074764</v>
      </c>
      <c r="CN104" s="23">
        <v>0.33333333333333331</v>
      </c>
      <c r="CO104" s="23">
        <v>0.33750000000000002</v>
      </c>
      <c r="CP104" s="23">
        <v>0.38095238095238093</v>
      </c>
    </row>
    <row r="105" spans="3:94" x14ac:dyDescent="0.25">
      <c r="C105" s="21">
        <v>39.436619718309856</v>
      </c>
      <c r="D105" s="21">
        <v>50.595238095238095</v>
      </c>
      <c r="E105" s="21">
        <v>79.234972677595621</v>
      </c>
      <c r="F105" s="21">
        <v>38.997214484679667</v>
      </c>
      <c r="G105" s="21">
        <v>35.59870550161812</v>
      </c>
      <c r="H105" s="21">
        <v>21.818181818181817</v>
      </c>
      <c r="K105" s="23">
        <v>0</v>
      </c>
      <c r="L105" s="23">
        <v>2.8985507246376812</v>
      </c>
      <c r="M105" s="23">
        <v>9.8802395209580833</v>
      </c>
      <c r="N105" s="23">
        <v>3.8461538461538463</v>
      </c>
      <c r="O105" s="23">
        <v>0</v>
      </c>
      <c r="P105" s="23">
        <v>27.950310559006208</v>
      </c>
      <c r="Q105" s="23">
        <v>19.672131147540984</v>
      </c>
      <c r="R105" s="23">
        <v>7.1428571428571423</v>
      </c>
      <c r="V105" s="23">
        <v>0.20200000000000001</v>
      </c>
      <c r="W105" s="23">
        <v>0.20649999999999999</v>
      </c>
      <c r="X105" s="23">
        <v>0.38700000000000001</v>
      </c>
      <c r="Y105" s="23">
        <v>0.13750000000000001</v>
      </c>
      <c r="Z105" s="23">
        <v>2.9499999999999998E-2</v>
      </c>
      <c r="AA105" s="23">
        <v>3.7499999999999999E-2</v>
      </c>
      <c r="AE105" s="23">
        <v>3.9436619718309862E-2</v>
      </c>
      <c r="AF105" s="23">
        <v>4.1666666666666664E-2</v>
      </c>
      <c r="AG105" s="23">
        <v>4.9180327868852458E-2</v>
      </c>
      <c r="AH105" s="23">
        <v>6.1281337047353758E-2</v>
      </c>
      <c r="AI105" s="23">
        <v>2.2653721682847898E-2</v>
      </c>
      <c r="AJ105" s="23">
        <v>0</v>
      </c>
      <c r="AO105" s="23">
        <v>5.8997050147492625E-3</v>
      </c>
      <c r="AP105" s="23">
        <v>2.5806451612903226E-2</v>
      </c>
      <c r="AQ105" s="23">
        <v>7.3482428115015971E-2</v>
      </c>
      <c r="AR105" s="23">
        <v>7.43801652892562E-2</v>
      </c>
      <c r="AS105" s="23">
        <v>9.8522167487684734E-2</v>
      </c>
      <c r="AT105" s="23">
        <v>7.0175438596491224E-2</v>
      </c>
      <c r="AU105" s="23">
        <v>5.1939513477975013E-2</v>
      </c>
      <c r="AW105" s="100">
        <v>75</v>
      </c>
      <c r="AX105" s="100">
        <v>39.5</v>
      </c>
      <c r="BB105" s="23">
        <v>0.63636363636363635</v>
      </c>
      <c r="BC105" s="23">
        <v>0.75</v>
      </c>
      <c r="BD105" s="23">
        <v>0.84615384615384615</v>
      </c>
      <c r="BE105" s="23">
        <v>0.83333333333333337</v>
      </c>
      <c r="BF105" s="23">
        <v>0.83333333333333337</v>
      </c>
      <c r="BH105" s="23">
        <v>0.78333333333333333</v>
      </c>
      <c r="BK105" s="23">
        <v>0.13740458015267176</v>
      </c>
      <c r="BL105" s="23">
        <v>2.2900763358778626E-2</v>
      </c>
      <c r="BM105" s="23">
        <v>0.29007633587786258</v>
      </c>
      <c r="BN105" s="23">
        <v>0.54961832061068705</v>
      </c>
      <c r="BR105" s="23">
        <v>0.63613861386138615</v>
      </c>
      <c r="BS105" s="23">
        <v>0.50121065375302665</v>
      </c>
      <c r="BT105" s="23">
        <v>0.71188630490956073</v>
      </c>
      <c r="BU105" s="23">
        <v>0.66909090909090907</v>
      </c>
      <c r="BV105" s="23">
        <v>0.66101694915254239</v>
      </c>
      <c r="BW105" s="23">
        <v>0.17333333333333334</v>
      </c>
      <c r="CA105" s="23">
        <v>0.51032448377581119</v>
      </c>
      <c r="CB105" s="23">
        <v>0.69354838709677424</v>
      </c>
      <c r="CC105" s="23">
        <v>0.72204472843450485</v>
      </c>
      <c r="CD105" s="23">
        <v>0.71900826446280997</v>
      </c>
      <c r="CE105" s="23">
        <v>0.60098522167487689</v>
      </c>
      <c r="CF105" s="23">
        <v>0.6228070175438597</v>
      </c>
      <c r="CK105" s="23">
        <v>1.968503937007874E-2</v>
      </c>
      <c r="CL105" s="23">
        <v>0.15151515151515152</v>
      </c>
      <c r="CM105" s="23">
        <v>0.37362637362637363</v>
      </c>
      <c r="CN105" s="23">
        <v>0.38461538461538464</v>
      </c>
      <c r="CO105" s="23">
        <v>0.44444444444444442</v>
      </c>
      <c r="CP105" s="23">
        <v>0.28888888888888886</v>
      </c>
    </row>
    <row r="106" spans="3:94" x14ac:dyDescent="0.25">
      <c r="C106" s="21">
        <v>50.420168067226889</v>
      </c>
      <c r="D106" s="21">
        <v>39.156626506024097</v>
      </c>
      <c r="E106" s="21">
        <v>57.220708446866482</v>
      </c>
      <c r="F106" s="21">
        <v>66.666666666666671</v>
      </c>
      <c r="G106" s="21">
        <v>29.220779220779221</v>
      </c>
      <c r="H106" s="21">
        <v>7.2463768115942031</v>
      </c>
      <c r="K106" s="23">
        <v>0</v>
      </c>
      <c r="L106" s="23">
        <v>10.810810810810811</v>
      </c>
      <c r="M106" s="23">
        <v>9.3373493975903603</v>
      </c>
      <c r="N106" s="23">
        <v>12.5</v>
      </c>
      <c r="O106" s="23">
        <v>0</v>
      </c>
      <c r="P106" s="23">
        <v>11.724137931034482</v>
      </c>
      <c r="Q106" s="23">
        <v>21.875</v>
      </c>
      <c r="R106" s="23">
        <v>14.705882352941178</v>
      </c>
      <c r="V106" s="23">
        <v>0.19600000000000001</v>
      </c>
      <c r="W106" s="23">
        <v>0.2135</v>
      </c>
      <c r="X106" s="23">
        <v>0.38650000000000001</v>
      </c>
      <c r="Y106" s="23">
        <v>0.13800000000000001</v>
      </c>
      <c r="Z106" s="23">
        <v>2.4E-2</v>
      </c>
      <c r="AA106" s="23">
        <v>4.2000000000000003E-2</v>
      </c>
      <c r="AE106" s="23">
        <v>1.9607843137254902E-2</v>
      </c>
      <c r="AF106" s="23">
        <v>6.9277108433734941E-2</v>
      </c>
      <c r="AG106" s="23">
        <v>6.8119891008174394E-2</v>
      </c>
      <c r="AH106" s="23">
        <v>0.05</v>
      </c>
      <c r="AI106" s="23">
        <v>3.2467532467532464E-2</v>
      </c>
      <c r="AJ106" s="23">
        <v>3.6231884057971015E-3</v>
      </c>
      <c r="AO106" s="23">
        <v>8.7463556851311956E-3</v>
      </c>
      <c r="AP106" s="23">
        <v>2.3333333333333334E-2</v>
      </c>
      <c r="AQ106" s="23">
        <v>4.9342105263157895E-2</v>
      </c>
      <c r="AR106" s="23">
        <v>6.7729083665338641E-2</v>
      </c>
      <c r="AS106" s="23">
        <v>7.1065989847715741E-2</v>
      </c>
      <c r="AT106" s="23">
        <v>7.7519379844961239E-2</v>
      </c>
      <c r="AU106" s="23">
        <v>4.3307086614173228E-2</v>
      </c>
      <c r="AW106" s="100">
        <v>84</v>
      </c>
      <c r="AX106" s="100">
        <v>33</v>
      </c>
      <c r="BB106" s="23">
        <v>0.66666666666666663</v>
      </c>
      <c r="BC106" s="23">
        <v>0.83333333333333337</v>
      </c>
      <c r="BD106" s="23">
        <v>0.73684210526315785</v>
      </c>
      <c r="BE106" s="23">
        <v>0.73333333333333328</v>
      </c>
      <c r="BF106" s="23">
        <v>0.8571428571428571</v>
      </c>
      <c r="BG106" s="23">
        <v>1</v>
      </c>
      <c r="BH106" s="23">
        <v>0.77777777777777779</v>
      </c>
      <c r="BK106" s="23">
        <v>0.16129032258064516</v>
      </c>
      <c r="BL106" s="23">
        <v>5.8064516129032261E-2</v>
      </c>
      <c r="BM106" s="23">
        <v>0.25161290322580643</v>
      </c>
      <c r="BN106" s="23">
        <v>0.52903225806451615</v>
      </c>
      <c r="BR106" s="23">
        <v>0.66326530612244894</v>
      </c>
      <c r="BS106" s="23">
        <v>0.51288056206088994</v>
      </c>
      <c r="BT106" s="23">
        <v>0.71021992238033638</v>
      </c>
      <c r="BU106" s="23">
        <v>0.62681159420289856</v>
      </c>
      <c r="BV106" s="23">
        <v>0.64583333333333337</v>
      </c>
      <c r="BW106" s="23">
        <v>0.19047619047619047</v>
      </c>
      <c r="CA106" s="23">
        <v>0.52478134110787167</v>
      </c>
      <c r="CB106" s="23">
        <v>0.68333333333333335</v>
      </c>
      <c r="CC106" s="23">
        <v>0.70065789473684215</v>
      </c>
      <c r="CD106" s="23">
        <v>0.67330677290836649</v>
      </c>
      <c r="CE106" s="23">
        <v>0.64467005076142136</v>
      </c>
      <c r="CF106" s="23">
        <v>0.60465116279069764</v>
      </c>
      <c r="CK106" s="23">
        <v>1.953125E-2</v>
      </c>
      <c r="CL106" s="23">
        <v>0.13592233009708737</v>
      </c>
      <c r="CM106" s="23">
        <v>0.24050632911392406</v>
      </c>
      <c r="CN106" s="23">
        <v>0.33333333333333331</v>
      </c>
      <c r="CO106" s="23">
        <v>0.27142857142857141</v>
      </c>
      <c r="CP106" s="23">
        <v>0.27272727272727271</v>
      </c>
    </row>
    <row r="107" spans="3:94" x14ac:dyDescent="0.25">
      <c r="C107" s="21">
        <v>36.619718309859152</v>
      </c>
      <c r="D107" s="21">
        <v>39.156626506024097</v>
      </c>
      <c r="E107" s="21">
        <v>70.270270270270274</v>
      </c>
      <c r="F107" s="21">
        <v>66.4819944598338</v>
      </c>
      <c r="G107" s="21">
        <v>32.573289902280131</v>
      </c>
      <c r="H107" s="21">
        <v>7.2727272727272725</v>
      </c>
      <c r="K107" s="23">
        <v>0</v>
      </c>
      <c r="L107" s="23">
        <v>1.3888888888888888</v>
      </c>
      <c r="M107" s="23">
        <v>9.0909090909090917</v>
      </c>
      <c r="N107" s="23">
        <v>12</v>
      </c>
      <c r="O107" s="23">
        <v>0</v>
      </c>
      <c r="P107" s="23">
        <v>22.222222222222221</v>
      </c>
      <c r="Q107" s="23">
        <v>14.285714285714285</v>
      </c>
      <c r="R107" s="23">
        <v>20.833333333333336</v>
      </c>
      <c r="V107" s="23">
        <v>0.19750000000000001</v>
      </c>
      <c r="W107" s="23">
        <v>0.2165</v>
      </c>
      <c r="X107" s="23">
        <v>0.379</v>
      </c>
      <c r="Y107" s="23">
        <v>0.14249999999999999</v>
      </c>
      <c r="Z107" s="23">
        <v>2.0500000000000001E-2</v>
      </c>
      <c r="AA107" s="23">
        <v>4.3999999999999997E-2</v>
      </c>
      <c r="AE107" s="23">
        <v>3.0985915492957747E-2</v>
      </c>
      <c r="AF107" s="23">
        <v>6.3253012048192767E-2</v>
      </c>
      <c r="AG107" s="23">
        <v>7.567567567567568E-2</v>
      </c>
      <c r="AH107" s="23">
        <v>5.817174515235457E-2</v>
      </c>
      <c r="AI107" s="23">
        <v>2.2801302931596091E-2</v>
      </c>
      <c r="AJ107" s="23">
        <v>0</v>
      </c>
      <c r="AO107" s="23">
        <v>2.9325513196480938E-3</v>
      </c>
      <c r="AP107" s="23">
        <v>4.2345276872964167E-2</v>
      </c>
      <c r="AQ107" s="23">
        <v>9.1503267973856203E-2</v>
      </c>
      <c r="AR107" s="23">
        <v>6.1728395061728392E-2</v>
      </c>
      <c r="AS107" s="23">
        <v>7.6555023923444973E-2</v>
      </c>
      <c r="AT107" s="23">
        <v>8.1081081081081086E-2</v>
      </c>
      <c r="AU107" s="23">
        <v>5.4054054054054057E-2</v>
      </c>
      <c r="AW107" s="100">
        <v>88</v>
      </c>
      <c r="AX107" s="100">
        <v>41</v>
      </c>
      <c r="BB107" s="23">
        <v>0.66666666666666663</v>
      </c>
      <c r="BC107" s="23">
        <v>0.91666666666666663</v>
      </c>
      <c r="BD107" s="23">
        <v>0.76190476190476186</v>
      </c>
      <c r="BE107" s="23">
        <v>0.84210526315789469</v>
      </c>
      <c r="BF107" s="23">
        <v>0.75</v>
      </c>
      <c r="BH107" s="23">
        <v>0.8</v>
      </c>
      <c r="BK107" s="23">
        <v>0.14569536423841059</v>
      </c>
      <c r="BL107" s="23">
        <v>1.3245033112582781E-2</v>
      </c>
      <c r="BM107" s="23">
        <v>0.3443708609271523</v>
      </c>
      <c r="BN107" s="23">
        <v>0.49668874172185429</v>
      </c>
      <c r="BR107" s="23">
        <v>0.58987341772151902</v>
      </c>
      <c r="BS107" s="23">
        <v>0.48498845265588914</v>
      </c>
      <c r="BT107" s="23">
        <v>0.73614775725593673</v>
      </c>
      <c r="BU107" s="23">
        <v>0.65263157894736845</v>
      </c>
      <c r="BV107" s="23">
        <v>0.78048780487804881</v>
      </c>
      <c r="BW107" s="23">
        <v>0.15909090909090909</v>
      </c>
      <c r="CA107" s="23">
        <v>0.53372434017595305</v>
      </c>
      <c r="CB107" s="23">
        <v>0.71986970684039087</v>
      </c>
      <c r="CC107" s="23">
        <v>0.70588235294117652</v>
      </c>
      <c r="CD107" s="23">
        <v>0.70781893004115226</v>
      </c>
      <c r="CE107" s="23">
        <v>0.60765550239234445</v>
      </c>
      <c r="CF107" s="23">
        <v>0.61261261261261257</v>
      </c>
      <c r="CK107" s="23">
        <v>8.1632653061224497E-3</v>
      </c>
      <c r="CL107" s="23">
        <v>0.14678899082568808</v>
      </c>
      <c r="CM107" s="23">
        <v>0.34693877551020408</v>
      </c>
      <c r="CN107" s="23">
        <v>0.25</v>
      </c>
      <c r="CO107" s="23">
        <v>0.30136986301369861</v>
      </c>
      <c r="CP107" s="23">
        <v>0.35</v>
      </c>
    </row>
    <row r="108" spans="3:94" x14ac:dyDescent="0.25">
      <c r="C108" s="21">
        <v>25.069637883008358</v>
      </c>
      <c r="D108" s="21">
        <v>44.776119402985074</v>
      </c>
      <c r="E108" s="21">
        <v>60.606060606060609</v>
      </c>
      <c r="F108" s="21">
        <v>46.195652173913047</v>
      </c>
      <c r="G108" s="21">
        <v>39.867109634551497</v>
      </c>
      <c r="H108" s="21">
        <v>0</v>
      </c>
      <c r="K108" s="23">
        <v>0</v>
      </c>
      <c r="L108" s="23">
        <v>6.4516129032258061</v>
      </c>
      <c r="M108" s="23">
        <v>9.5238095238095237</v>
      </c>
      <c r="N108" s="23">
        <v>0</v>
      </c>
      <c r="O108" s="23">
        <v>0</v>
      </c>
      <c r="P108" s="23">
        <v>16.560509554140125</v>
      </c>
      <c r="Q108" s="23">
        <v>24.590163934426229</v>
      </c>
      <c r="R108" s="23">
        <v>5.7142857142857144</v>
      </c>
      <c r="V108" s="23">
        <v>0.19650000000000001</v>
      </c>
      <c r="W108" s="23">
        <v>0.21249999999999999</v>
      </c>
      <c r="X108" s="23">
        <v>0.38750000000000001</v>
      </c>
      <c r="Y108" s="23">
        <v>0.13200000000000001</v>
      </c>
      <c r="Z108" s="23">
        <v>0.03</v>
      </c>
      <c r="AA108" s="23">
        <v>4.1500000000000002E-2</v>
      </c>
      <c r="AE108" s="23">
        <v>1.9498607242339833E-2</v>
      </c>
      <c r="AF108" s="23">
        <v>6.8656716417910449E-2</v>
      </c>
      <c r="AG108" s="23">
        <v>6.6115702479338845E-2</v>
      </c>
      <c r="AH108" s="23">
        <v>6.5217391304347824E-2</v>
      </c>
      <c r="AI108" s="23">
        <v>1.3289036544850499E-2</v>
      </c>
      <c r="AJ108" s="23">
        <v>3.6496350364963502E-3</v>
      </c>
      <c r="AO108" s="23">
        <v>1.1494252873563218E-2</v>
      </c>
      <c r="AP108" s="23">
        <v>6.3333333333333339E-2</v>
      </c>
      <c r="AQ108" s="23">
        <v>4.0540540540540543E-2</v>
      </c>
      <c r="AR108" s="23">
        <v>6.7193675889328064E-2</v>
      </c>
      <c r="AS108" s="23">
        <v>7.6530612244897961E-2</v>
      </c>
      <c r="AT108" s="23">
        <v>0.10687022900763359</v>
      </c>
      <c r="AU108" s="23">
        <v>5.3149606299212601E-2</v>
      </c>
      <c r="AW108" s="100">
        <v>83</v>
      </c>
      <c r="AX108" s="100">
        <v>40.5</v>
      </c>
      <c r="BB108" s="23">
        <v>0.66666666666666663</v>
      </c>
      <c r="BC108" s="23">
        <v>0.94117647058823528</v>
      </c>
      <c r="BD108" s="23">
        <v>0.78947368421052633</v>
      </c>
      <c r="BE108" s="23">
        <v>0.73684210526315785</v>
      </c>
      <c r="BF108" s="23">
        <v>0.5</v>
      </c>
      <c r="BH108" s="23">
        <v>0.77941176470588236</v>
      </c>
      <c r="BK108" s="23">
        <v>0.11834319526627218</v>
      </c>
      <c r="BL108" s="23">
        <v>8.8757396449704137E-2</v>
      </c>
      <c r="BM108" s="23">
        <v>0.21893491124260356</v>
      </c>
      <c r="BN108" s="23">
        <v>0.57396449704142016</v>
      </c>
      <c r="BR108" s="23">
        <v>0.65394402035623411</v>
      </c>
      <c r="BS108" s="23">
        <v>0.51058823529411768</v>
      </c>
      <c r="BT108" s="23">
        <v>0.7251612903225807</v>
      </c>
      <c r="BU108" s="23">
        <v>0.61742424242424243</v>
      </c>
      <c r="BV108" s="23">
        <v>0.6</v>
      </c>
      <c r="BW108" s="23">
        <v>0.14457831325301204</v>
      </c>
      <c r="CA108" s="23">
        <v>0.5545977011494253</v>
      </c>
      <c r="CB108" s="23">
        <v>0.68666666666666665</v>
      </c>
      <c r="CC108" s="23">
        <v>0.71959459459459463</v>
      </c>
      <c r="CD108" s="23">
        <v>0.65217391304347827</v>
      </c>
      <c r="CE108" s="23">
        <v>0.61734693877551017</v>
      </c>
      <c r="CF108" s="23">
        <v>0.61068702290076338</v>
      </c>
      <c r="CK108" s="23">
        <v>4.3137254901960784E-2</v>
      </c>
      <c r="CL108" s="23">
        <v>0.22033898305084745</v>
      </c>
      <c r="CM108" s="23">
        <v>0.24358974358974358</v>
      </c>
      <c r="CN108" s="23">
        <v>0.36923076923076925</v>
      </c>
      <c r="CO108" s="23">
        <v>0.36507936507936506</v>
      </c>
      <c r="CP108" s="23">
        <v>0.34426229508196721</v>
      </c>
    </row>
    <row r="109" spans="3:94" x14ac:dyDescent="0.25">
      <c r="C109" s="21">
        <v>47.61904761904762</v>
      </c>
      <c r="D109" s="21">
        <v>59.347181008902076</v>
      </c>
      <c r="E109" s="21">
        <v>76.92307692307692</v>
      </c>
      <c r="F109" s="21">
        <v>74.175824175824175</v>
      </c>
      <c r="G109" s="21">
        <v>35.947712418300654</v>
      </c>
      <c r="H109" s="21">
        <v>7.3529411764705879</v>
      </c>
      <c r="K109" s="23">
        <v>0</v>
      </c>
      <c r="L109" s="23">
        <v>6.8965517241379306</v>
      </c>
      <c r="M109" s="23">
        <v>11.301369863013697</v>
      </c>
      <c r="N109" s="23">
        <v>3.5714285714285712</v>
      </c>
      <c r="O109" s="23">
        <v>0</v>
      </c>
      <c r="P109" s="23">
        <v>19.148936170212767</v>
      </c>
      <c r="Q109" s="23">
        <v>26.027397260273972</v>
      </c>
      <c r="R109" s="23">
        <v>18.181818181818183</v>
      </c>
      <c r="V109" s="23">
        <v>0.2</v>
      </c>
      <c r="W109" s="23">
        <v>0.2175</v>
      </c>
      <c r="X109" s="23">
        <v>0.36649999999999999</v>
      </c>
      <c r="Y109" s="23">
        <v>0.13400000000000001</v>
      </c>
      <c r="Z109" s="23">
        <v>3.3000000000000002E-2</v>
      </c>
      <c r="AA109" s="23">
        <v>4.9000000000000002E-2</v>
      </c>
      <c r="AE109" s="23">
        <v>4.7619047619047616E-2</v>
      </c>
      <c r="AF109" s="23">
        <v>6.5281899109792291E-2</v>
      </c>
      <c r="AG109" s="23">
        <v>9.0659340659340656E-2</v>
      </c>
      <c r="AH109" s="23">
        <v>5.7692307692307696E-2</v>
      </c>
      <c r="AI109" s="23">
        <v>1.6339869281045753E-2</v>
      </c>
      <c r="AJ109" s="23">
        <v>0</v>
      </c>
      <c r="AO109" s="23">
        <v>8.8757396449704144E-3</v>
      </c>
      <c r="AP109" s="23">
        <v>2.903225806451613E-2</v>
      </c>
      <c r="AQ109" s="23">
        <v>4.4827586206896551E-2</v>
      </c>
      <c r="AR109" s="23">
        <v>8.7999999999999995E-2</v>
      </c>
      <c r="AS109" s="23">
        <v>6.6666666666666666E-2</v>
      </c>
      <c r="AT109" s="23">
        <v>5.8823529411764705E-2</v>
      </c>
      <c r="AU109" s="23">
        <v>4.4607190412782959E-2</v>
      </c>
      <c r="AW109" s="100">
        <v>98</v>
      </c>
      <c r="AX109" s="100">
        <v>33.5</v>
      </c>
      <c r="BB109" s="23">
        <v>1</v>
      </c>
      <c r="BC109" s="23">
        <v>0.82352941176470584</v>
      </c>
      <c r="BD109" s="23">
        <v>0.77777777777777779</v>
      </c>
      <c r="BE109" s="23">
        <v>0.94117647058823528</v>
      </c>
      <c r="BF109" s="23">
        <v>0.5</v>
      </c>
      <c r="BG109" s="23">
        <v>0</v>
      </c>
      <c r="BH109" s="23">
        <v>0.84848484848484851</v>
      </c>
      <c r="BK109" s="23">
        <v>0.15923566878980891</v>
      </c>
      <c r="BL109" s="23">
        <v>5.7324840764331211E-2</v>
      </c>
      <c r="BM109" s="23">
        <v>0.32484076433121017</v>
      </c>
      <c r="BN109" s="23">
        <v>0.45859872611464969</v>
      </c>
      <c r="BR109" s="23">
        <v>0.65749999999999997</v>
      </c>
      <c r="BS109" s="23">
        <v>0.51034482758620692</v>
      </c>
      <c r="BT109" s="23">
        <v>0.68622100954979537</v>
      </c>
      <c r="BU109" s="23">
        <v>0.60447761194029848</v>
      </c>
      <c r="BV109" s="23">
        <v>0.59090909090909094</v>
      </c>
      <c r="BW109" s="23">
        <v>0.17346938775510204</v>
      </c>
      <c r="CA109" s="23">
        <v>0.55029585798816572</v>
      </c>
      <c r="CB109" s="23">
        <v>0.63548387096774195</v>
      </c>
      <c r="CC109" s="23">
        <v>0.64827586206896548</v>
      </c>
      <c r="CD109" s="23">
        <v>0.66</v>
      </c>
      <c r="CE109" s="23">
        <v>0.66666666666666663</v>
      </c>
      <c r="CF109" s="23">
        <v>0.50420168067226889</v>
      </c>
      <c r="CK109" s="23">
        <v>1.7167381974248927E-2</v>
      </c>
      <c r="CL109" s="23">
        <v>0.12727272727272726</v>
      </c>
      <c r="CM109" s="23">
        <v>0.24705882352941178</v>
      </c>
      <c r="CN109" s="23">
        <v>0.4050632911392405</v>
      </c>
      <c r="CO109" s="23">
        <v>0.35714285714285715</v>
      </c>
      <c r="CP109" s="23">
        <v>0.27450980392156865</v>
      </c>
    </row>
    <row r="110" spans="3:94" x14ac:dyDescent="0.25">
      <c r="C110" s="21">
        <v>31.161473087818695</v>
      </c>
      <c r="D110" s="21">
        <v>53.254437869822482</v>
      </c>
      <c r="E110" s="21">
        <v>52.486187845303867</v>
      </c>
      <c r="F110" s="21">
        <v>71.428571428571431</v>
      </c>
      <c r="G110" s="21">
        <v>16.33986928104575</v>
      </c>
      <c r="H110" s="21">
        <v>7.2202166064981945</v>
      </c>
      <c r="K110" s="23">
        <v>0</v>
      </c>
      <c r="L110" s="23">
        <v>5.9701492537313428</v>
      </c>
      <c r="M110" s="23">
        <v>10.32258064516129</v>
      </c>
      <c r="N110" s="23">
        <v>15.625</v>
      </c>
      <c r="O110" s="23">
        <v>0</v>
      </c>
      <c r="P110" s="23">
        <v>14.473684210526317</v>
      </c>
      <c r="Q110" s="23">
        <v>22.448979591836736</v>
      </c>
      <c r="R110" s="23">
        <v>25.925925925925924</v>
      </c>
      <c r="V110" s="23">
        <v>0.2175</v>
      </c>
      <c r="W110" s="23">
        <v>0.21249999999999999</v>
      </c>
      <c r="X110" s="23">
        <v>0.379</v>
      </c>
      <c r="Y110" s="23">
        <v>0.1205</v>
      </c>
      <c r="Z110" s="23">
        <v>2.9499999999999998E-2</v>
      </c>
      <c r="AA110" s="23">
        <v>4.1000000000000002E-2</v>
      </c>
      <c r="AE110" s="23">
        <v>3.1161473087818695E-2</v>
      </c>
      <c r="AF110" s="23">
        <v>7.6923076923076927E-2</v>
      </c>
      <c r="AG110" s="23">
        <v>7.4585635359116026E-2</v>
      </c>
      <c r="AH110" s="23">
        <v>4.3956043956043959E-2</v>
      </c>
      <c r="AI110" s="23">
        <v>6.5359477124183009E-3</v>
      </c>
      <c r="AJ110" s="23">
        <v>0</v>
      </c>
      <c r="AO110" s="23">
        <v>1.1834319526627219E-2</v>
      </c>
      <c r="AP110" s="23">
        <v>4.3333333333333335E-2</v>
      </c>
      <c r="AQ110" s="23">
        <v>3.7162162162162164E-2</v>
      </c>
      <c r="AR110" s="23">
        <v>7.9497907949790794E-2</v>
      </c>
      <c r="AS110" s="23">
        <v>5.7894736842105263E-2</v>
      </c>
      <c r="AT110" s="23">
        <v>0.10833333333333334</v>
      </c>
      <c r="AU110" s="23">
        <v>4.7875927174645991E-2</v>
      </c>
      <c r="AW110" s="100">
        <v>82</v>
      </c>
      <c r="AX110" s="100">
        <v>35.5</v>
      </c>
      <c r="BB110" s="23">
        <v>0.7857142857142857</v>
      </c>
      <c r="BC110" s="23">
        <v>0.58823529411764708</v>
      </c>
      <c r="BD110" s="23">
        <v>0.80952380952380953</v>
      </c>
      <c r="BE110" s="23">
        <v>0.7</v>
      </c>
      <c r="BF110" s="23">
        <v>0</v>
      </c>
      <c r="BH110" s="23">
        <v>0.703125</v>
      </c>
      <c r="BK110" s="23">
        <v>9.8484848484848481E-2</v>
      </c>
      <c r="BL110" s="23">
        <v>9.0909090909090912E-2</v>
      </c>
      <c r="BM110" s="23">
        <v>0.26515151515151514</v>
      </c>
      <c r="BN110" s="23">
        <v>0.54545454545454541</v>
      </c>
      <c r="BR110" s="23">
        <v>0.58620689655172409</v>
      </c>
      <c r="BS110" s="23">
        <v>0.50823529411764701</v>
      </c>
      <c r="BT110" s="23">
        <v>0.73878627968337729</v>
      </c>
      <c r="BU110" s="23">
        <v>0.61410788381742742</v>
      </c>
      <c r="BV110" s="23">
        <v>0.64406779661016944</v>
      </c>
      <c r="BW110" s="23">
        <v>0.12195121951219512</v>
      </c>
      <c r="CA110" s="23">
        <v>0.55917159763313606</v>
      </c>
      <c r="CB110" s="23">
        <v>0.70333333333333337</v>
      </c>
      <c r="CC110" s="23">
        <v>0.72972972972972971</v>
      </c>
      <c r="CD110" s="23">
        <v>0.62761506276150625</v>
      </c>
      <c r="CE110" s="23">
        <v>0.64210526315789473</v>
      </c>
      <c r="CF110" s="23">
        <v>0.6166666666666667</v>
      </c>
      <c r="CK110" s="23">
        <v>2.4793388429752067E-2</v>
      </c>
      <c r="CL110" s="23">
        <v>0.21782178217821782</v>
      </c>
      <c r="CM110" s="23">
        <v>0.22784810126582278</v>
      </c>
      <c r="CN110" s="23">
        <v>0.44</v>
      </c>
      <c r="CO110" s="23">
        <v>0.25862068965517243</v>
      </c>
      <c r="CP110" s="23">
        <v>0.32142857142857145</v>
      </c>
    </row>
    <row r="111" spans="3:94" x14ac:dyDescent="0.25">
      <c r="C111" s="21">
        <v>28.248587570621471</v>
      </c>
      <c r="D111" s="21">
        <v>41.791044776119406</v>
      </c>
      <c r="E111" s="21">
        <v>65.573770491803273</v>
      </c>
      <c r="F111" s="21">
        <v>66.4819944598338</v>
      </c>
      <c r="G111" s="21">
        <v>12.944983818770227</v>
      </c>
      <c r="H111" s="21">
        <v>7.2727272727272725</v>
      </c>
      <c r="K111" s="23">
        <v>0</v>
      </c>
      <c r="L111" s="23">
        <v>4.225352112676056</v>
      </c>
      <c r="M111" s="23">
        <v>9.5522388059701502</v>
      </c>
      <c r="N111" s="23">
        <v>11.76470588235294</v>
      </c>
      <c r="O111" s="23">
        <v>0</v>
      </c>
      <c r="P111" s="23">
        <v>18.656716417910449</v>
      </c>
      <c r="Q111" s="23">
        <v>17.647058823529413</v>
      </c>
      <c r="R111" s="23">
        <v>21.052631578947366</v>
      </c>
      <c r="V111" s="23">
        <v>0.19700000000000001</v>
      </c>
      <c r="W111" s="23">
        <v>0.222</v>
      </c>
      <c r="X111" s="23">
        <v>0.3765</v>
      </c>
      <c r="Y111" s="23">
        <v>0.13200000000000001</v>
      </c>
      <c r="Z111" s="23">
        <v>2.8000000000000001E-2</v>
      </c>
      <c r="AA111" s="23">
        <v>4.4499999999999998E-2</v>
      </c>
      <c r="AE111" s="23">
        <v>3.954802259887006E-2</v>
      </c>
      <c r="AF111" s="23">
        <v>6.5671641791044774E-2</v>
      </c>
      <c r="AG111" s="23">
        <v>6.2841530054644809E-2</v>
      </c>
      <c r="AH111" s="23">
        <v>6.0941828254847646E-2</v>
      </c>
      <c r="AI111" s="23">
        <v>2.2653721682847898E-2</v>
      </c>
      <c r="AJ111" s="23">
        <v>3.6363636363636364E-3</v>
      </c>
      <c r="AO111" s="23">
        <v>1.2012012012012012E-2</v>
      </c>
      <c r="AP111" s="23">
        <v>3.3112582781456956E-2</v>
      </c>
      <c r="AQ111" s="23">
        <v>4.72972972972973E-2</v>
      </c>
      <c r="AR111" s="23">
        <v>8.5365853658536592E-2</v>
      </c>
      <c r="AS111" s="23">
        <v>6.6666666666666666E-2</v>
      </c>
      <c r="AT111" s="23">
        <v>5.3846153846153849E-2</v>
      </c>
      <c r="AU111" s="23">
        <v>4.6143704680290047E-2</v>
      </c>
      <c r="AW111" s="100">
        <v>89</v>
      </c>
      <c r="AX111" s="100">
        <v>35</v>
      </c>
      <c r="BB111" s="23">
        <v>0.75</v>
      </c>
      <c r="BC111" s="23">
        <v>0.9375</v>
      </c>
      <c r="BD111" s="23">
        <v>0.82352941176470584</v>
      </c>
      <c r="BE111" s="23">
        <v>0.8</v>
      </c>
      <c r="BF111" s="23">
        <v>0.83333333333333337</v>
      </c>
      <c r="BG111" s="23">
        <v>0</v>
      </c>
      <c r="BH111" s="23">
        <v>0.82089552238805974</v>
      </c>
      <c r="BK111" s="23">
        <v>0.10240963855421686</v>
      </c>
      <c r="BL111" s="23">
        <v>7.2289156626506021E-2</v>
      </c>
      <c r="BM111" s="23">
        <v>0.3253012048192771</v>
      </c>
      <c r="BN111" s="23">
        <v>0.5</v>
      </c>
      <c r="BR111" s="23">
        <v>0.58883248730964466</v>
      </c>
      <c r="BS111" s="23">
        <v>0.50450450450450446</v>
      </c>
      <c r="BT111" s="23">
        <v>0.71580345285524571</v>
      </c>
      <c r="BU111" s="23">
        <v>0.61742424242424243</v>
      </c>
      <c r="BV111" s="23">
        <v>0.6964285714285714</v>
      </c>
      <c r="BW111" s="23">
        <v>0.12359550561797752</v>
      </c>
      <c r="CA111" s="23">
        <v>0.48648648648648651</v>
      </c>
      <c r="CB111" s="23">
        <v>0.69867549668874174</v>
      </c>
      <c r="CC111" s="23">
        <v>0.70945945945945943</v>
      </c>
      <c r="CD111" s="23">
        <v>0.65853658536585369</v>
      </c>
      <c r="CE111" s="23">
        <v>0.6428571428571429</v>
      </c>
      <c r="CF111" s="23">
        <v>0.65384615384615385</v>
      </c>
      <c r="CK111" s="23">
        <v>2.0242914979757085E-2</v>
      </c>
      <c r="CL111" s="23">
        <v>0.13333333333333333</v>
      </c>
      <c r="CM111" s="23">
        <v>0.27848101265822783</v>
      </c>
      <c r="CN111" s="23">
        <v>0.4</v>
      </c>
      <c r="CO111" s="23">
        <v>0.40277777777777779</v>
      </c>
      <c r="CP111" s="23">
        <v>0.23214285714285715</v>
      </c>
    </row>
    <row r="112" spans="3:94" x14ac:dyDescent="0.25">
      <c r="C112" s="21">
        <v>34.090909090909093</v>
      </c>
      <c r="D112" s="21">
        <v>44.776119402985074</v>
      </c>
      <c r="E112" s="21">
        <v>59.782608695652172</v>
      </c>
      <c r="F112" s="21">
        <v>55.248618784530386</v>
      </c>
      <c r="G112" s="21">
        <v>38.961038961038959</v>
      </c>
      <c r="H112" s="21">
        <v>7.2727272727272725</v>
      </c>
      <c r="K112" s="23">
        <v>0</v>
      </c>
      <c r="L112" s="23">
        <v>1.2658227848101267</v>
      </c>
      <c r="M112" s="23">
        <v>7.878787878787878</v>
      </c>
      <c r="N112" s="23">
        <v>22.727272727272727</v>
      </c>
      <c r="O112" s="23">
        <v>0</v>
      </c>
      <c r="P112" s="23">
        <v>15.753424657534246</v>
      </c>
      <c r="Q112" s="23">
        <v>19.230769230769234</v>
      </c>
      <c r="R112" s="23">
        <v>23.076923076923077</v>
      </c>
      <c r="V112" s="23">
        <v>0.1905</v>
      </c>
      <c r="W112" s="23">
        <v>0.22750000000000001</v>
      </c>
      <c r="X112" s="23">
        <v>0.38250000000000001</v>
      </c>
      <c r="Y112" s="23">
        <v>0.13</v>
      </c>
      <c r="Z112" s="23">
        <v>2.75E-2</v>
      </c>
      <c r="AA112" s="23">
        <v>4.2000000000000003E-2</v>
      </c>
      <c r="AE112" s="23">
        <v>1.9886363636363636E-2</v>
      </c>
      <c r="AF112" s="23">
        <v>5.0746268656716415E-2</v>
      </c>
      <c r="AG112" s="23">
        <v>7.0652173913043473E-2</v>
      </c>
      <c r="AH112" s="23">
        <v>7.4585635359116026E-2</v>
      </c>
      <c r="AI112" s="23">
        <v>2.2727272727272728E-2</v>
      </c>
      <c r="AJ112" s="23">
        <v>0</v>
      </c>
      <c r="AO112" s="23">
        <v>2.9325513196480938E-3</v>
      </c>
      <c r="AP112" s="23">
        <v>4.5901639344262293E-2</v>
      </c>
      <c r="AQ112" s="23">
        <v>4.3333333333333335E-2</v>
      </c>
      <c r="AR112" s="23">
        <v>4.3999999999999997E-2</v>
      </c>
      <c r="AS112" s="23">
        <v>8.6956521739130432E-2</v>
      </c>
      <c r="AT112" s="23">
        <v>7.575757575757576E-2</v>
      </c>
      <c r="AU112" s="23">
        <v>4.3648208469055372E-2</v>
      </c>
      <c r="AW112" s="100">
        <v>84</v>
      </c>
      <c r="AX112" s="100">
        <v>33.5</v>
      </c>
      <c r="BB112" s="23">
        <v>0.4</v>
      </c>
      <c r="BC112" s="23">
        <v>0.66666666666666663</v>
      </c>
      <c r="BD112" s="23">
        <v>0.8125</v>
      </c>
      <c r="BE112" s="23">
        <v>0.76470588235294112</v>
      </c>
      <c r="BF112" s="23">
        <v>0.83333333333333337</v>
      </c>
      <c r="BH112" s="23">
        <v>0.7068965517241379</v>
      </c>
      <c r="BK112" s="23">
        <v>0.14935064935064934</v>
      </c>
      <c r="BL112" s="23">
        <v>4.5454545454545456E-2</v>
      </c>
      <c r="BM112" s="23">
        <v>0.15584415584415584</v>
      </c>
      <c r="BN112" s="23">
        <v>0.64935064935064934</v>
      </c>
      <c r="BR112" s="23">
        <v>0.61679790026246717</v>
      </c>
      <c r="BS112" s="23">
        <v>0.48571428571428571</v>
      </c>
      <c r="BT112" s="23">
        <v>0.74248366013071898</v>
      </c>
      <c r="BU112" s="23">
        <v>0.56153846153846154</v>
      </c>
      <c r="BV112" s="23">
        <v>0.74545454545454548</v>
      </c>
      <c r="BW112" s="23">
        <v>0.13095238095238096</v>
      </c>
      <c r="CA112" s="23">
        <v>0.50439882697947214</v>
      </c>
      <c r="CB112" s="23">
        <v>0.73114754098360657</v>
      </c>
      <c r="CC112" s="23">
        <v>0.70333333333333337</v>
      </c>
      <c r="CD112" s="23">
        <v>0.66400000000000003</v>
      </c>
      <c r="CE112" s="23">
        <v>0.57004830917874394</v>
      </c>
      <c r="CF112" s="23">
        <v>0.65151515151515149</v>
      </c>
      <c r="CK112" s="23">
        <v>1.5503875968992248E-2</v>
      </c>
      <c r="CL112" s="23">
        <v>0.18260869565217391</v>
      </c>
      <c r="CM112" s="23">
        <v>0.21978021978021978</v>
      </c>
      <c r="CN112" s="23">
        <v>0.27397260273972601</v>
      </c>
      <c r="CO112" s="23">
        <v>0.32941176470588235</v>
      </c>
      <c r="CP112" s="23">
        <v>0.2857142857142857</v>
      </c>
    </row>
    <row r="113" spans="3:94" x14ac:dyDescent="0.25">
      <c r="C113" s="21">
        <v>47.353760445682454</v>
      </c>
      <c r="D113" s="21">
        <v>66.666666666666671</v>
      </c>
      <c r="E113" s="21">
        <v>43.360433604336045</v>
      </c>
      <c r="F113" s="21">
        <v>58.011049723756905</v>
      </c>
      <c r="G113" s="21">
        <v>16.33986928104575</v>
      </c>
      <c r="H113" s="21">
        <v>0</v>
      </c>
      <c r="K113" s="23">
        <v>0</v>
      </c>
      <c r="L113" s="23">
        <v>4.225352112676056</v>
      </c>
      <c r="M113" s="23">
        <v>9.6219931271477677</v>
      </c>
      <c r="N113" s="23">
        <v>21.739130434782609</v>
      </c>
      <c r="O113" s="23">
        <v>0</v>
      </c>
      <c r="P113" s="23">
        <v>16.76300578034682</v>
      </c>
      <c r="Q113" s="23">
        <v>21.12676056338028</v>
      </c>
      <c r="R113" s="23">
        <v>19.444444444444446</v>
      </c>
      <c r="V113" s="23">
        <v>0.20300000000000001</v>
      </c>
      <c r="W113" s="23">
        <v>0.214</v>
      </c>
      <c r="X113" s="23">
        <v>0.38</v>
      </c>
      <c r="Y113" s="23">
        <v>0.1265</v>
      </c>
      <c r="Z113" s="23">
        <v>3.1E-2</v>
      </c>
      <c r="AA113" s="23">
        <v>4.5499999999999999E-2</v>
      </c>
      <c r="AE113" s="23">
        <v>3.3426183844011144E-2</v>
      </c>
      <c r="AF113" s="23">
        <v>7.2727272727272724E-2</v>
      </c>
      <c r="AG113" s="23">
        <v>7.0460704607046065E-2</v>
      </c>
      <c r="AH113" s="23">
        <v>6.3535911602209949E-2</v>
      </c>
      <c r="AI113" s="23">
        <v>1.3071895424836602E-2</v>
      </c>
      <c r="AJ113" s="23">
        <v>7.2992700729927005E-3</v>
      </c>
      <c r="AO113" s="23">
        <v>8.7209302325581394E-3</v>
      </c>
      <c r="AP113" s="23">
        <v>3.4129692832764506E-2</v>
      </c>
      <c r="AQ113" s="23">
        <v>7.8231292517006806E-2</v>
      </c>
      <c r="AR113" s="23">
        <v>8.9147286821705432E-2</v>
      </c>
      <c r="AS113" s="23">
        <v>6.3725490196078427E-2</v>
      </c>
      <c r="AT113" s="23">
        <v>0.13636363636363635</v>
      </c>
      <c r="AU113" s="23">
        <v>5.7884231536926151E-2</v>
      </c>
      <c r="AW113" s="100">
        <v>91</v>
      </c>
      <c r="AX113" s="100">
        <v>43.5</v>
      </c>
      <c r="BB113" s="23">
        <v>0.75</v>
      </c>
      <c r="BC113" s="23">
        <v>0.70588235294117652</v>
      </c>
      <c r="BD113" s="23">
        <v>0.6875</v>
      </c>
      <c r="BE113" s="23">
        <v>0.72727272727272729</v>
      </c>
      <c r="BF113" s="23">
        <v>1</v>
      </c>
      <c r="BG113" s="23">
        <v>0.5</v>
      </c>
      <c r="BH113" s="23">
        <v>0.71641791044776115</v>
      </c>
      <c r="BK113" s="23">
        <v>0.1206896551724138</v>
      </c>
      <c r="BL113" s="23">
        <v>2.8735632183908046E-2</v>
      </c>
      <c r="BM113" s="23">
        <v>0.19540229885057472</v>
      </c>
      <c r="BN113" s="23">
        <v>0.65517241379310343</v>
      </c>
      <c r="BR113" s="23">
        <v>0.60591133004926112</v>
      </c>
      <c r="BS113" s="23">
        <v>0.55140186915887845</v>
      </c>
      <c r="BT113" s="23">
        <v>0.69473684210526321</v>
      </c>
      <c r="BU113" s="23">
        <v>0.64822134387351782</v>
      </c>
      <c r="BV113" s="23">
        <v>0.69354838709677424</v>
      </c>
      <c r="BW113" s="23">
        <v>0.15384615384615385</v>
      </c>
      <c r="CA113" s="23">
        <v>0.55523255813953487</v>
      </c>
      <c r="CB113" s="23">
        <v>0.70307167235494883</v>
      </c>
      <c r="CC113" s="23">
        <v>0.72108843537414968</v>
      </c>
      <c r="CD113" s="23">
        <v>0.66279069767441856</v>
      </c>
      <c r="CE113" s="23">
        <v>0.59803921568627449</v>
      </c>
      <c r="CF113" s="23">
        <v>0.62727272727272732</v>
      </c>
      <c r="CK113" s="23">
        <v>2.4E-2</v>
      </c>
      <c r="CL113" s="23">
        <v>0.16842105263157894</v>
      </c>
      <c r="CM113" s="23">
        <v>0.34523809523809523</v>
      </c>
      <c r="CN113" s="23">
        <v>0.36046511627906974</v>
      </c>
      <c r="CO113" s="23">
        <v>0.34722222222222221</v>
      </c>
      <c r="CP113" s="23">
        <v>0.46511627906976744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95</xdr:col>
                    <xdr:colOff>247650</xdr:colOff>
                    <xdr:row>13</xdr:row>
                    <xdr:rowOff>180975</xdr:rowOff>
                  </from>
                  <to>
                    <xdr:col>96</xdr:col>
                    <xdr:colOff>1343025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F108"/>
  <sheetViews>
    <sheetView showGridLines="0" tabSelected="1" workbookViewId="0"/>
  </sheetViews>
  <sheetFormatPr defaultRowHeight="15" x14ac:dyDescent="0.25"/>
  <cols>
    <col min="1" max="1" width="19.42578125" customWidth="1"/>
    <col min="2" max="2" width="13.140625" bestFit="1" customWidth="1"/>
    <col min="3" max="3" width="13.140625" customWidth="1"/>
    <col min="7" max="7" width="4" customWidth="1"/>
    <col min="8" max="8" width="13.140625" bestFit="1" customWidth="1"/>
    <col min="9" max="9" width="13.140625" customWidth="1"/>
    <col min="13" max="13" width="4.85546875" customWidth="1"/>
    <col min="14" max="15" width="13.140625" style="114" customWidth="1"/>
    <col min="16" max="17" width="9.140625" style="114"/>
    <col min="18" max="19" width="13.140625" style="114" customWidth="1"/>
    <col min="20" max="22" width="9.140625" style="114"/>
    <col min="23" max="23" width="4" style="114" customWidth="1"/>
    <col min="24" max="25" width="13.140625" style="114" customWidth="1"/>
    <col min="26" max="27" width="9.140625" style="114"/>
    <col min="28" max="29" width="13.140625" style="114" customWidth="1"/>
    <col min="30" max="32" width="9.140625" style="114"/>
  </cols>
  <sheetData>
    <row r="1" spans="1:32" x14ac:dyDescent="0.25">
      <c r="B1" s="231" t="s">
        <v>128</v>
      </c>
      <c r="C1" s="231"/>
      <c r="D1" s="231"/>
      <c r="E1" s="231"/>
      <c r="F1" s="231"/>
      <c r="H1" s="231" t="s">
        <v>127</v>
      </c>
      <c r="I1" s="231"/>
      <c r="J1" s="231"/>
      <c r="K1" s="231"/>
      <c r="L1" s="231"/>
      <c r="N1" s="231" t="s">
        <v>128</v>
      </c>
      <c r="O1" s="231"/>
      <c r="P1" s="231"/>
      <c r="Q1" s="231"/>
      <c r="R1" s="231"/>
      <c r="S1" s="231"/>
      <c r="T1" s="231"/>
      <c r="U1" s="231"/>
      <c r="V1" s="231"/>
      <c r="X1" s="231" t="s">
        <v>139</v>
      </c>
      <c r="Y1" s="231"/>
      <c r="Z1" s="231"/>
      <c r="AA1" s="231"/>
      <c r="AB1" s="231"/>
      <c r="AC1" s="231"/>
      <c r="AD1" s="231"/>
      <c r="AE1" s="231"/>
      <c r="AF1" s="231"/>
    </row>
    <row r="2" spans="1:32" x14ac:dyDescent="0.25">
      <c r="B2" s="230" t="s">
        <v>137</v>
      </c>
      <c r="C2" s="230"/>
      <c r="D2" s="230"/>
      <c r="E2" s="230"/>
      <c r="F2" s="230"/>
      <c r="H2" s="230" t="s">
        <v>137</v>
      </c>
      <c r="I2" s="230"/>
      <c r="J2" s="230"/>
      <c r="K2" s="230"/>
      <c r="L2" s="230"/>
      <c r="N2" s="230" t="s">
        <v>136</v>
      </c>
      <c r="O2" s="230"/>
      <c r="P2" s="230"/>
      <c r="Q2" s="230"/>
      <c r="R2" s="227"/>
      <c r="S2" s="230" t="s">
        <v>135</v>
      </c>
      <c r="T2" s="230"/>
      <c r="U2" s="230"/>
      <c r="V2" s="230"/>
      <c r="X2" s="230" t="s">
        <v>136</v>
      </c>
      <c r="Y2" s="230"/>
      <c r="Z2" s="230"/>
      <c r="AA2" s="230"/>
      <c r="AB2" s="227"/>
      <c r="AC2" s="230" t="s">
        <v>135</v>
      </c>
      <c r="AD2" s="230"/>
      <c r="AE2" s="230"/>
      <c r="AF2" s="230"/>
    </row>
    <row r="3" spans="1:32" s="23" customFormat="1" x14ac:dyDescent="0.25">
      <c r="A3" s="69"/>
      <c r="B3" s="70">
        <v>0</v>
      </c>
      <c r="C3" s="70">
        <v>0.25</v>
      </c>
      <c r="D3" s="71">
        <v>0.5</v>
      </c>
      <c r="E3" s="71">
        <v>0.75</v>
      </c>
      <c r="F3" s="71">
        <v>1</v>
      </c>
      <c r="H3" s="70">
        <v>0</v>
      </c>
      <c r="I3" s="70">
        <v>0.25</v>
      </c>
      <c r="J3" s="71">
        <v>0.5</v>
      </c>
      <c r="K3" s="71">
        <v>0.75</v>
      </c>
      <c r="L3" s="71">
        <v>1</v>
      </c>
      <c r="N3" s="70">
        <v>-0.4</v>
      </c>
      <c r="O3" s="71">
        <v>-0.3</v>
      </c>
      <c r="P3" s="71">
        <v>-0.2</v>
      </c>
      <c r="Q3" s="71">
        <v>-0.1</v>
      </c>
      <c r="R3" s="70">
        <v>0</v>
      </c>
      <c r="S3" s="70">
        <v>0.1</v>
      </c>
      <c r="T3" s="71">
        <v>0.2</v>
      </c>
      <c r="U3" s="71">
        <v>0.3</v>
      </c>
      <c r="V3" s="71">
        <v>0.4</v>
      </c>
      <c r="X3" s="70">
        <v>-0.4</v>
      </c>
      <c r="Y3" s="71">
        <v>-0.3</v>
      </c>
      <c r="Z3" s="71">
        <v>-0.2</v>
      </c>
      <c r="AA3" s="71">
        <v>-0.1</v>
      </c>
      <c r="AB3" s="70">
        <v>0</v>
      </c>
      <c r="AC3" s="70">
        <v>0.1</v>
      </c>
      <c r="AD3" s="71">
        <v>0.2</v>
      </c>
      <c r="AE3" s="71">
        <v>0.3</v>
      </c>
      <c r="AF3" s="71">
        <v>0.4</v>
      </c>
    </row>
    <row r="4" spans="1:32" x14ac:dyDescent="0.25">
      <c r="A4" s="51" t="s">
        <v>67</v>
      </c>
      <c r="B4" s="64">
        <f>AVERAGE(B9:B1008)</f>
        <v>6.6306108401119501E-2</v>
      </c>
      <c r="C4" s="64">
        <f t="shared" ref="C4:F4" si="0">AVERAGE(C9:C1008)</f>
        <v>5.0297186132274539E-2</v>
      </c>
      <c r="D4" s="64">
        <f t="shared" si="0"/>
        <v>3.3114145543576494E-2</v>
      </c>
      <c r="E4" s="64">
        <f t="shared" si="0"/>
        <v>1.6527284828205209E-2</v>
      </c>
      <c r="F4" s="64">
        <f t="shared" si="0"/>
        <v>2.7992215089982166E-4</v>
      </c>
      <c r="H4" s="64">
        <f>AVERAGE(H9:H1008)</f>
        <v>0.7780191105477543</v>
      </c>
      <c r="I4" s="64">
        <f t="shared" ref="I4:L4" si="1">AVERAGE(I9:I1008)</f>
        <v>0.6753397847932473</v>
      </c>
      <c r="J4" s="64">
        <f t="shared" si="1"/>
        <v>0.57680297799553404</v>
      </c>
      <c r="K4" s="64">
        <f t="shared" si="1"/>
        <v>0.4654255543555742</v>
      </c>
      <c r="L4" s="64">
        <f t="shared" si="1"/>
        <v>0.35538299718621014</v>
      </c>
      <c r="N4" s="64">
        <f>AVERAGE(N9:N1008)</f>
        <v>0.14878047515727105</v>
      </c>
      <c r="O4" s="64">
        <f t="shared" ref="O4:Q4" si="2">AVERAGE(O9:O1008)</f>
        <v>0.12586475419418205</v>
      </c>
      <c r="P4" s="64">
        <f t="shared" si="2"/>
        <v>0.10601008358354458</v>
      </c>
      <c r="Q4" s="64">
        <f t="shared" si="2"/>
        <v>8.5717277201020819E-2</v>
      </c>
      <c r="R4" s="64">
        <f>AVERAGE(R9:R1008)</f>
        <v>6.6306108401119501E-2</v>
      </c>
      <c r="S4" s="64">
        <f t="shared" ref="S4:V4" si="3">AVERAGE(S9:S1008)</f>
        <v>6.214097274264567E-2</v>
      </c>
      <c r="T4" s="64">
        <f t="shared" si="3"/>
        <v>5.7813415159264837E-2</v>
      </c>
      <c r="U4" s="64">
        <f t="shared" si="3"/>
        <v>5.3358550486874386E-2</v>
      </c>
      <c r="V4" s="64">
        <f t="shared" si="3"/>
        <v>4.8410230981304488E-2</v>
      </c>
      <c r="X4" s="233">
        <f>AVERAGE(X9:X1008)</f>
        <v>109.785</v>
      </c>
      <c r="Y4" s="233">
        <f t="shared" ref="Y4:AA4" si="4">AVERAGE(Y9:Y1008)</f>
        <v>93.504999999999995</v>
      </c>
      <c r="Z4" s="233">
        <f t="shared" si="4"/>
        <v>79.13</v>
      </c>
      <c r="AA4" s="233">
        <f t="shared" si="4"/>
        <v>64.260000000000005</v>
      </c>
      <c r="AB4" s="233">
        <f>AVERAGE(AB9:AB1008)</f>
        <v>49.98</v>
      </c>
      <c r="AC4" s="233">
        <f t="shared" ref="AC4:AF4" si="5">AVERAGE(AC9:AC1008)</f>
        <v>46.884999999999998</v>
      </c>
      <c r="AD4" s="233">
        <f t="shared" si="5"/>
        <v>43.65</v>
      </c>
      <c r="AE4" s="233">
        <f t="shared" si="5"/>
        <v>40.31</v>
      </c>
      <c r="AF4" s="233">
        <f t="shared" si="5"/>
        <v>36.6</v>
      </c>
    </row>
    <row r="5" spans="1:32" ht="15.75" customHeight="1" x14ac:dyDescent="0.25">
      <c r="A5" s="23" t="s">
        <v>38</v>
      </c>
      <c r="B5" s="65">
        <f>_xlfn.PERCENTILE.INC(B9:B1002,alpha/2)</f>
        <v>5.4035359470142083E-2</v>
      </c>
      <c r="C5" s="65">
        <f>_xlfn.PERCENTILE.INC(C9:C1002,alpha/2)</f>
        <v>4.0951452707864926E-2</v>
      </c>
      <c r="D5" s="65">
        <f>_xlfn.PERCENTILE.INC(D9:D1002,alpha/2)</f>
        <v>2.4983330381190456E-2</v>
      </c>
      <c r="E5" s="65">
        <f>_xlfn.PERCENTILE.INC(E9:E1002,alpha/2)</f>
        <v>1.0399649520481936E-2</v>
      </c>
      <c r="F5" s="65">
        <f>_xlfn.PERCENTILE.INC(F9:F1002,alpha/2)</f>
        <v>0</v>
      </c>
      <c r="H5" s="65">
        <f>_xlfn.PERCENTILE.INC(H9:H1002,alpha/2)</f>
        <v>0.67814705882352944</v>
      </c>
      <c r="I5" s="65">
        <f>_xlfn.PERCENTILE.INC(I9:I1002,alpha/2)</f>
        <v>0.57996794871794866</v>
      </c>
      <c r="J5" s="65">
        <f>_xlfn.PERCENTILE.INC(J9:J1002,alpha/2)</f>
        <v>0.44344197138314784</v>
      </c>
      <c r="K5" s="65">
        <f>_xlfn.PERCENTILE.INC(K9:K1002,alpha/2)</f>
        <v>0.35100649350649349</v>
      </c>
      <c r="L5" s="65">
        <f>_xlfn.PERCENTILE.INC(L9:L1002,alpha/2)</f>
        <v>0.22625000000000001</v>
      </c>
      <c r="N5" s="65">
        <f t="shared" ref="N5:V5" si="6">_xlfn.PERCENTILE.INC(N9:N1002,alpha/2)</f>
        <v>0.13037215959921275</v>
      </c>
      <c r="O5" s="65">
        <f t="shared" si="6"/>
        <v>0.11061012679121975</v>
      </c>
      <c r="P5" s="65">
        <f t="shared" si="6"/>
        <v>9.2325602635743881E-2</v>
      </c>
      <c r="Q5" s="65">
        <f t="shared" si="6"/>
        <v>6.9929608896369636E-2</v>
      </c>
      <c r="R5" s="65">
        <f t="shared" si="6"/>
        <v>5.4035359470142083E-2</v>
      </c>
      <c r="S5" s="65">
        <f t="shared" si="6"/>
        <v>5.1863143631436313E-2</v>
      </c>
      <c r="T5" s="65">
        <f t="shared" si="6"/>
        <v>4.7243096677958792E-2</v>
      </c>
      <c r="U5" s="65">
        <f t="shared" si="6"/>
        <v>4.2127617960184799E-2</v>
      </c>
      <c r="V5" s="65">
        <f t="shared" si="6"/>
        <v>3.7921360300392559E-2</v>
      </c>
      <c r="X5" s="234">
        <f t="shared" ref="X5:AF5" si="7">_xlfn.PERCENTILE.INC(X9:X1002,alpha/2)</f>
        <v>95</v>
      </c>
      <c r="Y5" s="234">
        <f t="shared" si="7"/>
        <v>80.974999999999994</v>
      </c>
      <c r="Z5" s="234">
        <f t="shared" si="7"/>
        <v>69</v>
      </c>
      <c r="AA5" s="234">
        <f t="shared" si="7"/>
        <v>51.95</v>
      </c>
      <c r="AB5" s="234">
        <f t="shared" si="7"/>
        <v>40.737499999999997</v>
      </c>
      <c r="AC5" s="234">
        <f t="shared" si="7"/>
        <v>38.737499999999997</v>
      </c>
      <c r="AD5" s="234">
        <f t="shared" si="7"/>
        <v>35</v>
      </c>
      <c r="AE5" s="234">
        <f t="shared" si="7"/>
        <v>32.5</v>
      </c>
      <c r="AF5" s="234">
        <f t="shared" si="7"/>
        <v>28.737500000000001</v>
      </c>
    </row>
    <row r="6" spans="1:32" s="114" customFormat="1" ht="15.75" customHeight="1" x14ac:dyDescent="0.25">
      <c r="A6" s="23" t="s">
        <v>39</v>
      </c>
      <c r="B6" s="65">
        <f>_xlfn.PERCENTILE.INC(B9:B1002,1-alpha/2)</f>
        <v>7.9429702517065479E-2</v>
      </c>
      <c r="C6" s="65">
        <f>_xlfn.PERCENTILE.INC(C9:C1002,1-alpha/2)</f>
        <v>6.0002382205526721E-2</v>
      </c>
      <c r="D6" s="65">
        <f>_xlfn.PERCENTILE.INC(D9:D1002,1-alpha/2)</f>
        <v>3.9589827941829192E-2</v>
      </c>
      <c r="E6" s="65">
        <f>_xlfn.PERCENTILE.INC(E9:E1002,1-alpha/2)</f>
        <v>2.1189988639391855E-2</v>
      </c>
      <c r="F6" s="65">
        <f>_xlfn.PERCENTILE.INC(F9:F1002,1-alpha/2)</f>
        <v>1.3627391964501857E-3</v>
      </c>
      <c r="H6" s="65">
        <f>_xlfn.PERCENTILE.INC(H9:H1002,1-alpha/2)</f>
        <v>0.89317810457516333</v>
      </c>
      <c r="I6" s="65">
        <f>_xlfn.PERCENTILE.INC(I9:I1002,1-alpha/2)</f>
        <v>0.79103773584905657</v>
      </c>
      <c r="J6" s="65">
        <f>_xlfn.PERCENTILE.INC(J9:J1002,1-alpha/2)</f>
        <v>0.7061362737341772</v>
      </c>
      <c r="K6" s="65">
        <f>_xlfn.PERCENTILE.INC(K9:K1002,1-alpha/2)</f>
        <v>0.59038978494623651</v>
      </c>
      <c r="L6" s="65">
        <f>_xlfn.PERCENTILE.INC(L9:L1002,1-alpha/2)</f>
        <v>0.47846320346320342</v>
      </c>
      <c r="N6" s="65">
        <f t="shared" ref="N6:V6" si="8">_xlfn.PERCENTILE.INC(N9:N1002,1-alpha/2)</f>
        <v>0.16714353093666648</v>
      </c>
      <c r="O6" s="65">
        <f t="shared" si="8"/>
        <v>0.14334928970548547</v>
      </c>
      <c r="P6" s="65">
        <f t="shared" si="8"/>
        <v>0.12168842345089323</v>
      </c>
      <c r="Q6" s="65">
        <f t="shared" si="8"/>
        <v>0.10167351394172754</v>
      </c>
      <c r="R6" s="65">
        <f t="shared" si="8"/>
        <v>7.9429702517065479E-2</v>
      </c>
      <c r="S6" s="65">
        <f t="shared" si="8"/>
        <v>7.4955672823218994E-2</v>
      </c>
      <c r="T6" s="65">
        <f t="shared" si="8"/>
        <v>6.8669678242410923E-2</v>
      </c>
      <c r="U6" s="65">
        <f t="shared" si="8"/>
        <v>6.5155841606395676E-2</v>
      </c>
      <c r="V6" s="65">
        <f t="shared" si="8"/>
        <v>5.95029622663222E-2</v>
      </c>
      <c r="X6" s="234">
        <f t="shared" ref="X6:AF6" si="9">_xlfn.PERCENTILE.INC(X9:X1002,1-alpha/2)</f>
        <v>126.04999999999998</v>
      </c>
      <c r="Y6" s="234">
        <f t="shared" si="9"/>
        <v>107</v>
      </c>
      <c r="Z6" s="234">
        <f t="shared" si="9"/>
        <v>91.812499999999972</v>
      </c>
      <c r="AA6" s="234">
        <f t="shared" si="9"/>
        <v>76.787499999999994</v>
      </c>
      <c r="AB6" s="234">
        <f t="shared" si="9"/>
        <v>61</v>
      </c>
      <c r="AC6" s="234">
        <f t="shared" si="9"/>
        <v>56.5</v>
      </c>
      <c r="AD6" s="234">
        <f t="shared" si="9"/>
        <v>52</v>
      </c>
      <c r="AE6" s="234">
        <f t="shared" si="9"/>
        <v>49.262499999999996</v>
      </c>
      <c r="AF6" s="234">
        <f t="shared" si="9"/>
        <v>45.287499999999987</v>
      </c>
    </row>
    <row r="7" spans="1:32" x14ac:dyDescent="0.25">
      <c r="A7" s="23" t="s">
        <v>44</v>
      </c>
      <c r="B7" s="130">
        <f t="shared" ref="B7:F7" si="10">B4-B5</f>
        <v>1.2270748930977418E-2</v>
      </c>
      <c r="C7" s="130">
        <f t="shared" si="10"/>
        <v>9.3457334244096135E-3</v>
      </c>
      <c r="D7" s="130">
        <f t="shared" si="10"/>
        <v>8.1308151623860382E-3</v>
      </c>
      <c r="E7" s="130">
        <f t="shared" si="10"/>
        <v>6.1276353077232733E-3</v>
      </c>
      <c r="F7" s="130">
        <f t="shared" si="10"/>
        <v>2.7992215089982166E-4</v>
      </c>
      <c r="G7" s="6"/>
      <c r="H7" s="130">
        <f t="shared" ref="H7:L7" si="11">H4-H5</f>
        <v>9.9872051724224864E-2</v>
      </c>
      <c r="I7" s="130">
        <f t="shared" si="11"/>
        <v>9.5371836075298644E-2</v>
      </c>
      <c r="J7" s="130">
        <f t="shared" si="11"/>
        <v>0.1333610066123862</v>
      </c>
      <c r="K7" s="130">
        <f t="shared" si="11"/>
        <v>0.11441906084908071</v>
      </c>
      <c r="L7" s="130">
        <f t="shared" si="11"/>
        <v>0.12913299718621013</v>
      </c>
      <c r="M7" s="6"/>
      <c r="N7" s="130">
        <f t="shared" ref="N7:Q7" si="12">N4-N5</f>
        <v>1.8408315558058302E-2</v>
      </c>
      <c r="O7" s="130">
        <f t="shared" si="12"/>
        <v>1.5254627402962309E-2</v>
      </c>
      <c r="P7" s="130">
        <f t="shared" si="12"/>
        <v>1.3684480947800698E-2</v>
      </c>
      <c r="Q7" s="130">
        <f t="shared" si="12"/>
        <v>1.5787668304651184E-2</v>
      </c>
      <c r="R7" s="130">
        <f t="shared" ref="R7:V7" si="13">R4-R5</f>
        <v>1.2270748930977418E-2</v>
      </c>
      <c r="S7" s="130">
        <f t="shared" si="13"/>
        <v>1.0277829111209356E-2</v>
      </c>
      <c r="T7" s="130">
        <f t="shared" si="13"/>
        <v>1.0570318481306046E-2</v>
      </c>
      <c r="U7" s="130">
        <f t="shared" si="13"/>
        <v>1.1230932526689587E-2</v>
      </c>
      <c r="V7" s="130">
        <f t="shared" si="13"/>
        <v>1.0488870680911928E-2</v>
      </c>
      <c r="W7" s="6"/>
      <c r="X7" s="235">
        <f t="shared" ref="X7:AF7" si="14">X4-X5</f>
        <v>14.784999999999997</v>
      </c>
      <c r="Y7" s="235">
        <f t="shared" si="14"/>
        <v>12.530000000000001</v>
      </c>
      <c r="Z7" s="235">
        <f t="shared" si="14"/>
        <v>10.129999999999995</v>
      </c>
      <c r="AA7" s="235">
        <f t="shared" si="14"/>
        <v>12.310000000000002</v>
      </c>
      <c r="AB7" s="235">
        <f t="shared" si="14"/>
        <v>9.2424999999999997</v>
      </c>
      <c r="AC7" s="235">
        <f t="shared" si="14"/>
        <v>8.1475000000000009</v>
      </c>
      <c r="AD7" s="235">
        <f t="shared" si="14"/>
        <v>8.6499999999999986</v>
      </c>
      <c r="AE7" s="235">
        <f t="shared" si="14"/>
        <v>7.8100000000000023</v>
      </c>
      <c r="AF7" s="235">
        <f t="shared" si="14"/>
        <v>7.8625000000000007</v>
      </c>
    </row>
    <row r="8" spans="1:32" s="114" customFormat="1" x14ac:dyDescent="0.25">
      <c r="A8" s="69" t="s">
        <v>45</v>
      </c>
      <c r="B8" s="66">
        <f t="shared" ref="B8:F8" si="15">B6-B4</f>
        <v>1.3123594115945977E-2</v>
      </c>
      <c r="C8" s="66">
        <f t="shared" si="15"/>
        <v>9.7051960732521814E-3</v>
      </c>
      <c r="D8" s="66">
        <f t="shared" si="15"/>
        <v>6.4756823982526981E-3</v>
      </c>
      <c r="E8" s="66">
        <f t="shared" si="15"/>
        <v>4.6627038111866463E-3</v>
      </c>
      <c r="F8" s="66">
        <f t="shared" si="15"/>
        <v>1.0828170455503641E-3</v>
      </c>
      <c r="G8" s="27"/>
      <c r="H8" s="66">
        <f t="shared" ref="H8:L8" si="16">H6-H4</f>
        <v>0.11515899402740903</v>
      </c>
      <c r="I8" s="66">
        <f t="shared" si="16"/>
        <v>0.11569795105580927</v>
      </c>
      <c r="J8" s="66">
        <f t="shared" si="16"/>
        <v>0.12933329573864316</v>
      </c>
      <c r="K8" s="66">
        <f t="shared" si="16"/>
        <v>0.12496423059066231</v>
      </c>
      <c r="L8" s="66">
        <f t="shared" si="16"/>
        <v>0.12308020627699329</v>
      </c>
      <c r="M8" s="27"/>
      <c r="N8" s="66">
        <f t="shared" ref="N8:Q8" si="17">N6-N4</f>
        <v>1.8363055779395426E-2</v>
      </c>
      <c r="O8" s="66">
        <f t="shared" si="17"/>
        <v>1.7484535511303412E-2</v>
      </c>
      <c r="P8" s="66">
        <f t="shared" si="17"/>
        <v>1.5678339867348651E-2</v>
      </c>
      <c r="Q8" s="66">
        <f t="shared" si="17"/>
        <v>1.5956236740706717E-2</v>
      </c>
      <c r="R8" s="66">
        <f t="shared" ref="R8:V8" si="18">R6-R4</f>
        <v>1.3123594115945977E-2</v>
      </c>
      <c r="S8" s="66">
        <f t="shared" si="18"/>
        <v>1.2814700080573324E-2</v>
      </c>
      <c r="T8" s="66">
        <f t="shared" si="18"/>
        <v>1.0856263083146085E-2</v>
      </c>
      <c r="U8" s="66">
        <f t="shared" si="18"/>
        <v>1.179729111952129E-2</v>
      </c>
      <c r="V8" s="66">
        <f t="shared" si="18"/>
        <v>1.1092731285017712E-2</v>
      </c>
      <c r="W8" s="27"/>
      <c r="X8" s="236">
        <f t="shared" ref="X8:AF8" si="19">X6-X4</f>
        <v>16.264999999999986</v>
      </c>
      <c r="Y8" s="236">
        <f t="shared" si="19"/>
        <v>13.495000000000005</v>
      </c>
      <c r="Z8" s="236">
        <f t="shared" si="19"/>
        <v>12.682499999999976</v>
      </c>
      <c r="AA8" s="236">
        <f t="shared" si="19"/>
        <v>12.527499999999989</v>
      </c>
      <c r="AB8" s="236">
        <f t="shared" si="19"/>
        <v>11.020000000000003</v>
      </c>
      <c r="AC8" s="236">
        <f t="shared" si="19"/>
        <v>9.615000000000002</v>
      </c>
      <c r="AD8" s="236">
        <f t="shared" si="19"/>
        <v>8.3500000000000014</v>
      </c>
      <c r="AE8" s="236">
        <f t="shared" si="19"/>
        <v>8.9524999999999935</v>
      </c>
      <c r="AF8" s="236">
        <f t="shared" si="19"/>
        <v>8.6874999999999858</v>
      </c>
    </row>
    <row r="9" spans="1:32" x14ac:dyDescent="0.25">
      <c r="B9" s="72">
        <v>6.7954696868754161E-2</v>
      </c>
      <c r="C9" s="72">
        <v>4.7364909939959975E-2</v>
      </c>
      <c r="D9" s="72">
        <v>3.125E-2</v>
      </c>
      <c r="E9" s="72">
        <v>1.4588859416445624E-2</v>
      </c>
      <c r="F9" s="72">
        <v>0</v>
      </c>
      <c r="H9" s="72">
        <v>0.78205128205128205</v>
      </c>
      <c r="I9" s="72">
        <v>0.7142857142857143</v>
      </c>
      <c r="J9" s="72">
        <v>0.65333333333333332</v>
      </c>
      <c r="K9" s="72">
        <v>0.5</v>
      </c>
      <c r="L9" s="72">
        <v>0.39743589743589741</v>
      </c>
      <c r="N9" s="72">
        <v>0.16633132126089872</v>
      </c>
      <c r="O9" s="72">
        <v>0.14180602006688964</v>
      </c>
      <c r="P9" s="72">
        <v>0.12056262558606833</v>
      </c>
      <c r="Q9" s="72">
        <v>9.8535286284953394E-2</v>
      </c>
      <c r="R9" s="72">
        <v>6.7954696868754161E-2</v>
      </c>
      <c r="S9" s="72">
        <v>6.5289806795469682E-2</v>
      </c>
      <c r="T9" s="72">
        <v>5.9563203176704167E-2</v>
      </c>
      <c r="U9" s="72">
        <v>5.3642384105960263E-2</v>
      </c>
      <c r="V9" s="72">
        <v>4.7745358090185673E-2</v>
      </c>
      <c r="X9" s="237">
        <v>124</v>
      </c>
      <c r="Y9" s="237">
        <v>106</v>
      </c>
      <c r="Z9" s="237">
        <v>90</v>
      </c>
      <c r="AA9" s="237">
        <v>74</v>
      </c>
      <c r="AB9" s="237">
        <v>51</v>
      </c>
      <c r="AC9" s="237">
        <v>49</v>
      </c>
      <c r="AD9" s="237">
        <v>45</v>
      </c>
      <c r="AE9" s="237">
        <v>40.5</v>
      </c>
      <c r="AF9" s="237">
        <v>36</v>
      </c>
    </row>
    <row r="10" spans="1:32" x14ac:dyDescent="0.25">
      <c r="B10" s="72">
        <v>5.9760956175298807E-2</v>
      </c>
      <c r="C10" s="72">
        <v>4.5152722443559098E-2</v>
      </c>
      <c r="D10" s="72">
        <v>2.3936170212765957E-2</v>
      </c>
      <c r="E10" s="72">
        <v>1.2607830126078301E-2</v>
      </c>
      <c r="F10" s="72">
        <v>0</v>
      </c>
      <c r="H10" s="72">
        <v>0.73134328358208955</v>
      </c>
      <c r="I10" s="72">
        <v>0.64179104477611937</v>
      </c>
      <c r="J10" s="72">
        <v>0.51428571428571423</v>
      </c>
      <c r="K10" s="72">
        <v>0.4838709677419355</v>
      </c>
      <c r="L10" s="72">
        <v>0.390625</v>
      </c>
      <c r="N10" s="72">
        <v>0.15202702702702703</v>
      </c>
      <c r="O10" s="72">
        <v>0.12793034159410582</v>
      </c>
      <c r="P10" s="72">
        <v>0.10568561872909699</v>
      </c>
      <c r="Q10" s="72">
        <v>8.0955540809555401E-2</v>
      </c>
      <c r="R10" s="72">
        <v>5.9760956175298807E-2</v>
      </c>
      <c r="S10" s="72">
        <v>5.7577763070814032E-2</v>
      </c>
      <c r="T10" s="72">
        <v>5.2840158520475564E-2</v>
      </c>
      <c r="U10" s="72">
        <v>4.6326935804103242E-2</v>
      </c>
      <c r="V10" s="72">
        <v>4.2272126816380449E-2</v>
      </c>
      <c r="X10" s="237">
        <v>112.5</v>
      </c>
      <c r="Y10" s="237">
        <v>95.5</v>
      </c>
      <c r="Z10" s="237">
        <v>79</v>
      </c>
      <c r="AA10" s="237">
        <v>61</v>
      </c>
      <c r="AB10" s="237">
        <v>45</v>
      </c>
      <c r="AC10" s="237">
        <v>43.5</v>
      </c>
      <c r="AD10" s="237">
        <v>40</v>
      </c>
      <c r="AE10" s="237">
        <v>35</v>
      </c>
      <c r="AF10" s="237">
        <v>32</v>
      </c>
    </row>
    <row r="11" spans="1:32" x14ac:dyDescent="0.25">
      <c r="B11" s="72">
        <v>7.6923076923076927E-2</v>
      </c>
      <c r="C11" s="72">
        <v>6.1589403973509933E-2</v>
      </c>
      <c r="D11" s="72">
        <v>3.8538205980066444E-2</v>
      </c>
      <c r="E11" s="72">
        <v>1.5353805073431242E-2</v>
      </c>
      <c r="F11" s="72">
        <v>0</v>
      </c>
      <c r="H11" s="72">
        <v>0.8</v>
      </c>
      <c r="I11" s="72">
        <v>0.647887323943662</v>
      </c>
      <c r="J11" s="72">
        <v>0.54054054054054057</v>
      </c>
      <c r="K11" s="72">
        <v>0.36904761904761907</v>
      </c>
      <c r="L11" s="72">
        <v>0.27058823529411763</v>
      </c>
      <c r="N11" s="72">
        <v>0.16247450713800135</v>
      </c>
      <c r="O11" s="72">
        <v>0.14161073825503356</v>
      </c>
      <c r="P11" s="72">
        <v>0.11505016722408026</v>
      </c>
      <c r="Q11" s="72">
        <v>9.906291834002677E-2</v>
      </c>
      <c r="R11" s="72">
        <v>7.6923076923076927E-2</v>
      </c>
      <c r="S11" s="72">
        <v>7.1475843812044998E-2</v>
      </c>
      <c r="T11" s="72">
        <v>6.428098078197482E-2</v>
      </c>
      <c r="U11" s="72">
        <v>6.014540647719762E-2</v>
      </c>
      <c r="V11" s="72">
        <v>5.6068601583113456E-2</v>
      </c>
      <c r="X11" s="237">
        <v>119.5</v>
      </c>
      <c r="Y11" s="237">
        <v>105.5</v>
      </c>
      <c r="Z11" s="237">
        <v>86</v>
      </c>
      <c r="AA11" s="237">
        <v>74</v>
      </c>
      <c r="AB11" s="237">
        <v>58</v>
      </c>
      <c r="AC11" s="237">
        <v>54</v>
      </c>
      <c r="AD11" s="237">
        <v>48.5</v>
      </c>
      <c r="AE11" s="237">
        <v>45.5</v>
      </c>
      <c r="AF11" s="237">
        <v>42.5</v>
      </c>
    </row>
    <row r="12" spans="1:32" x14ac:dyDescent="0.25">
      <c r="B12" s="72">
        <v>6.5780730897009962E-2</v>
      </c>
      <c r="C12" s="72">
        <v>4.5242847638057221E-2</v>
      </c>
      <c r="D12" s="72">
        <v>3.1208499335989376E-2</v>
      </c>
      <c r="E12" s="72">
        <v>1.7275747508305649E-2</v>
      </c>
      <c r="F12" s="72">
        <v>6.6181336863004633E-4</v>
      </c>
      <c r="H12" s="72">
        <v>0.875</v>
      </c>
      <c r="I12" s="72">
        <v>0.69354838709677424</v>
      </c>
      <c r="J12" s="72">
        <v>0.5714285714285714</v>
      </c>
      <c r="K12" s="72">
        <v>0.42622950819672129</v>
      </c>
      <c r="L12" s="72">
        <v>0.27272727272727271</v>
      </c>
      <c r="N12" s="72">
        <v>0.15642076502732241</v>
      </c>
      <c r="O12" s="72">
        <v>0.13134732566012186</v>
      </c>
      <c r="P12" s="72">
        <v>0.10999329309188464</v>
      </c>
      <c r="Q12" s="72">
        <v>8.5790884718498661E-2</v>
      </c>
      <c r="R12" s="72">
        <v>6.5780730897009962E-2</v>
      </c>
      <c r="S12" s="72">
        <v>6.0726072607260727E-2</v>
      </c>
      <c r="T12" s="72">
        <v>5.9288537549407112E-2</v>
      </c>
      <c r="U12" s="72">
        <v>5.2356020942408377E-2</v>
      </c>
      <c r="V12" s="72">
        <v>4.8524590163934428E-2</v>
      </c>
      <c r="X12" s="237">
        <v>114.5</v>
      </c>
      <c r="Y12" s="237">
        <v>97</v>
      </c>
      <c r="Z12" s="237">
        <v>82</v>
      </c>
      <c r="AA12" s="237">
        <v>64</v>
      </c>
      <c r="AB12" s="237">
        <v>49.5</v>
      </c>
      <c r="AC12" s="237">
        <v>46</v>
      </c>
      <c r="AD12" s="237">
        <v>45</v>
      </c>
      <c r="AE12" s="237">
        <v>40</v>
      </c>
      <c r="AF12" s="237">
        <v>37</v>
      </c>
    </row>
    <row r="13" spans="1:32" x14ac:dyDescent="0.25">
      <c r="B13" s="72">
        <v>6.6037735849056603E-2</v>
      </c>
      <c r="C13" s="72">
        <v>5.5218855218855216E-2</v>
      </c>
      <c r="D13" s="72">
        <v>3.7086985839514496E-2</v>
      </c>
      <c r="E13" s="72">
        <v>1.7496635262449527E-2</v>
      </c>
      <c r="F13" s="72">
        <v>6.7658998646820032E-4</v>
      </c>
      <c r="H13" s="72">
        <v>0.8125</v>
      </c>
      <c r="I13" s="72">
        <v>0.7</v>
      </c>
      <c r="J13" s="72">
        <v>0.5901639344262295</v>
      </c>
      <c r="K13" s="72">
        <v>0.4642857142857143</v>
      </c>
      <c r="L13" s="72">
        <v>0.31034482758620691</v>
      </c>
      <c r="N13" s="72">
        <v>0.14804660726525018</v>
      </c>
      <c r="O13" s="72">
        <v>0.125426039536469</v>
      </c>
      <c r="P13" s="72">
        <v>0.10922659430122117</v>
      </c>
      <c r="Q13" s="72">
        <v>8.1978319783197834E-2</v>
      </c>
      <c r="R13" s="72">
        <v>6.6037735849056603E-2</v>
      </c>
      <c r="S13" s="72">
        <v>5.9060402684563758E-2</v>
      </c>
      <c r="T13" s="72">
        <v>5.5704697986577179E-2</v>
      </c>
      <c r="U13" s="72">
        <v>5.1144010767160158E-2</v>
      </c>
      <c r="V13" s="72">
        <v>4.3624161073825503E-2</v>
      </c>
      <c r="X13" s="237">
        <v>108</v>
      </c>
      <c r="Y13" s="237">
        <v>92</v>
      </c>
      <c r="Z13" s="237">
        <v>80.5</v>
      </c>
      <c r="AA13" s="237">
        <v>60.5</v>
      </c>
      <c r="AB13" s="237">
        <v>49</v>
      </c>
      <c r="AC13" s="237">
        <v>44</v>
      </c>
      <c r="AD13" s="237">
        <v>41.5</v>
      </c>
      <c r="AE13" s="237">
        <v>38</v>
      </c>
      <c r="AF13" s="237">
        <v>32.5</v>
      </c>
    </row>
    <row r="14" spans="1:32" x14ac:dyDescent="0.25">
      <c r="B14" s="72">
        <v>6.0824068018312624E-2</v>
      </c>
      <c r="C14" s="72">
        <v>4.7619047619047616E-2</v>
      </c>
      <c r="D14" s="72">
        <v>3.3355134074558535E-2</v>
      </c>
      <c r="E14" s="72">
        <v>1.6371971185330715E-2</v>
      </c>
      <c r="F14" s="72">
        <v>0</v>
      </c>
      <c r="H14" s="72">
        <v>0.8</v>
      </c>
      <c r="I14" s="72">
        <v>0.72131147540983609</v>
      </c>
      <c r="J14" s="72">
        <v>0.65</v>
      </c>
      <c r="K14" s="72">
        <v>0.52380952380952384</v>
      </c>
      <c r="L14" s="72">
        <v>0.43283582089552236</v>
      </c>
      <c r="N14" s="72">
        <v>0.13734776725304465</v>
      </c>
      <c r="O14" s="72">
        <v>0.11266666666666666</v>
      </c>
      <c r="P14" s="72">
        <v>9.6666666666666665E-2</v>
      </c>
      <c r="Q14" s="72">
        <v>7.8999341672152737E-2</v>
      </c>
      <c r="R14" s="72">
        <v>6.0824068018312624E-2</v>
      </c>
      <c r="S14" s="72">
        <v>6.163934426229508E-2</v>
      </c>
      <c r="T14" s="72">
        <v>6.032786885245902E-2</v>
      </c>
      <c r="U14" s="72">
        <v>5.4248366013071897E-2</v>
      </c>
      <c r="V14" s="72">
        <v>4.7058823529411764E-2</v>
      </c>
      <c r="X14" s="237">
        <v>101.5</v>
      </c>
      <c r="Y14" s="237">
        <v>84.5</v>
      </c>
      <c r="Z14" s="237">
        <v>72.5</v>
      </c>
      <c r="AA14" s="237">
        <v>60</v>
      </c>
      <c r="AB14" s="237">
        <v>46.5</v>
      </c>
      <c r="AC14" s="237">
        <v>47</v>
      </c>
      <c r="AD14" s="237">
        <v>46</v>
      </c>
      <c r="AE14" s="237">
        <v>41.5</v>
      </c>
      <c r="AF14" s="237">
        <v>36</v>
      </c>
    </row>
    <row r="15" spans="1:32" x14ac:dyDescent="0.25">
      <c r="B15" s="72">
        <v>6.4623584277148566E-2</v>
      </c>
      <c r="C15" s="72">
        <v>5.3820598006644516E-2</v>
      </c>
      <c r="D15" s="72">
        <v>3.7209302325581395E-2</v>
      </c>
      <c r="E15" s="72">
        <v>1.5883520847121111E-2</v>
      </c>
      <c r="F15" s="72">
        <v>0</v>
      </c>
      <c r="H15" s="72">
        <v>0.80263157894736847</v>
      </c>
      <c r="I15" s="72">
        <v>0.64102564102564108</v>
      </c>
      <c r="J15" s="72">
        <v>0.569620253164557</v>
      </c>
      <c r="K15" s="72">
        <v>0.43037974683544306</v>
      </c>
      <c r="L15" s="72">
        <v>0.33333333333333331</v>
      </c>
      <c r="N15" s="72">
        <v>0.15728021978021978</v>
      </c>
      <c r="O15" s="72">
        <v>0.13150684931506848</v>
      </c>
      <c r="P15" s="72">
        <v>0.10211027910142954</v>
      </c>
      <c r="Q15" s="72">
        <v>8.327691266079891E-2</v>
      </c>
      <c r="R15" s="72">
        <v>6.4623584277148566E-2</v>
      </c>
      <c r="S15" s="72">
        <v>5.7180851063829786E-2</v>
      </c>
      <c r="T15" s="72">
        <v>5.5925432756324903E-2</v>
      </c>
      <c r="U15" s="72">
        <v>5.2526595744680854E-2</v>
      </c>
      <c r="V15" s="72">
        <v>4.7144754316069057E-2</v>
      </c>
      <c r="X15" s="237">
        <v>114.5</v>
      </c>
      <c r="Y15" s="237">
        <v>96</v>
      </c>
      <c r="Z15" s="237">
        <v>75</v>
      </c>
      <c r="AA15" s="237">
        <v>61.5</v>
      </c>
      <c r="AB15" s="237">
        <v>48.5</v>
      </c>
      <c r="AC15" s="237">
        <v>43</v>
      </c>
      <c r="AD15" s="237">
        <v>42</v>
      </c>
      <c r="AE15" s="237">
        <v>39.5</v>
      </c>
      <c r="AF15" s="237">
        <v>35.5</v>
      </c>
    </row>
    <row r="16" spans="1:32" x14ac:dyDescent="0.25">
      <c r="B16" s="72">
        <v>7.7022653721682849E-2</v>
      </c>
      <c r="C16" s="72">
        <v>5.9431524547803614E-2</v>
      </c>
      <c r="D16" s="72">
        <v>3.8784744667097609E-2</v>
      </c>
      <c r="E16" s="72">
        <v>1.7509727626459144E-2</v>
      </c>
      <c r="F16" s="72">
        <v>0</v>
      </c>
      <c r="H16" s="72">
        <v>0.79032258064516125</v>
      </c>
      <c r="I16" s="72">
        <v>0.67213114754098358</v>
      </c>
      <c r="J16" s="72">
        <v>0.59649122807017541</v>
      </c>
      <c r="K16" s="72">
        <v>0.421875</v>
      </c>
      <c r="L16" s="72">
        <v>0.33333333333333331</v>
      </c>
      <c r="N16" s="72">
        <v>0.15195753151957531</v>
      </c>
      <c r="O16" s="72">
        <v>0.13324538258575197</v>
      </c>
      <c r="P16" s="72">
        <v>0.1152073732718894</v>
      </c>
      <c r="Q16" s="72">
        <v>9.7769028871391078E-2</v>
      </c>
      <c r="R16" s="72">
        <v>7.7022653721682849E-2</v>
      </c>
      <c r="S16" s="72">
        <v>7.0038910505836577E-2</v>
      </c>
      <c r="T16" s="72">
        <v>6.416072585871678E-2</v>
      </c>
      <c r="U16" s="72">
        <v>6.3225806451612909E-2</v>
      </c>
      <c r="V16" s="72">
        <v>5.7419354838709677E-2</v>
      </c>
      <c r="X16" s="237">
        <v>114.5</v>
      </c>
      <c r="Y16" s="237">
        <v>101</v>
      </c>
      <c r="Z16" s="237">
        <v>87.5</v>
      </c>
      <c r="AA16" s="237">
        <v>74.5</v>
      </c>
      <c r="AB16" s="237">
        <v>59.5</v>
      </c>
      <c r="AC16" s="237">
        <v>54</v>
      </c>
      <c r="AD16" s="237">
        <v>49.5</v>
      </c>
      <c r="AE16" s="237">
        <v>49</v>
      </c>
      <c r="AF16" s="237">
        <v>44.5</v>
      </c>
    </row>
    <row r="17" spans="2:32" x14ac:dyDescent="0.25">
      <c r="B17" s="72">
        <v>6.0483870967741937E-2</v>
      </c>
      <c r="C17" s="72">
        <v>4.4325050369375417E-2</v>
      </c>
      <c r="D17" s="72">
        <v>2.8112449799196786E-2</v>
      </c>
      <c r="E17" s="72">
        <v>1.3324450366422385E-2</v>
      </c>
      <c r="F17" s="72">
        <v>0</v>
      </c>
      <c r="H17" s="72">
        <v>0.59036144578313254</v>
      </c>
      <c r="I17" s="72">
        <v>0.55263157894736847</v>
      </c>
      <c r="J17" s="72">
        <v>0.42857142857142855</v>
      </c>
      <c r="K17" s="72">
        <v>0.34375</v>
      </c>
      <c r="L17" s="72">
        <v>0.25</v>
      </c>
      <c r="N17" s="72">
        <v>0.13094417643004824</v>
      </c>
      <c r="O17" s="72">
        <v>0.11454046639231824</v>
      </c>
      <c r="P17" s="72">
        <v>9.3023255813953487E-2</v>
      </c>
      <c r="Q17" s="72">
        <v>7.3450134770889491E-2</v>
      </c>
      <c r="R17" s="72">
        <v>6.0483870967741937E-2</v>
      </c>
      <c r="S17" s="72">
        <v>5.6894243641231593E-2</v>
      </c>
      <c r="T17" s="72">
        <v>4.9631120053655262E-2</v>
      </c>
      <c r="U17" s="72">
        <v>4.6979865771812082E-2</v>
      </c>
      <c r="V17" s="72">
        <v>4.1388518024032039E-2</v>
      </c>
      <c r="X17" s="237">
        <v>95</v>
      </c>
      <c r="Y17" s="237">
        <v>83.5</v>
      </c>
      <c r="Z17" s="237">
        <v>68</v>
      </c>
      <c r="AA17" s="237">
        <v>54.5</v>
      </c>
      <c r="AB17" s="237">
        <v>45</v>
      </c>
      <c r="AC17" s="237">
        <v>42.5</v>
      </c>
      <c r="AD17" s="237">
        <v>37</v>
      </c>
      <c r="AE17" s="237">
        <v>35</v>
      </c>
      <c r="AF17" s="237">
        <v>31</v>
      </c>
    </row>
    <row r="18" spans="2:32" x14ac:dyDescent="0.25">
      <c r="B18" s="72">
        <v>6.0170045781556575E-2</v>
      </c>
      <c r="C18" s="72">
        <v>4.7213114754098361E-2</v>
      </c>
      <c r="D18" s="72">
        <v>3.0203545633617858E-2</v>
      </c>
      <c r="E18" s="72">
        <v>1.4511873350923483E-2</v>
      </c>
      <c r="F18" s="72">
        <v>6.5659881812212733E-4</v>
      </c>
      <c r="H18" s="72">
        <v>0.8</v>
      </c>
      <c r="I18" s="72">
        <v>0.69863013698630139</v>
      </c>
      <c r="J18" s="72">
        <v>0.54794520547945202</v>
      </c>
      <c r="K18" s="72">
        <v>0.45454545454545453</v>
      </c>
      <c r="L18" s="72">
        <v>0.32876712328767121</v>
      </c>
      <c r="N18" s="72">
        <v>0.145985401459854</v>
      </c>
      <c r="O18" s="72">
        <v>0.11815181518151815</v>
      </c>
      <c r="P18" s="72">
        <v>9.6560846560846555E-2</v>
      </c>
      <c r="Q18" s="72">
        <v>8.203125E-2</v>
      </c>
      <c r="R18" s="72">
        <v>6.0170045781556575E-2</v>
      </c>
      <c r="S18" s="72">
        <v>5.87467362924282E-2</v>
      </c>
      <c r="T18" s="72">
        <v>5.2872062663185379E-2</v>
      </c>
      <c r="U18" s="72">
        <v>4.4892648015614836E-2</v>
      </c>
      <c r="V18" s="72">
        <v>4.1477640959170448E-2</v>
      </c>
      <c r="X18" s="237">
        <v>110</v>
      </c>
      <c r="Y18" s="237">
        <v>89.5</v>
      </c>
      <c r="Z18" s="237">
        <v>73</v>
      </c>
      <c r="AA18" s="237">
        <v>63</v>
      </c>
      <c r="AB18" s="237">
        <v>46</v>
      </c>
      <c r="AC18" s="237">
        <v>45</v>
      </c>
      <c r="AD18" s="237">
        <v>40.5</v>
      </c>
      <c r="AE18" s="237">
        <v>34.5</v>
      </c>
      <c r="AF18" s="237">
        <v>32</v>
      </c>
    </row>
    <row r="19" spans="2:32" x14ac:dyDescent="0.25">
      <c r="B19" s="72">
        <v>7.4277854195323248E-2</v>
      </c>
      <c r="C19" s="72">
        <v>5.5096418732782371E-2</v>
      </c>
      <c r="D19" s="72">
        <v>4.05777166437414E-2</v>
      </c>
      <c r="E19" s="72">
        <v>2.4810475534114404E-2</v>
      </c>
      <c r="F19" s="72">
        <v>1.375515818431912E-3</v>
      </c>
      <c r="H19" s="72">
        <v>0.90140845070422537</v>
      </c>
      <c r="I19" s="72">
        <v>0.71830985915492962</v>
      </c>
      <c r="J19" s="72">
        <v>0.61428571428571432</v>
      </c>
      <c r="K19" s="72">
        <v>0.51351351351351349</v>
      </c>
      <c r="L19" s="72">
        <v>0.38356164383561642</v>
      </c>
      <c r="N19" s="72">
        <v>0.1580056179775281</v>
      </c>
      <c r="O19" s="72">
        <v>0.1360781577110956</v>
      </c>
      <c r="P19" s="72">
        <v>0.10734072022160665</v>
      </c>
      <c r="Q19" s="72">
        <v>9.3360995850622408E-2</v>
      </c>
      <c r="R19" s="72">
        <v>7.4277854195323248E-2</v>
      </c>
      <c r="S19" s="72">
        <v>7.0296347346657476E-2</v>
      </c>
      <c r="T19" s="72">
        <v>6.6712517193947732E-2</v>
      </c>
      <c r="U19" s="72">
        <v>6.0773480662983423E-2</v>
      </c>
      <c r="V19" s="72">
        <v>5.7083906464924346E-2</v>
      </c>
      <c r="X19" s="237">
        <v>112.5</v>
      </c>
      <c r="Y19" s="237">
        <v>97.5</v>
      </c>
      <c r="Z19" s="237">
        <v>77.5</v>
      </c>
      <c r="AA19" s="237">
        <v>67.5</v>
      </c>
      <c r="AB19" s="237">
        <v>54</v>
      </c>
      <c r="AC19" s="237">
        <v>51</v>
      </c>
      <c r="AD19" s="237">
        <v>48.5</v>
      </c>
      <c r="AE19" s="237">
        <v>44</v>
      </c>
      <c r="AF19" s="237">
        <v>41.5</v>
      </c>
    </row>
    <row r="20" spans="2:32" x14ac:dyDescent="0.25">
      <c r="B20" s="72">
        <v>5.6456846203763789E-2</v>
      </c>
      <c r="C20" s="72">
        <v>4.2690815006468305E-2</v>
      </c>
      <c r="D20" s="72">
        <v>3.0342156229825695E-2</v>
      </c>
      <c r="E20" s="72">
        <v>1.7396907216494846E-2</v>
      </c>
      <c r="F20" s="72">
        <v>0</v>
      </c>
      <c r="H20" s="72">
        <v>0.8</v>
      </c>
      <c r="I20" s="72">
        <v>0.71794871794871795</v>
      </c>
      <c r="J20" s="72">
        <v>0.61842105263157898</v>
      </c>
      <c r="K20" s="72">
        <v>0.47222222222222221</v>
      </c>
      <c r="L20" s="72">
        <v>0.39436619718309857</v>
      </c>
      <c r="N20" s="72">
        <v>0.13547954393024816</v>
      </c>
      <c r="O20" s="72">
        <v>0.1111111111111111</v>
      </c>
      <c r="P20" s="72">
        <v>9.7609561752988044E-2</v>
      </c>
      <c r="Q20" s="72">
        <v>7.6721311475409837E-2</v>
      </c>
      <c r="R20" s="72">
        <v>5.6456846203763789E-2</v>
      </c>
      <c r="S20" s="72">
        <v>5.5123216601815822E-2</v>
      </c>
      <c r="T20" s="72">
        <v>4.9902786779001944E-2</v>
      </c>
      <c r="U20" s="72">
        <v>4.2262678803641089E-2</v>
      </c>
      <c r="V20" s="72">
        <v>4.0207522697795074E-2</v>
      </c>
      <c r="X20" s="237">
        <v>101</v>
      </c>
      <c r="Y20" s="237">
        <v>83.5</v>
      </c>
      <c r="Z20" s="237">
        <v>73.5</v>
      </c>
      <c r="AA20" s="237">
        <v>58.5</v>
      </c>
      <c r="AB20" s="237">
        <v>43.5</v>
      </c>
      <c r="AC20" s="237">
        <v>42.5</v>
      </c>
      <c r="AD20" s="237">
        <v>38.5</v>
      </c>
      <c r="AE20" s="237">
        <v>32.5</v>
      </c>
      <c r="AF20" s="237">
        <v>31</v>
      </c>
    </row>
    <row r="21" spans="2:32" x14ac:dyDescent="0.25">
      <c r="B21" s="72">
        <v>6.8228807718814607E-2</v>
      </c>
      <c r="C21" s="72">
        <v>5.4370268410185822E-2</v>
      </c>
      <c r="D21" s="72">
        <v>3.6627505183137524E-2</v>
      </c>
      <c r="E21" s="72">
        <v>1.9310344827586208E-2</v>
      </c>
      <c r="F21" s="72">
        <v>1.3812154696132596E-3</v>
      </c>
      <c r="H21" s="72">
        <v>0.75384615384615383</v>
      </c>
      <c r="I21" s="72">
        <v>0.6376811594202898</v>
      </c>
      <c r="J21" s="72">
        <v>0.52702702702702697</v>
      </c>
      <c r="K21" s="72">
        <v>0.42465753424657532</v>
      </c>
      <c r="L21" s="72">
        <v>0.30263157894736842</v>
      </c>
      <c r="N21" s="72">
        <v>0.15896358543417366</v>
      </c>
      <c r="O21" s="72">
        <v>0.12925642807505211</v>
      </c>
      <c r="P21" s="72">
        <v>0.10679611650485436</v>
      </c>
      <c r="Q21" s="72">
        <v>8.5357390700902147E-2</v>
      </c>
      <c r="R21" s="72">
        <v>6.8228807718814607E-2</v>
      </c>
      <c r="S21" s="72">
        <v>6.662087912087912E-2</v>
      </c>
      <c r="T21" s="72">
        <v>6.2154696132596686E-2</v>
      </c>
      <c r="U21" s="72">
        <v>5.8091286307053944E-2</v>
      </c>
      <c r="V21" s="72">
        <v>5.1975051975051978E-2</v>
      </c>
      <c r="X21" s="237">
        <v>113.5</v>
      </c>
      <c r="Y21" s="237">
        <v>93</v>
      </c>
      <c r="Z21" s="237">
        <v>77</v>
      </c>
      <c r="AA21" s="237">
        <v>61.5</v>
      </c>
      <c r="AB21" s="237">
        <v>49.5</v>
      </c>
      <c r="AC21" s="237">
        <v>48.5</v>
      </c>
      <c r="AD21" s="237">
        <v>45</v>
      </c>
      <c r="AE21" s="237">
        <v>42</v>
      </c>
      <c r="AF21" s="237">
        <v>37.5</v>
      </c>
    </row>
    <row r="22" spans="2:32" x14ac:dyDescent="0.25">
      <c r="B22" s="72">
        <v>6.0052219321148827E-2</v>
      </c>
      <c r="C22" s="72">
        <v>4.7464239271781533E-2</v>
      </c>
      <c r="D22" s="72">
        <v>2.9201817001946788E-2</v>
      </c>
      <c r="E22" s="72">
        <v>1.5544041450777202E-2</v>
      </c>
      <c r="F22" s="72">
        <v>0</v>
      </c>
      <c r="H22" s="72">
        <v>0.79761904761904767</v>
      </c>
      <c r="I22" s="72">
        <v>0.74390243902439024</v>
      </c>
      <c r="J22" s="72">
        <v>0.70886075949367089</v>
      </c>
      <c r="K22" s="72">
        <v>0.60256410256410253</v>
      </c>
      <c r="L22" s="72">
        <v>0.47222222222222221</v>
      </c>
      <c r="N22" s="72">
        <v>0.15775577557755777</v>
      </c>
      <c r="O22" s="72">
        <v>0.13543721236028927</v>
      </c>
      <c r="P22" s="72">
        <v>0.11037673496364839</v>
      </c>
      <c r="Q22" s="72">
        <v>8.3333333333333329E-2</v>
      </c>
      <c r="R22" s="72">
        <v>6.0052219321148827E-2</v>
      </c>
      <c r="S22" s="72">
        <v>5.8479532163742687E-2</v>
      </c>
      <c r="T22" s="72">
        <v>5.4651919323357188E-2</v>
      </c>
      <c r="U22" s="72">
        <v>4.9051667756703728E-2</v>
      </c>
      <c r="V22" s="72">
        <v>4.4805194805194806E-2</v>
      </c>
      <c r="X22" s="237">
        <v>119.5</v>
      </c>
      <c r="Y22" s="237">
        <v>103</v>
      </c>
      <c r="Z22" s="237">
        <v>83.5</v>
      </c>
      <c r="AA22" s="237">
        <v>63.5</v>
      </c>
      <c r="AB22" s="237">
        <v>46</v>
      </c>
      <c r="AC22" s="237">
        <v>45</v>
      </c>
      <c r="AD22" s="237">
        <v>42</v>
      </c>
      <c r="AE22" s="237">
        <v>37.5</v>
      </c>
      <c r="AF22" s="237">
        <v>34.5</v>
      </c>
    </row>
    <row r="23" spans="2:32" x14ac:dyDescent="0.25">
      <c r="B23" s="72">
        <v>7.0328198258539851E-2</v>
      </c>
      <c r="C23" s="72">
        <v>4.7587131367292222E-2</v>
      </c>
      <c r="D23" s="72">
        <v>3.4136546184738957E-2</v>
      </c>
      <c r="E23" s="72">
        <v>1.7391304347826087E-2</v>
      </c>
      <c r="F23" s="72">
        <v>0</v>
      </c>
      <c r="H23" s="72">
        <v>0.76315789473684215</v>
      </c>
      <c r="I23" s="72">
        <v>0.71794871794871795</v>
      </c>
      <c r="J23" s="72">
        <v>0.64102564102564108</v>
      </c>
      <c r="K23" s="72">
        <v>0.53424657534246578</v>
      </c>
      <c r="L23" s="72">
        <v>0.453125</v>
      </c>
      <c r="N23" s="72">
        <v>0.13934426229508196</v>
      </c>
      <c r="O23" s="72">
        <v>0.11959459459459459</v>
      </c>
      <c r="P23" s="72">
        <v>0.10512129380053908</v>
      </c>
      <c r="Q23" s="72">
        <v>8.3389374579690659E-2</v>
      </c>
      <c r="R23" s="72">
        <v>7.0328198258539851E-2</v>
      </c>
      <c r="S23" s="72">
        <v>6.2876254180602012E-2</v>
      </c>
      <c r="T23" s="72">
        <v>6.0321715817694369E-2</v>
      </c>
      <c r="U23" s="72">
        <v>5.2842809364548493E-2</v>
      </c>
      <c r="V23" s="72">
        <v>4.7428189712758854E-2</v>
      </c>
      <c r="X23" s="237">
        <v>102</v>
      </c>
      <c r="Y23" s="237">
        <v>88.5</v>
      </c>
      <c r="Z23" s="237">
        <v>78</v>
      </c>
      <c r="AA23" s="237">
        <v>62</v>
      </c>
      <c r="AB23" s="237">
        <v>52.5</v>
      </c>
      <c r="AC23" s="237">
        <v>47</v>
      </c>
      <c r="AD23" s="237">
        <v>45</v>
      </c>
      <c r="AE23" s="237">
        <v>39.5</v>
      </c>
      <c r="AF23" s="237">
        <v>35.5</v>
      </c>
    </row>
    <row r="24" spans="2:32" x14ac:dyDescent="0.25">
      <c r="B24" s="72">
        <v>6.3564875491481002E-2</v>
      </c>
      <c r="C24" s="72">
        <v>4.3905635648754916E-2</v>
      </c>
      <c r="D24" s="72">
        <v>3.3398821218074658E-2</v>
      </c>
      <c r="E24" s="72">
        <v>1.6339869281045753E-2</v>
      </c>
      <c r="F24" s="72">
        <v>0</v>
      </c>
      <c r="H24" s="72">
        <v>0.74358974358974361</v>
      </c>
      <c r="I24" s="72">
        <v>0.61728395061728392</v>
      </c>
      <c r="J24" s="72">
        <v>0.5641025641025641</v>
      </c>
      <c r="K24" s="72">
        <v>0.41333333333333333</v>
      </c>
      <c r="L24" s="72">
        <v>0.33333333333333331</v>
      </c>
      <c r="N24" s="72">
        <v>0.14648829431438126</v>
      </c>
      <c r="O24" s="72">
        <v>0.12665782493368699</v>
      </c>
      <c r="P24" s="72">
        <v>0.10481212920237311</v>
      </c>
      <c r="Q24" s="72">
        <v>8.2785808147174775E-2</v>
      </c>
      <c r="R24" s="72">
        <v>6.3564875491481002E-2</v>
      </c>
      <c r="S24" s="72">
        <v>6.0903732809430254E-2</v>
      </c>
      <c r="T24" s="72">
        <v>5.8555627846454128E-2</v>
      </c>
      <c r="U24" s="72">
        <v>5.5302537410540011E-2</v>
      </c>
      <c r="V24" s="72">
        <v>5.1298701298701302E-2</v>
      </c>
      <c r="X24" s="237">
        <v>109.5</v>
      </c>
      <c r="Y24" s="237">
        <v>95.5</v>
      </c>
      <c r="Z24" s="237">
        <v>79.5</v>
      </c>
      <c r="AA24" s="237">
        <v>63</v>
      </c>
      <c r="AB24" s="237">
        <v>48.5</v>
      </c>
      <c r="AC24" s="237">
        <v>46.5</v>
      </c>
      <c r="AD24" s="237">
        <v>45</v>
      </c>
      <c r="AE24" s="237">
        <v>42.5</v>
      </c>
      <c r="AF24" s="237">
        <v>39.5</v>
      </c>
    </row>
    <row r="25" spans="2:32" x14ac:dyDescent="0.25">
      <c r="B25" s="72">
        <v>6.518817204301075E-2</v>
      </c>
      <c r="C25" s="72">
        <v>4.8927613941018765E-2</v>
      </c>
      <c r="D25" s="72">
        <v>3.2863849765258218E-2</v>
      </c>
      <c r="E25" s="72">
        <v>1.8145161290322582E-2</v>
      </c>
      <c r="F25" s="72">
        <v>0</v>
      </c>
      <c r="H25" s="72">
        <v>0.8</v>
      </c>
      <c r="I25" s="72">
        <v>0.77358490566037741</v>
      </c>
      <c r="J25" s="72">
        <v>0.58620689655172409</v>
      </c>
      <c r="K25" s="72">
        <v>0.45901639344262296</v>
      </c>
      <c r="L25" s="72">
        <v>0.31034482758620691</v>
      </c>
      <c r="N25" s="72">
        <v>0.14009661835748793</v>
      </c>
      <c r="O25" s="72">
        <v>0.11969904240766074</v>
      </c>
      <c r="P25" s="72">
        <v>0.10312075983717775</v>
      </c>
      <c r="Q25" s="72">
        <v>8.4239130434782608E-2</v>
      </c>
      <c r="R25" s="72">
        <v>6.518817204301075E-2</v>
      </c>
      <c r="S25" s="72">
        <v>6.0281312793034163E-2</v>
      </c>
      <c r="T25" s="72">
        <v>5.7486631016042782E-2</v>
      </c>
      <c r="U25" s="72">
        <v>5.4180602006688963E-2</v>
      </c>
      <c r="V25" s="72">
        <v>4.4206296048225048E-2</v>
      </c>
      <c r="X25" s="237">
        <v>101.5</v>
      </c>
      <c r="Y25" s="237">
        <v>87.5</v>
      </c>
      <c r="Z25" s="237">
        <v>76</v>
      </c>
      <c r="AA25" s="237">
        <v>62</v>
      </c>
      <c r="AB25" s="237">
        <v>48.5</v>
      </c>
      <c r="AC25" s="237">
        <v>45</v>
      </c>
      <c r="AD25" s="237">
        <v>43</v>
      </c>
      <c r="AE25" s="237">
        <v>40.5</v>
      </c>
      <c r="AF25" s="237">
        <v>33</v>
      </c>
    </row>
    <row r="26" spans="2:32" x14ac:dyDescent="0.25">
      <c r="B26" s="72">
        <v>7.5965946299934514E-2</v>
      </c>
      <c r="C26" s="72">
        <v>5.9947299077733864E-2</v>
      </c>
      <c r="D26" s="72">
        <v>3.6184210526315791E-2</v>
      </c>
      <c r="E26" s="72">
        <v>1.7833553500660501E-2</v>
      </c>
      <c r="F26" s="72">
        <v>0</v>
      </c>
      <c r="H26" s="72">
        <v>0.79032258064516125</v>
      </c>
      <c r="I26" s="72">
        <v>0.66153846153846152</v>
      </c>
      <c r="J26" s="72">
        <v>0.52307692307692311</v>
      </c>
      <c r="K26" s="72">
        <v>0.42857142857142855</v>
      </c>
      <c r="L26" s="72">
        <v>0.31343283582089554</v>
      </c>
      <c r="N26" s="72">
        <v>0.16144096064042696</v>
      </c>
      <c r="O26" s="72">
        <v>0.14144084600132187</v>
      </c>
      <c r="P26" s="72">
        <v>0.12763157894736843</v>
      </c>
      <c r="Q26" s="72">
        <v>0.10365058670143416</v>
      </c>
      <c r="R26" s="72">
        <v>7.5965946299934514E-2</v>
      </c>
      <c r="S26" s="72">
        <v>6.9553805774278221E-2</v>
      </c>
      <c r="T26" s="72">
        <v>6.6491112574061886E-2</v>
      </c>
      <c r="U26" s="72">
        <v>6.0726072607260727E-2</v>
      </c>
      <c r="V26" s="72">
        <v>5.7274522712310733E-2</v>
      </c>
      <c r="X26" s="237">
        <v>121</v>
      </c>
      <c r="Y26" s="237">
        <v>107</v>
      </c>
      <c r="Z26" s="237">
        <v>97</v>
      </c>
      <c r="AA26" s="237">
        <v>79.5</v>
      </c>
      <c r="AB26" s="237">
        <v>58</v>
      </c>
      <c r="AC26" s="237">
        <v>53</v>
      </c>
      <c r="AD26" s="237">
        <v>50.5</v>
      </c>
      <c r="AE26" s="237">
        <v>46</v>
      </c>
      <c r="AF26" s="237">
        <v>43.5</v>
      </c>
    </row>
    <row r="27" spans="2:32" x14ac:dyDescent="0.25">
      <c r="B27" s="72">
        <v>6.5639651707970523E-2</v>
      </c>
      <c r="C27" s="72">
        <v>5.25965379494008E-2</v>
      </c>
      <c r="D27" s="72">
        <v>3.2064128256513023E-2</v>
      </c>
      <c r="E27" s="72">
        <v>1.8024032042723633E-2</v>
      </c>
      <c r="F27" s="72">
        <v>0</v>
      </c>
      <c r="H27" s="72">
        <v>0.75409836065573765</v>
      </c>
      <c r="I27" s="72">
        <v>0.62962962962962965</v>
      </c>
      <c r="J27" s="72">
        <v>0.51724137931034486</v>
      </c>
      <c r="K27" s="72">
        <v>0.37931034482758619</v>
      </c>
      <c r="L27" s="72">
        <v>0.28813559322033899</v>
      </c>
      <c r="N27" s="72">
        <v>0.15938130464021519</v>
      </c>
      <c r="O27" s="72">
        <v>0.12967914438502673</v>
      </c>
      <c r="P27" s="72">
        <v>0.11066398390342053</v>
      </c>
      <c r="Q27" s="72">
        <v>8.6253369272237201E-2</v>
      </c>
      <c r="R27" s="72">
        <v>6.5639651707970523E-2</v>
      </c>
      <c r="S27" s="72">
        <v>5.9293804130579615E-2</v>
      </c>
      <c r="T27" s="72">
        <v>5.6112224448897796E-2</v>
      </c>
      <c r="U27" s="72">
        <v>5.150501672240803E-2</v>
      </c>
      <c r="V27" s="72">
        <v>4.7683008730691742E-2</v>
      </c>
      <c r="X27" s="237">
        <v>118.5</v>
      </c>
      <c r="Y27" s="237">
        <v>97</v>
      </c>
      <c r="Z27" s="237">
        <v>82.5</v>
      </c>
      <c r="AA27" s="237">
        <v>64</v>
      </c>
      <c r="AB27" s="237">
        <v>49</v>
      </c>
      <c r="AC27" s="237">
        <v>44.5</v>
      </c>
      <c r="AD27" s="237">
        <v>42</v>
      </c>
      <c r="AE27" s="237">
        <v>38.5</v>
      </c>
      <c r="AF27" s="237">
        <v>35.5</v>
      </c>
    </row>
    <row r="28" spans="2:32" x14ac:dyDescent="0.25">
      <c r="B28" s="72">
        <v>6.7603748326639887E-2</v>
      </c>
      <c r="C28" s="72">
        <v>5.2104208416833664E-2</v>
      </c>
      <c r="D28" s="72">
        <v>3.5952063914780293E-2</v>
      </c>
      <c r="E28" s="72">
        <v>1.6622340425531915E-2</v>
      </c>
      <c r="F28" s="72">
        <v>1.3262599469496021E-3</v>
      </c>
      <c r="H28" s="72">
        <v>0.80519480519480524</v>
      </c>
      <c r="I28" s="72">
        <v>0.71621621621621623</v>
      </c>
      <c r="J28" s="72">
        <v>0.57746478873239437</v>
      </c>
      <c r="K28" s="72">
        <v>0.45070422535211269</v>
      </c>
      <c r="L28" s="72">
        <v>0.323943661971831</v>
      </c>
      <c r="N28" s="72">
        <v>0.14766483516483517</v>
      </c>
      <c r="O28" s="72">
        <v>0.12585034013605442</v>
      </c>
      <c r="P28" s="72">
        <v>0.11155913978494623</v>
      </c>
      <c r="Q28" s="72">
        <v>8.7508350033400129E-2</v>
      </c>
      <c r="R28" s="72">
        <v>6.7603748326639887E-2</v>
      </c>
      <c r="S28" s="72">
        <v>6.5551839464882938E-2</v>
      </c>
      <c r="T28" s="72">
        <v>6.3249001331557919E-2</v>
      </c>
      <c r="U28" s="72">
        <v>5.588822355289421E-2</v>
      </c>
      <c r="V28" s="72">
        <v>4.8537234042553189E-2</v>
      </c>
      <c r="X28" s="237">
        <v>107.5</v>
      </c>
      <c r="Y28" s="237">
        <v>92.5</v>
      </c>
      <c r="Z28" s="237">
        <v>83</v>
      </c>
      <c r="AA28" s="237">
        <v>65.5</v>
      </c>
      <c r="AB28" s="237">
        <v>50.5</v>
      </c>
      <c r="AC28" s="237">
        <v>49</v>
      </c>
      <c r="AD28" s="237">
        <v>47.5</v>
      </c>
      <c r="AE28" s="237">
        <v>42</v>
      </c>
      <c r="AF28" s="237">
        <v>36.5</v>
      </c>
    </row>
    <row r="29" spans="2:32" x14ac:dyDescent="0.25">
      <c r="B29" s="72">
        <v>5.4886211512717539E-2</v>
      </c>
      <c r="C29" s="72">
        <v>4.5668233713901947E-2</v>
      </c>
      <c r="D29" s="72">
        <v>2.8301886792452831E-2</v>
      </c>
      <c r="E29" s="72">
        <v>1.0738255033557046E-2</v>
      </c>
      <c r="F29" s="72">
        <v>0</v>
      </c>
      <c r="H29" s="72">
        <v>0.82432432432432434</v>
      </c>
      <c r="I29" s="72">
        <v>0.72368421052631582</v>
      </c>
      <c r="J29" s="72">
        <v>0.67123287671232879</v>
      </c>
      <c r="K29" s="72">
        <v>0.62857142857142856</v>
      </c>
      <c r="L29" s="72">
        <v>0.50632911392405067</v>
      </c>
      <c r="N29" s="72">
        <v>0.13920645595158038</v>
      </c>
      <c r="O29" s="72">
        <v>0.12013422818791947</v>
      </c>
      <c r="P29" s="72">
        <v>0.10040160642570281</v>
      </c>
      <c r="Q29" s="72">
        <v>7.25319006044325E-2</v>
      </c>
      <c r="R29" s="72">
        <v>5.4886211512717539E-2</v>
      </c>
      <c r="S29" s="72">
        <v>5.2384150436534584E-2</v>
      </c>
      <c r="T29" s="72">
        <v>4.5026881720430109E-2</v>
      </c>
      <c r="U29" s="72">
        <v>4.1582830315224681E-2</v>
      </c>
      <c r="V29" s="72">
        <v>3.6096256684491977E-2</v>
      </c>
      <c r="X29" s="237">
        <v>103.5</v>
      </c>
      <c r="Y29" s="237">
        <v>89.5</v>
      </c>
      <c r="Z29" s="237">
        <v>75</v>
      </c>
      <c r="AA29" s="237">
        <v>54</v>
      </c>
      <c r="AB29" s="237">
        <v>41</v>
      </c>
      <c r="AC29" s="237">
        <v>39</v>
      </c>
      <c r="AD29" s="237">
        <v>33.5</v>
      </c>
      <c r="AE29" s="237">
        <v>31</v>
      </c>
      <c r="AF29" s="237">
        <v>27</v>
      </c>
    </row>
    <row r="30" spans="2:32" x14ac:dyDescent="0.25">
      <c r="B30" s="72">
        <v>6.0686015831134567E-2</v>
      </c>
      <c r="C30" s="72">
        <v>4.7399605003291642E-2</v>
      </c>
      <c r="D30" s="72">
        <v>3.098220171390903E-2</v>
      </c>
      <c r="E30" s="72">
        <v>1.4492753623188406E-2</v>
      </c>
      <c r="F30" s="72">
        <v>0</v>
      </c>
      <c r="H30" s="72">
        <v>0.796875</v>
      </c>
      <c r="I30" s="72">
        <v>0.78947368421052633</v>
      </c>
      <c r="J30" s="72">
        <v>0.69090909090909092</v>
      </c>
      <c r="K30" s="72">
        <v>0.53703703703703709</v>
      </c>
      <c r="L30" s="72">
        <v>0.39285714285714285</v>
      </c>
      <c r="N30" s="72">
        <v>0.13997308209959622</v>
      </c>
      <c r="O30" s="72">
        <v>0.11371237458193979</v>
      </c>
      <c r="P30" s="72">
        <v>0.10247823174815807</v>
      </c>
      <c r="Q30" s="72">
        <v>8.3443708609271527E-2</v>
      </c>
      <c r="R30" s="72">
        <v>6.0686015831134567E-2</v>
      </c>
      <c r="S30" s="72">
        <v>5.8437294812869335E-2</v>
      </c>
      <c r="T30" s="72">
        <v>5.6788511749347258E-2</v>
      </c>
      <c r="U30" s="72">
        <v>5.4036458333333336E-2</v>
      </c>
      <c r="V30" s="72">
        <v>4.8796356538711776E-2</v>
      </c>
      <c r="X30" s="237">
        <v>104</v>
      </c>
      <c r="Y30" s="237">
        <v>85</v>
      </c>
      <c r="Z30" s="237">
        <v>76.5</v>
      </c>
      <c r="AA30" s="237">
        <v>63</v>
      </c>
      <c r="AB30" s="237">
        <v>46</v>
      </c>
      <c r="AC30" s="237">
        <v>44.5</v>
      </c>
      <c r="AD30" s="237">
        <v>43.5</v>
      </c>
      <c r="AE30" s="237">
        <v>41.5</v>
      </c>
      <c r="AF30" s="237">
        <v>37.5</v>
      </c>
    </row>
    <row r="31" spans="2:32" x14ac:dyDescent="0.25">
      <c r="B31" s="72">
        <v>7.419786096256685E-2</v>
      </c>
      <c r="C31" s="72">
        <v>5.0768203072812289E-2</v>
      </c>
      <c r="D31" s="72">
        <v>3.415941058271936E-2</v>
      </c>
      <c r="E31" s="72">
        <v>1.74496644295302E-2</v>
      </c>
      <c r="F31" s="72">
        <v>6.711409395973154E-4</v>
      </c>
      <c r="H31" s="72">
        <v>0.82608695652173914</v>
      </c>
      <c r="I31" s="72">
        <v>0.69565217391304346</v>
      </c>
      <c r="J31" s="72">
        <v>0.58904109589041098</v>
      </c>
      <c r="K31" s="72">
        <v>0.51351351351351349</v>
      </c>
      <c r="L31" s="72">
        <v>0.36486486486486486</v>
      </c>
      <c r="N31" s="72">
        <v>0.15168153740562801</v>
      </c>
      <c r="O31" s="72">
        <v>0.12857142857142856</v>
      </c>
      <c r="P31" s="72">
        <v>0.10576271186440678</v>
      </c>
      <c r="Q31" s="72">
        <v>8.859060402684564E-2</v>
      </c>
      <c r="R31" s="72">
        <v>7.419786096256685E-2</v>
      </c>
      <c r="S31" s="72">
        <v>7.1667782987273942E-2</v>
      </c>
      <c r="T31" s="72">
        <v>6.6755674232309742E-2</v>
      </c>
      <c r="U31" s="72">
        <v>6.0747663551401869E-2</v>
      </c>
      <c r="V31" s="72">
        <v>5.6000000000000001E-2</v>
      </c>
      <c r="X31" s="237">
        <v>110.5</v>
      </c>
      <c r="Y31" s="237">
        <v>94.5</v>
      </c>
      <c r="Z31" s="237">
        <v>78</v>
      </c>
      <c r="AA31" s="237">
        <v>66</v>
      </c>
      <c r="AB31" s="237">
        <v>55.5</v>
      </c>
      <c r="AC31" s="237">
        <v>53.5</v>
      </c>
      <c r="AD31" s="237">
        <v>50</v>
      </c>
      <c r="AE31" s="237">
        <v>45.5</v>
      </c>
      <c r="AF31" s="237">
        <v>42</v>
      </c>
    </row>
    <row r="32" spans="2:32" x14ac:dyDescent="0.25">
      <c r="B32" s="72">
        <v>6.5376917945296861E-2</v>
      </c>
      <c r="C32" s="72">
        <v>4.6480743691899071E-2</v>
      </c>
      <c r="D32" s="72">
        <v>3.1291611185086554E-2</v>
      </c>
      <c r="E32" s="72">
        <v>1.7940199335548173E-2</v>
      </c>
      <c r="F32" s="72">
        <v>6.6357000663570006E-4</v>
      </c>
      <c r="H32" s="72">
        <v>0.80281690140845074</v>
      </c>
      <c r="I32" s="72">
        <v>0.75</v>
      </c>
      <c r="J32" s="72">
        <v>0.66666666666666663</v>
      </c>
      <c r="K32" s="72">
        <v>0.55882352941176472</v>
      </c>
      <c r="L32" s="72">
        <v>0.42253521126760563</v>
      </c>
      <c r="N32" s="72">
        <v>0.14986376021798364</v>
      </c>
      <c r="O32" s="72">
        <v>0.1203263086335826</v>
      </c>
      <c r="P32" s="72">
        <v>0.10632570659488561</v>
      </c>
      <c r="Q32" s="72">
        <v>8.5349462365591391E-2</v>
      </c>
      <c r="R32" s="72">
        <v>6.5376917945296861E-2</v>
      </c>
      <c r="S32" s="72">
        <v>5.8193979933110367E-2</v>
      </c>
      <c r="T32" s="72">
        <v>5.5518394648829433E-2</v>
      </c>
      <c r="U32" s="72">
        <v>4.803202134756504E-2</v>
      </c>
      <c r="V32" s="72">
        <v>4.5454545454545456E-2</v>
      </c>
      <c r="X32" s="237">
        <v>110</v>
      </c>
      <c r="Y32" s="237">
        <v>88.5</v>
      </c>
      <c r="Z32" s="237">
        <v>79</v>
      </c>
      <c r="AA32" s="237">
        <v>63.5</v>
      </c>
      <c r="AB32" s="237">
        <v>49</v>
      </c>
      <c r="AC32" s="237">
        <v>43.5</v>
      </c>
      <c r="AD32" s="237">
        <v>41.5</v>
      </c>
      <c r="AE32" s="237">
        <v>36</v>
      </c>
      <c r="AF32" s="237">
        <v>34</v>
      </c>
    </row>
    <row r="33" spans="2:32" x14ac:dyDescent="0.25">
      <c r="B33" s="72">
        <v>6.810740013097577E-2</v>
      </c>
      <c r="C33" s="72">
        <v>5.1114023591087812E-2</v>
      </c>
      <c r="D33" s="72">
        <v>3.2894736842105261E-2</v>
      </c>
      <c r="E33" s="72">
        <v>1.7127799736495388E-2</v>
      </c>
      <c r="F33" s="72">
        <v>0</v>
      </c>
      <c r="H33" s="72">
        <v>0.703125</v>
      </c>
      <c r="I33" s="72">
        <v>0.62318840579710144</v>
      </c>
      <c r="J33" s="72">
        <v>0.55714285714285716</v>
      </c>
      <c r="K33" s="72">
        <v>0.49333333333333335</v>
      </c>
      <c r="L33" s="72">
        <v>0.37662337662337664</v>
      </c>
      <c r="N33" s="72">
        <v>0.14745308310991956</v>
      </c>
      <c r="O33" s="72">
        <v>0.12675116744496331</v>
      </c>
      <c r="P33" s="72">
        <v>0.10912698412698413</v>
      </c>
      <c r="Q33" s="72">
        <v>9.3007915567282329E-2</v>
      </c>
      <c r="R33" s="72">
        <v>6.810740013097577E-2</v>
      </c>
      <c r="S33" s="72">
        <v>6.086387434554974E-2</v>
      </c>
      <c r="T33" s="72">
        <v>5.526315789473684E-2</v>
      </c>
      <c r="U33" s="72">
        <v>5.4054054054054057E-2</v>
      </c>
      <c r="V33" s="72">
        <v>4.7556142668428003E-2</v>
      </c>
      <c r="X33" s="237">
        <v>110</v>
      </c>
      <c r="Y33" s="237">
        <v>95</v>
      </c>
      <c r="Z33" s="237">
        <v>82.5</v>
      </c>
      <c r="AA33" s="237">
        <v>70.5</v>
      </c>
      <c r="AB33" s="237">
        <v>52</v>
      </c>
      <c r="AC33" s="237">
        <v>46.5</v>
      </c>
      <c r="AD33" s="237">
        <v>42</v>
      </c>
      <c r="AE33" s="237">
        <v>41</v>
      </c>
      <c r="AF33" s="237">
        <v>36</v>
      </c>
    </row>
    <row r="34" spans="2:32" x14ac:dyDescent="0.25">
      <c r="B34" s="72">
        <v>5.949197860962567E-2</v>
      </c>
      <c r="C34" s="72">
        <v>4.7333333333333331E-2</v>
      </c>
      <c r="D34" s="72">
        <v>3.3400133600534405E-2</v>
      </c>
      <c r="E34" s="72">
        <v>1.5343562374916611E-2</v>
      </c>
      <c r="F34" s="72">
        <v>6.6934404283801872E-4</v>
      </c>
      <c r="H34" s="72">
        <v>0.7857142857142857</v>
      </c>
      <c r="I34" s="72">
        <v>0.66176470588235292</v>
      </c>
      <c r="J34" s="72">
        <v>0.58823529411764708</v>
      </c>
      <c r="K34" s="72">
        <v>0.47058823529411764</v>
      </c>
      <c r="L34" s="72">
        <v>0.39130434782608697</v>
      </c>
      <c r="N34" s="72">
        <v>0.14945652173913043</v>
      </c>
      <c r="O34" s="72">
        <v>0.11538461538461539</v>
      </c>
      <c r="P34" s="72">
        <v>9.8996655518394649E-2</v>
      </c>
      <c r="Q34" s="72">
        <v>7.7384923282188128E-2</v>
      </c>
      <c r="R34" s="72">
        <v>5.949197860962567E-2</v>
      </c>
      <c r="S34" s="72">
        <v>5.6742323097463285E-2</v>
      </c>
      <c r="T34" s="72">
        <v>5.2526595744680854E-2</v>
      </c>
      <c r="U34" s="72">
        <v>4.9867021276595744E-2</v>
      </c>
      <c r="V34" s="72">
        <v>4.3766578249336871E-2</v>
      </c>
      <c r="X34" s="237">
        <v>110</v>
      </c>
      <c r="Y34" s="237">
        <v>85.5</v>
      </c>
      <c r="Z34" s="237">
        <v>74</v>
      </c>
      <c r="AA34" s="237">
        <v>58</v>
      </c>
      <c r="AB34" s="237">
        <v>44.5</v>
      </c>
      <c r="AC34" s="237">
        <v>42.5</v>
      </c>
      <c r="AD34" s="237">
        <v>39.5</v>
      </c>
      <c r="AE34" s="237">
        <v>37.5</v>
      </c>
      <c r="AF34" s="237">
        <v>33</v>
      </c>
    </row>
    <row r="35" spans="2:32" x14ac:dyDescent="0.25">
      <c r="B35" s="72">
        <v>6.2747688243064731E-2</v>
      </c>
      <c r="C35" s="72">
        <v>4.8812664907651716E-2</v>
      </c>
      <c r="D35" s="72">
        <v>3.2959789057350031E-2</v>
      </c>
      <c r="E35" s="72">
        <v>1.7833553500660501E-2</v>
      </c>
      <c r="F35" s="72">
        <v>0</v>
      </c>
      <c r="H35" s="72">
        <v>0.7</v>
      </c>
      <c r="I35" s="72">
        <v>0.62318840579710144</v>
      </c>
      <c r="J35" s="72">
        <v>0.52307692307692311</v>
      </c>
      <c r="K35" s="72">
        <v>0.46875</v>
      </c>
      <c r="L35" s="72">
        <v>0.35384615384615387</v>
      </c>
      <c r="N35" s="72">
        <v>0.14622641509433962</v>
      </c>
      <c r="O35" s="72">
        <v>0.12382864792503347</v>
      </c>
      <c r="P35" s="72">
        <v>0.10381781647689216</v>
      </c>
      <c r="Q35" s="72">
        <v>8.3389374579690659E-2</v>
      </c>
      <c r="R35" s="72">
        <v>6.2747688243064731E-2</v>
      </c>
      <c r="S35" s="72">
        <v>5.8009228740936059E-2</v>
      </c>
      <c r="T35" s="72">
        <v>5.4821664464993397E-2</v>
      </c>
      <c r="U35" s="72">
        <v>4.9342105263157895E-2</v>
      </c>
      <c r="V35" s="72">
        <v>4.8153034300791556E-2</v>
      </c>
      <c r="X35" s="237">
        <v>108.5</v>
      </c>
      <c r="Y35" s="237">
        <v>92.5</v>
      </c>
      <c r="Z35" s="237">
        <v>77.5</v>
      </c>
      <c r="AA35" s="237">
        <v>62</v>
      </c>
      <c r="AB35" s="237">
        <v>47.5</v>
      </c>
      <c r="AC35" s="237">
        <v>44</v>
      </c>
      <c r="AD35" s="237">
        <v>41.5</v>
      </c>
      <c r="AE35" s="237">
        <v>37.5</v>
      </c>
      <c r="AF35" s="237">
        <v>36.5</v>
      </c>
    </row>
    <row r="36" spans="2:32" x14ac:dyDescent="0.25">
      <c r="B36" s="72">
        <v>6.9705093833780166E-2</v>
      </c>
      <c r="C36" s="72">
        <v>5.3583389149363697E-2</v>
      </c>
      <c r="D36" s="72">
        <v>3.8873994638069703E-2</v>
      </c>
      <c r="E36" s="72">
        <v>1.9372077488309953E-2</v>
      </c>
      <c r="F36" s="72">
        <v>0</v>
      </c>
      <c r="H36" s="72">
        <v>0.77777777777777779</v>
      </c>
      <c r="I36" s="72">
        <v>0.62352941176470589</v>
      </c>
      <c r="J36" s="72">
        <v>0.52941176470588236</v>
      </c>
      <c r="K36" s="72">
        <v>0.42499999999999999</v>
      </c>
      <c r="L36" s="72">
        <v>0.34567901234567899</v>
      </c>
      <c r="N36" s="72">
        <v>0.14305177111716622</v>
      </c>
      <c r="O36" s="72">
        <v>0.12346521145975443</v>
      </c>
      <c r="P36" s="72">
        <v>9.8648648648648654E-2</v>
      </c>
      <c r="Q36" s="72">
        <v>8.5637221847606207E-2</v>
      </c>
      <c r="R36" s="72">
        <v>6.9705093833780166E-2</v>
      </c>
      <c r="S36" s="72">
        <v>6.5551839464882938E-2</v>
      </c>
      <c r="T36" s="72">
        <v>6.2834224598930483E-2</v>
      </c>
      <c r="U36" s="72">
        <v>5.9571619812583666E-2</v>
      </c>
      <c r="V36" s="72">
        <v>5.2419354838709679E-2</v>
      </c>
      <c r="X36" s="237">
        <v>105</v>
      </c>
      <c r="Y36" s="237">
        <v>90.5</v>
      </c>
      <c r="Z36" s="237">
        <v>73</v>
      </c>
      <c r="AA36" s="237">
        <v>63.5</v>
      </c>
      <c r="AB36" s="237">
        <v>52</v>
      </c>
      <c r="AC36" s="237">
        <v>49</v>
      </c>
      <c r="AD36" s="237">
        <v>47</v>
      </c>
      <c r="AE36" s="237">
        <v>44.5</v>
      </c>
      <c r="AF36" s="237">
        <v>39</v>
      </c>
    </row>
    <row r="37" spans="2:32" x14ac:dyDescent="0.25">
      <c r="B37" s="72">
        <v>5.8631921824104233E-2</v>
      </c>
      <c r="C37" s="72">
        <v>5.0228310502283102E-2</v>
      </c>
      <c r="D37" s="72">
        <v>2.8122956180510136E-2</v>
      </c>
      <c r="E37" s="72">
        <v>9.8296199213630409E-3</v>
      </c>
      <c r="F37" s="72">
        <v>0</v>
      </c>
      <c r="H37" s="72">
        <v>0.73015873015873012</v>
      </c>
      <c r="I37" s="72">
        <v>0.640625</v>
      </c>
      <c r="J37" s="72">
        <v>0.5757575757575758</v>
      </c>
      <c r="K37" s="72">
        <v>0.5074626865671642</v>
      </c>
      <c r="L37" s="72">
        <v>0.40625</v>
      </c>
      <c r="N37" s="72">
        <v>0.14842175957018133</v>
      </c>
      <c r="O37" s="72">
        <v>0.12988734261100066</v>
      </c>
      <c r="P37" s="72">
        <v>0.10775295663600526</v>
      </c>
      <c r="Q37" s="72">
        <v>8.4590163934426227E-2</v>
      </c>
      <c r="R37" s="72">
        <v>5.8631921824104233E-2</v>
      </c>
      <c r="S37" s="72">
        <v>5.5194805194805192E-2</v>
      </c>
      <c r="T37" s="72">
        <v>5.0616482803374434E-2</v>
      </c>
      <c r="U37" s="72">
        <v>4.8480930833872012E-2</v>
      </c>
      <c r="V37" s="72">
        <v>4.3478260869565216E-2</v>
      </c>
      <c r="X37" s="237">
        <v>110.5</v>
      </c>
      <c r="Y37" s="237">
        <v>98</v>
      </c>
      <c r="Z37" s="237">
        <v>82</v>
      </c>
      <c r="AA37" s="237">
        <v>64.5</v>
      </c>
      <c r="AB37" s="237">
        <v>45</v>
      </c>
      <c r="AC37" s="237">
        <v>42.5</v>
      </c>
      <c r="AD37" s="237">
        <v>39</v>
      </c>
      <c r="AE37" s="237">
        <v>37.5</v>
      </c>
      <c r="AF37" s="237">
        <v>33.5</v>
      </c>
    </row>
    <row r="38" spans="2:32" x14ac:dyDescent="0.25">
      <c r="B38" s="72">
        <v>6.6753926701570682E-2</v>
      </c>
      <c r="C38" s="72">
        <v>4.7931713722915298E-2</v>
      </c>
      <c r="D38" s="72">
        <v>3.6112934996717007E-2</v>
      </c>
      <c r="E38" s="72">
        <v>2.1094264996704019E-2</v>
      </c>
      <c r="F38" s="72">
        <v>0</v>
      </c>
      <c r="H38" s="72">
        <v>0.77941176470588236</v>
      </c>
      <c r="I38" s="72">
        <v>0.65333333333333332</v>
      </c>
      <c r="J38" s="72">
        <v>0.60563380281690138</v>
      </c>
      <c r="K38" s="72">
        <v>0.48051948051948051</v>
      </c>
      <c r="L38" s="72">
        <v>0.35064935064935066</v>
      </c>
      <c r="N38" s="72">
        <v>0.14199999999999999</v>
      </c>
      <c r="O38" s="72">
        <v>0.12532981530343007</v>
      </c>
      <c r="P38" s="72">
        <v>0.10401579986833442</v>
      </c>
      <c r="Q38" s="72">
        <v>9.01909150757077E-2</v>
      </c>
      <c r="R38" s="72">
        <v>6.6753926701570682E-2</v>
      </c>
      <c r="S38" s="72">
        <v>5.9672131147540983E-2</v>
      </c>
      <c r="T38" s="72">
        <v>5.039267015706806E-2</v>
      </c>
      <c r="U38" s="72">
        <v>4.6465968586387435E-2</v>
      </c>
      <c r="V38" s="72">
        <v>4.3052837573385516E-2</v>
      </c>
      <c r="X38" s="237">
        <v>106.5</v>
      </c>
      <c r="Y38" s="237">
        <v>95</v>
      </c>
      <c r="Z38" s="237">
        <v>79</v>
      </c>
      <c r="AA38" s="237">
        <v>68.5</v>
      </c>
      <c r="AB38" s="237">
        <v>51</v>
      </c>
      <c r="AC38" s="237">
        <v>45.5</v>
      </c>
      <c r="AD38" s="237">
        <v>38.5</v>
      </c>
      <c r="AE38" s="237">
        <v>35.5</v>
      </c>
      <c r="AF38" s="237">
        <v>33</v>
      </c>
    </row>
    <row r="39" spans="2:32" x14ac:dyDescent="0.25">
      <c r="B39" s="72">
        <v>7.9375406636304491E-2</v>
      </c>
      <c r="C39" s="72">
        <v>5.6899934597776328E-2</v>
      </c>
      <c r="D39" s="72">
        <v>3.4572733202870187E-2</v>
      </c>
      <c r="E39" s="72">
        <v>1.6894087069525665E-2</v>
      </c>
      <c r="F39" s="72">
        <v>0</v>
      </c>
      <c r="H39" s="72">
        <v>0.77777777777777779</v>
      </c>
      <c r="I39" s="72">
        <v>0.60256410256410253</v>
      </c>
      <c r="J39" s="72">
        <v>0.49315068493150682</v>
      </c>
      <c r="K39" s="72">
        <v>0.36363636363636365</v>
      </c>
      <c r="L39" s="72">
        <v>0.25</v>
      </c>
      <c r="N39" s="72">
        <v>0.16436554898093358</v>
      </c>
      <c r="O39" s="72">
        <v>0.14304548450889915</v>
      </c>
      <c r="P39" s="72">
        <v>0.12557527942143326</v>
      </c>
      <c r="Q39" s="72">
        <v>0.10204081632653061</v>
      </c>
      <c r="R39" s="72">
        <v>7.9375406636304491E-2</v>
      </c>
      <c r="S39" s="72">
        <v>7.1801566579634463E-2</v>
      </c>
      <c r="T39" s="72">
        <v>6.7057291666666671E-2</v>
      </c>
      <c r="U39" s="72">
        <v>6.6190785204412725E-2</v>
      </c>
      <c r="V39" s="72">
        <v>5.642023346303502E-2</v>
      </c>
      <c r="X39" s="237">
        <v>125</v>
      </c>
      <c r="Y39" s="237">
        <v>108.5</v>
      </c>
      <c r="Z39" s="237">
        <v>95.5</v>
      </c>
      <c r="AA39" s="237">
        <v>77.5</v>
      </c>
      <c r="AB39" s="237">
        <v>61</v>
      </c>
      <c r="AC39" s="237">
        <v>55</v>
      </c>
      <c r="AD39" s="237">
        <v>51.5</v>
      </c>
      <c r="AE39" s="237">
        <v>51</v>
      </c>
      <c r="AF39" s="237">
        <v>43.5</v>
      </c>
    </row>
    <row r="40" spans="2:32" x14ac:dyDescent="0.25">
      <c r="B40" s="72">
        <v>8.1578947368421056E-2</v>
      </c>
      <c r="C40" s="72">
        <v>5.8322411533420708E-2</v>
      </c>
      <c r="D40" s="72">
        <v>3.5340314136125657E-2</v>
      </c>
      <c r="E40" s="72">
        <v>1.3761467889908258E-2</v>
      </c>
      <c r="F40" s="72">
        <v>0</v>
      </c>
      <c r="H40" s="72">
        <v>0.75438596491228072</v>
      </c>
      <c r="I40" s="72">
        <v>0.65454545454545454</v>
      </c>
      <c r="J40" s="72">
        <v>0.53703703703703709</v>
      </c>
      <c r="K40" s="72">
        <v>0.43636363636363634</v>
      </c>
      <c r="L40" s="72">
        <v>0.39215686274509803</v>
      </c>
      <c r="N40" s="72">
        <v>0.160578911095796</v>
      </c>
      <c r="O40" s="72">
        <v>0.14597544338335608</v>
      </c>
      <c r="P40" s="72">
        <v>0.11887172599059771</v>
      </c>
      <c r="Q40" s="72">
        <v>9.9469496021220155E-2</v>
      </c>
      <c r="R40" s="72">
        <v>8.1578947368421056E-2</v>
      </c>
      <c r="S40" s="72">
        <v>7.7329808327825517E-2</v>
      </c>
      <c r="T40" s="72">
        <v>6.9490403706154863E-2</v>
      </c>
      <c r="U40" s="72">
        <v>6.569343065693431E-2</v>
      </c>
      <c r="V40" s="72">
        <v>6.0967528164347251E-2</v>
      </c>
      <c r="X40" s="237">
        <v>116.5</v>
      </c>
      <c r="Y40" s="237">
        <v>107</v>
      </c>
      <c r="Z40" s="237">
        <v>88.5</v>
      </c>
      <c r="AA40" s="237">
        <v>75</v>
      </c>
      <c r="AB40" s="237">
        <v>62</v>
      </c>
      <c r="AC40" s="237">
        <v>58.5</v>
      </c>
      <c r="AD40" s="237">
        <v>52.5</v>
      </c>
      <c r="AE40" s="237">
        <v>49.5</v>
      </c>
      <c r="AF40" s="237">
        <v>46</v>
      </c>
    </row>
    <row r="41" spans="2:32" x14ac:dyDescent="0.25">
      <c r="B41" s="72">
        <v>5.5051813471502592E-2</v>
      </c>
      <c r="C41" s="72">
        <v>4.1935483870967745E-2</v>
      </c>
      <c r="D41" s="72">
        <v>2.4531956100710135E-2</v>
      </c>
      <c r="E41" s="72">
        <v>1.159047005795235E-2</v>
      </c>
      <c r="F41" s="72">
        <v>0</v>
      </c>
      <c r="H41" s="72">
        <v>0.7384615384615385</v>
      </c>
      <c r="I41" s="72">
        <v>0.68333333333333335</v>
      </c>
      <c r="J41" s="72">
        <v>0.57377049180327866</v>
      </c>
      <c r="K41" s="72">
        <v>0.49152542372881358</v>
      </c>
      <c r="L41" s="72">
        <v>0.35</v>
      </c>
      <c r="N41" s="72">
        <v>0.13703208556149732</v>
      </c>
      <c r="O41" s="72">
        <v>0.11558784676354029</v>
      </c>
      <c r="P41" s="72">
        <v>9.0373280943025547E-2</v>
      </c>
      <c r="Q41" s="72">
        <v>7.0266753415744954E-2</v>
      </c>
      <c r="R41" s="72">
        <v>5.5051813471502592E-2</v>
      </c>
      <c r="S41" s="72">
        <v>5.3548387096774196E-2</v>
      </c>
      <c r="T41" s="72">
        <v>5.2835051546391752E-2</v>
      </c>
      <c r="U41" s="72">
        <v>5.019305019305019E-2</v>
      </c>
      <c r="V41" s="72">
        <v>4.3253712072304711E-2</v>
      </c>
      <c r="X41" s="237">
        <v>102.5</v>
      </c>
      <c r="Y41" s="237">
        <v>87.5</v>
      </c>
      <c r="Z41" s="237">
        <v>69</v>
      </c>
      <c r="AA41" s="237">
        <v>54</v>
      </c>
      <c r="AB41" s="237">
        <v>42.5</v>
      </c>
      <c r="AC41" s="237">
        <v>41.5</v>
      </c>
      <c r="AD41" s="237">
        <v>41</v>
      </c>
      <c r="AE41" s="237">
        <v>39</v>
      </c>
      <c r="AF41" s="237">
        <v>33.5</v>
      </c>
    </row>
    <row r="42" spans="2:32" x14ac:dyDescent="0.25">
      <c r="B42" s="72">
        <v>6.6889632107023408E-2</v>
      </c>
      <c r="C42" s="72">
        <v>5.2949061662198392E-2</v>
      </c>
      <c r="D42" s="72">
        <v>3.2214765100671144E-2</v>
      </c>
      <c r="E42" s="72">
        <v>1.8145161290322582E-2</v>
      </c>
      <c r="F42" s="72">
        <v>6.7294751009421266E-4</v>
      </c>
      <c r="H42" s="72">
        <v>0.73684210526315785</v>
      </c>
      <c r="I42" s="72">
        <v>0.5901639344262295</v>
      </c>
      <c r="J42" s="72">
        <v>0.41538461538461541</v>
      </c>
      <c r="K42" s="72">
        <v>0.26153846153846155</v>
      </c>
      <c r="L42" s="72">
        <v>0.19696969696969696</v>
      </c>
      <c r="N42" s="72">
        <v>0.13043478260869565</v>
      </c>
      <c r="O42" s="72">
        <v>0.11080523055746731</v>
      </c>
      <c r="P42" s="72">
        <v>9.8226466575716237E-2</v>
      </c>
      <c r="Q42" s="72">
        <v>8.4061869535978481E-2</v>
      </c>
      <c r="R42" s="72">
        <v>6.6889632107023408E-2</v>
      </c>
      <c r="S42" s="72">
        <v>6.0585885486018641E-2</v>
      </c>
      <c r="T42" s="72">
        <v>5.9254327563248999E-2</v>
      </c>
      <c r="U42" s="72">
        <v>5.5222887558216902E-2</v>
      </c>
      <c r="V42" s="72">
        <v>4.9933422103861515E-2</v>
      </c>
      <c r="X42" s="237">
        <v>94.5</v>
      </c>
      <c r="Y42" s="237">
        <v>80.5</v>
      </c>
      <c r="Z42" s="237">
        <v>72</v>
      </c>
      <c r="AA42" s="237">
        <v>62.5</v>
      </c>
      <c r="AB42" s="237">
        <v>50</v>
      </c>
      <c r="AC42" s="237">
        <v>45.5</v>
      </c>
      <c r="AD42" s="237">
        <v>44.5</v>
      </c>
      <c r="AE42" s="237">
        <v>41.5</v>
      </c>
      <c r="AF42" s="237">
        <v>37.5</v>
      </c>
    </row>
    <row r="43" spans="2:32" x14ac:dyDescent="0.25">
      <c r="B43" s="72">
        <v>7.2473404255319146E-2</v>
      </c>
      <c r="C43" s="72">
        <v>5.6666666666666664E-2</v>
      </c>
      <c r="D43" s="72">
        <v>3.5976015989340443E-2</v>
      </c>
      <c r="E43" s="72">
        <v>1.8048128342245989E-2</v>
      </c>
      <c r="F43" s="72">
        <v>0</v>
      </c>
      <c r="H43" s="72">
        <v>0.74242424242424243</v>
      </c>
      <c r="I43" s="72">
        <v>0.63636363636363635</v>
      </c>
      <c r="J43" s="72">
        <v>0.56923076923076921</v>
      </c>
      <c r="K43" s="72">
        <v>0.4264705882352941</v>
      </c>
      <c r="L43" s="72">
        <v>0.27692307692307694</v>
      </c>
      <c r="N43" s="72">
        <v>0.16416893732970028</v>
      </c>
      <c r="O43" s="72">
        <v>0.1388888888888889</v>
      </c>
      <c r="P43" s="72">
        <v>0.12186865267433988</v>
      </c>
      <c r="Q43" s="72">
        <v>9.792085848423876E-2</v>
      </c>
      <c r="R43" s="72">
        <v>7.2473404255319146E-2</v>
      </c>
      <c r="S43" s="72">
        <v>6.7909454061251665E-2</v>
      </c>
      <c r="T43" s="72">
        <v>6.2583222370173108E-2</v>
      </c>
      <c r="U43" s="72">
        <v>5.7409879839786383E-2</v>
      </c>
      <c r="V43" s="72">
        <v>5.1128818061088981E-2</v>
      </c>
      <c r="X43" s="237">
        <v>120.5</v>
      </c>
      <c r="Y43" s="237">
        <v>102.5</v>
      </c>
      <c r="Z43" s="237">
        <v>90</v>
      </c>
      <c r="AA43" s="237">
        <v>73</v>
      </c>
      <c r="AB43" s="237">
        <v>54.5</v>
      </c>
      <c r="AC43" s="237">
        <v>51</v>
      </c>
      <c r="AD43" s="237">
        <v>47</v>
      </c>
      <c r="AE43" s="237">
        <v>43</v>
      </c>
      <c r="AF43" s="237">
        <v>38.5</v>
      </c>
    </row>
    <row r="44" spans="2:32" x14ac:dyDescent="0.25">
      <c r="B44" s="72">
        <v>6.7288474350433045E-2</v>
      </c>
      <c r="C44" s="72">
        <v>5.1827242524916946E-2</v>
      </c>
      <c r="D44" s="72">
        <v>3.1809145129224649E-2</v>
      </c>
      <c r="E44" s="72">
        <v>1.5904572564612324E-2</v>
      </c>
      <c r="F44" s="72">
        <v>0</v>
      </c>
      <c r="H44" s="72">
        <v>0.66666666666666663</v>
      </c>
      <c r="I44" s="72">
        <v>0.58441558441558439</v>
      </c>
      <c r="J44" s="72">
        <v>0.48648648648648651</v>
      </c>
      <c r="K44" s="72">
        <v>0.39743589743589741</v>
      </c>
      <c r="L44" s="72">
        <v>0.30985915492957744</v>
      </c>
      <c r="N44" s="72">
        <v>0.15198386012104909</v>
      </c>
      <c r="O44" s="72">
        <v>0.13342228152101401</v>
      </c>
      <c r="P44" s="72">
        <v>0.11037234042553191</v>
      </c>
      <c r="Q44" s="72">
        <v>8.982826948480846E-2</v>
      </c>
      <c r="R44" s="72">
        <v>6.7288474350433045E-2</v>
      </c>
      <c r="S44" s="72">
        <v>6.3745019920318724E-2</v>
      </c>
      <c r="T44" s="72">
        <v>5.5776892430278883E-2</v>
      </c>
      <c r="U44" s="72">
        <v>5.2875082617316591E-2</v>
      </c>
      <c r="V44" s="72">
        <v>5.2007899934167212E-2</v>
      </c>
      <c r="X44" s="237">
        <v>113</v>
      </c>
      <c r="Y44" s="237">
        <v>100</v>
      </c>
      <c r="Z44" s="237">
        <v>83</v>
      </c>
      <c r="AA44" s="237">
        <v>68</v>
      </c>
      <c r="AB44" s="237">
        <v>50.5</v>
      </c>
      <c r="AC44" s="237">
        <v>48</v>
      </c>
      <c r="AD44" s="237">
        <v>42</v>
      </c>
      <c r="AE44" s="237">
        <v>40</v>
      </c>
      <c r="AF44" s="237">
        <v>39.5</v>
      </c>
    </row>
    <row r="45" spans="2:32" x14ac:dyDescent="0.25">
      <c r="B45" s="72">
        <v>6.1869535978480161E-2</v>
      </c>
      <c r="C45" s="72">
        <v>5.1539491298527446E-2</v>
      </c>
      <c r="D45" s="72">
        <v>3.089321692411014E-2</v>
      </c>
      <c r="E45" s="72">
        <v>1.5519568151147099E-2</v>
      </c>
      <c r="F45" s="72">
        <v>0</v>
      </c>
      <c r="H45" s="72">
        <v>0.75806451612903225</v>
      </c>
      <c r="I45" s="72">
        <v>0.63492063492063489</v>
      </c>
      <c r="J45" s="72">
        <v>0.53731343283582089</v>
      </c>
      <c r="K45" s="72">
        <v>0.41428571428571431</v>
      </c>
      <c r="L45" s="72">
        <v>0.28813559322033899</v>
      </c>
      <c r="N45" s="72">
        <v>0.1545209176788124</v>
      </c>
      <c r="O45" s="72">
        <v>0.13311036789297659</v>
      </c>
      <c r="P45" s="72">
        <v>0.10999329309188464</v>
      </c>
      <c r="Q45" s="72">
        <v>8.3221476510067116E-2</v>
      </c>
      <c r="R45" s="72">
        <v>6.1869535978480161E-2</v>
      </c>
      <c r="S45" s="72">
        <v>5.8389261744966441E-2</v>
      </c>
      <c r="T45" s="72">
        <v>5.6680161943319839E-2</v>
      </c>
      <c r="U45" s="72">
        <v>5.1886792452830191E-2</v>
      </c>
      <c r="V45" s="72">
        <v>4.7875927174645991E-2</v>
      </c>
      <c r="X45" s="237">
        <v>114.5</v>
      </c>
      <c r="Y45" s="237">
        <v>99.5</v>
      </c>
      <c r="Z45" s="237">
        <v>82</v>
      </c>
      <c r="AA45" s="237">
        <v>62</v>
      </c>
      <c r="AB45" s="237">
        <v>46</v>
      </c>
      <c r="AC45" s="237">
        <v>43.5</v>
      </c>
      <c r="AD45" s="237">
        <v>42</v>
      </c>
      <c r="AE45" s="237">
        <v>38.5</v>
      </c>
      <c r="AF45" s="237">
        <v>35.5</v>
      </c>
    </row>
    <row r="46" spans="2:32" x14ac:dyDescent="0.25">
      <c r="B46" s="72">
        <v>7.180500658761528E-2</v>
      </c>
      <c r="C46" s="72">
        <v>5.6578947368421055E-2</v>
      </c>
      <c r="D46" s="72">
        <v>3.5596572181938034E-2</v>
      </c>
      <c r="E46" s="72">
        <v>1.6523463317911435E-2</v>
      </c>
      <c r="F46" s="72">
        <v>6.6050198150594452E-4</v>
      </c>
      <c r="H46" s="72">
        <v>0.75714285714285712</v>
      </c>
      <c r="I46" s="72">
        <v>0.671875</v>
      </c>
      <c r="J46" s="72">
        <v>0.55384615384615388</v>
      </c>
      <c r="K46" s="72">
        <v>0.39130434782608697</v>
      </c>
      <c r="L46" s="72">
        <v>0.32432432432432434</v>
      </c>
      <c r="N46" s="72">
        <v>0.15991902834008098</v>
      </c>
      <c r="O46" s="72">
        <v>0.13569518716577539</v>
      </c>
      <c r="P46" s="72">
        <v>0.10785619174434088</v>
      </c>
      <c r="Q46" s="72">
        <v>9.2481703260146375E-2</v>
      </c>
      <c r="R46" s="72">
        <v>7.180500658761528E-2</v>
      </c>
      <c r="S46" s="72">
        <v>6.780776826859776E-2</v>
      </c>
      <c r="T46" s="72">
        <v>6.2582345191040847E-2</v>
      </c>
      <c r="U46" s="72">
        <v>5.6803170409511231E-2</v>
      </c>
      <c r="V46" s="72">
        <v>5.2248677248677246E-2</v>
      </c>
      <c r="X46" s="237">
        <v>118.5</v>
      </c>
      <c r="Y46" s="237">
        <v>101.5</v>
      </c>
      <c r="Z46" s="237">
        <v>81</v>
      </c>
      <c r="AA46" s="237">
        <v>69.5</v>
      </c>
      <c r="AB46" s="237">
        <v>54.5</v>
      </c>
      <c r="AC46" s="237">
        <v>51.5</v>
      </c>
      <c r="AD46" s="237">
        <v>47.5</v>
      </c>
      <c r="AE46" s="237">
        <v>43</v>
      </c>
      <c r="AF46" s="237">
        <v>39.5</v>
      </c>
    </row>
    <row r="47" spans="2:32" x14ac:dyDescent="0.25">
      <c r="B47" s="72">
        <v>5.9691482226693494E-2</v>
      </c>
      <c r="C47" s="72">
        <v>4.6822742474916385E-2</v>
      </c>
      <c r="D47" s="72">
        <v>3.2214765100671144E-2</v>
      </c>
      <c r="E47" s="72">
        <v>1.4775016789791807E-2</v>
      </c>
      <c r="F47" s="72">
        <v>6.7204301075268823E-4</v>
      </c>
      <c r="H47" s="72">
        <v>0.88</v>
      </c>
      <c r="I47" s="72">
        <v>0.78082191780821919</v>
      </c>
      <c r="J47" s="72">
        <v>0.58974358974358976</v>
      </c>
      <c r="K47" s="72">
        <v>0.46052631578947367</v>
      </c>
      <c r="L47" s="72">
        <v>0.34177215189873417</v>
      </c>
      <c r="N47" s="72">
        <v>0.13031550068587106</v>
      </c>
      <c r="O47" s="72">
        <v>0.11043360433604336</v>
      </c>
      <c r="P47" s="72">
        <v>9.3792172739541158E-2</v>
      </c>
      <c r="Q47" s="72">
        <v>8.0591000671591667E-2</v>
      </c>
      <c r="R47" s="72">
        <v>5.9691482226693494E-2</v>
      </c>
      <c r="S47" s="72">
        <v>5.8232931726907633E-2</v>
      </c>
      <c r="T47" s="72">
        <v>5.6074766355140186E-2</v>
      </c>
      <c r="U47" s="72">
        <v>5.0599201065246339E-2</v>
      </c>
      <c r="V47" s="72">
        <v>4.6511627906976744E-2</v>
      </c>
      <c r="X47" s="237">
        <v>95</v>
      </c>
      <c r="Y47" s="237">
        <v>81.5</v>
      </c>
      <c r="Z47" s="237">
        <v>69.5</v>
      </c>
      <c r="AA47" s="237">
        <v>60</v>
      </c>
      <c r="AB47" s="237">
        <v>44.5</v>
      </c>
      <c r="AC47" s="237">
        <v>43.5</v>
      </c>
      <c r="AD47" s="237">
        <v>42</v>
      </c>
      <c r="AE47" s="237">
        <v>38</v>
      </c>
      <c r="AF47" s="237">
        <v>35</v>
      </c>
    </row>
    <row r="48" spans="2:32" x14ac:dyDescent="0.25">
      <c r="B48" s="72">
        <v>7.5050709939148072E-2</v>
      </c>
      <c r="C48" s="72">
        <v>5.544286680189317E-2</v>
      </c>
      <c r="D48" s="72">
        <v>3.8306451612903226E-2</v>
      </c>
      <c r="E48" s="72">
        <v>2.15633423180593E-2</v>
      </c>
      <c r="F48" s="72">
        <v>6.7024128686327079E-4</v>
      </c>
      <c r="H48" s="72">
        <v>0.74647887323943662</v>
      </c>
      <c r="I48" s="72">
        <v>0.61764705882352944</v>
      </c>
      <c r="J48" s="72">
        <v>0.52307692307692311</v>
      </c>
      <c r="K48" s="72">
        <v>0.44117647058823528</v>
      </c>
      <c r="L48" s="72">
        <v>0.328125</v>
      </c>
      <c r="N48" s="72">
        <v>0.17361585782638414</v>
      </c>
      <c r="O48" s="72">
        <v>0.12951601908657123</v>
      </c>
      <c r="P48" s="72">
        <v>0.11488783140720599</v>
      </c>
      <c r="Q48" s="72">
        <v>9.035738368172623E-2</v>
      </c>
      <c r="R48" s="72">
        <v>7.5050709939148072E-2</v>
      </c>
      <c r="S48" s="72">
        <v>7.4274139095205943E-2</v>
      </c>
      <c r="T48" s="72">
        <v>6.7876344086021501E-2</v>
      </c>
      <c r="U48" s="72">
        <v>6.170355466130114E-2</v>
      </c>
      <c r="V48" s="72">
        <v>5.4253181513730743E-2</v>
      </c>
      <c r="X48" s="237">
        <v>127</v>
      </c>
      <c r="Y48" s="237">
        <v>95</v>
      </c>
      <c r="Z48" s="237">
        <v>84.5</v>
      </c>
      <c r="AA48" s="237">
        <v>67</v>
      </c>
      <c r="AB48" s="237">
        <v>55.5</v>
      </c>
      <c r="AC48" s="237">
        <v>55</v>
      </c>
      <c r="AD48" s="237">
        <v>50.5</v>
      </c>
      <c r="AE48" s="237">
        <v>46</v>
      </c>
      <c r="AF48" s="237">
        <v>40.5</v>
      </c>
    </row>
    <row r="49" spans="2:32" x14ac:dyDescent="0.25">
      <c r="B49" s="72">
        <v>5.4054054054054057E-2</v>
      </c>
      <c r="C49" s="72">
        <v>4.3331076506431955E-2</v>
      </c>
      <c r="D49" s="72">
        <v>2.4983119513841998E-2</v>
      </c>
      <c r="E49" s="72">
        <v>1.0101010101010102E-2</v>
      </c>
      <c r="F49" s="72">
        <v>1.3486176668914363E-3</v>
      </c>
      <c r="H49" s="72">
        <v>0.85483870967741937</v>
      </c>
      <c r="I49" s="72">
        <v>0.70491803278688525</v>
      </c>
      <c r="J49" s="72">
        <v>0.66666666666666663</v>
      </c>
      <c r="K49" s="72">
        <v>0.58333333333333337</v>
      </c>
      <c r="L49" s="72">
        <v>0.46031746031746029</v>
      </c>
      <c r="N49" s="72">
        <v>0.128099173553719</v>
      </c>
      <c r="O49" s="72">
        <v>0.1091283459162663</v>
      </c>
      <c r="P49" s="72">
        <v>8.7994542974079132E-2</v>
      </c>
      <c r="Q49" s="72">
        <v>6.5395095367847406E-2</v>
      </c>
      <c r="R49" s="72">
        <v>5.4054054054054057E-2</v>
      </c>
      <c r="S49" s="72">
        <v>5.0203527815468114E-2</v>
      </c>
      <c r="T49" s="72">
        <v>4.619565217391304E-2</v>
      </c>
      <c r="U49" s="72">
        <v>4.2005420054200542E-2</v>
      </c>
      <c r="V49" s="72">
        <v>3.7288135593220341E-2</v>
      </c>
      <c r="X49" s="237">
        <v>93</v>
      </c>
      <c r="Y49" s="237">
        <v>79.5</v>
      </c>
      <c r="Z49" s="237">
        <v>64.5</v>
      </c>
      <c r="AA49" s="237">
        <v>48</v>
      </c>
      <c r="AB49" s="237">
        <v>40</v>
      </c>
      <c r="AC49" s="237">
        <v>37</v>
      </c>
      <c r="AD49" s="237">
        <v>34</v>
      </c>
      <c r="AE49" s="237">
        <v>31</v>
      </c>
      <c r="AF49" s="237">
        <v>27.5</v>
      </c>
    </row>
    <row r="50" spans="2:32" x14ac:dyDescent="0.25">
      <c r="B50" s="72">
        <v>5.9932659932659935E-2</v>
      </c>
      <c r="C50" s="72">
        <v>4.6495956873315362E-2</v>
      </c>
      <c r="D50" s="72">
        <v>3.3130493576741041E-2</v>
      </c>
      <c r="E50" s="72">
        <v>1.4834794335805798E-2</v>
      </c>
      <c r="F50" s="72">
        <v>0</v>
      </c>
      <c r="H50" s="72">
        <v>0.82954545454545459</v>
      </c>
      <c r="I50" s="72">
        <v>0.69411764705882351</v>
      </c>
      <c r="J50" s="72">
        <v>0.62195121951219512</v>
      </c>
      <c r="K50" s="72">
        <v>0.54430379746835444</v>
      </c>
      <c r="L50" s="72">
        <v>0.46153846153846156</v>
      </c>
      <c r="N50" s="72">
        <v>0.1402439024390244</v>
      </c>
      <c r="O50" s="72">
        <v>0.12254570074475288</v>
      </c>
      <c r="P50" s="72">
        <v>0.10426540284360189</v>
      </c>
      <c r="Q50" s="72">
        <v>8.1081081081081086E-2</v>
      </c>
      <c r="R50" s="72">
        <v>5.9932659932659935E-2</v>
      </c>
      <c r="S50" s="72">
        <v>5.675675675675676E-2</v>
      </c>
      <c r="T50" s="72">
        <v>5.2132701421800945E-2</v>
      </c>
      <c r="U50" s="72">
        <v>4.6779661016949151E-2</v>
      </c>
      <c r="V50" s="72">
        <v>4.0705563093622797E-2</v>
      </c>
      <c r="X50" s="237">
        <v>103.5</v>
      </c>
      <c r="Y50" s="237">
        <v>90.5</v>
      </c>
      <c r="Z50" s="237">
        <v>77</v>
      </c>
      <c r="AA50" s="237">
        <v>60</v>
      </c>
      <c r="AB50" s="237">
        <v>44.5</v>
      </c>
      <c r="AC50" s="237">
        <v>42</v>
      </c>
      <c r="AD50" s="237">
        <v>38.5</v>
      </c>
      <c r="AE50" s="237">
        <v>34.5</v>
      </c>
      <c r="AF50" s="237">
        <v>30</v>
      </c>
    </row>
    <row r="51" spans="2:32" x14ac:dyDescent="0.25">
      <c r="B51" s="72">
        <v>6.7065073041168655E-2</v>
      </c>
      <c r="C51" s="72">
        <v>5.1553205551883675E-2</v>
      </c>
      <c r="D51" s="72">
        <v>3.6399735274652546E-2</v>
      </c>
      <c r="E51" s="72">
        <v>1.8567639257294429E-2</v>
      </c>
      <c r="F51" s="72">
        <v>0</v>
      </c>
      <c r="H51" s="72">
        <v>0.88888888888888884</v>
      </c>
      <c r="I51" s="72">
        <v>0.86363636363636365</v>
      </c>
      <c r="J51" s="72">
        <v>0.74242424242424243</v>
      </c>
      <c r="K51" s="72">
        <v>0.58208955223880599</v>
      </c>
      <c r="L51" s="72">
        <v>0.42028985507246375</v>
      </c>
      <c r="N51" s="72">
        <v>0.13936097892590074</v>
      </c>
      <c r="O51" s="72">
        <v>0.11983750846310089</v>
      </c>
      <c r="P51" s="72">
        <v>0.10458839406207827</v>
      </c>
      <c r="Q51" s="72">
        <v>8.3780160857908847E-2</v>
      </c>
      <c r="R51" s="72">
        <v>6.7065073041168655E-2</v>
      </c>
      <c r="S51" s="72">
        <v>6.5389696169088504E-2</v>
      </c>
      <c r="T51" s="72">
        <v>6.5260382333553066E-2</v>
      </c>
      <c r="U51" s="72">
        <v>6.0486522024983565E-2</v>
      </c>
      <c r="V51" s="72">
        <v>5.5664702030124427E-2</v>
      </c>
      <c r="X51" s="237">
        <v>102.5</v>
      </c>
      <c r="Y51" s="237">
        <v>88.5</v>
      </c>
      <c r="Z51" s="237">
        <v>77.5</v>
      </c>
      <c r="AA51" s="237">
        <v>62.5</v>
      </c>
      <c r="AB51" s="237">
        <v>50.5</v>
      </c>
      <c r="AC51" s="237">
        <v>49.5</v>
      </c>
      <c r="AD51" s="237">
        <v>49.5</v>
      </c>
      <c r="AE51" s="237">
        <v>46</v>
      </c>
      <c r="AF51" s="237">
        <v>42.5</v>
      </c>
    </row>
    <row r="52" spans="2:32" x14ac:dyDescent="0.25">
      <c r="B52" s="72">
        <v>6.0505319148936171E-2</v>
      </c>
      <c r="C52" s="72">
        <v>4.5212765957446811E-2</v>
      </c>
      <c r="D52" s="72">
        <v>2.9177718832891247E-2</v>
      </c>
      <c r="E52" s="72">
        <v>1.5221707478491065E-2</v>
      </c>
      <c r="F52" s="72">
        <v>0</v>
      </c>
      <c r="H52" s="72">
        <v>0.75806451612903225</v>
      </c>
      <c r="I52" s="72">
        <v>0.74137931034482762</v>
      </c>
      <c r="J52" s="72">
        <v>0.63461538461538458</v>
      </c>
      <c r="K52" s="72">
        <v>0.52</v>
      </c>
      <c r="L52" s="72">
        <v>0.37735849056603776</v>
      </c>
      <c r="N52" s="72">
        <v>0.14276094276094276</v>
      </c>
      <c r="O52" s="72">
        <v>0.11476510067114094</v>
      </c>
      <c r="P52" s="72">
        <v>9.4504021447721173E-2</v>
      </c>
      <c r="Q52" s="72">
        <v>7.8666666666666663E-2</v>
      </c>
      <c r="R52" s="72">
        <v>6.0505319148936171E-2</v>
      </c>
      <c r="S52" s="72">
        <v>5.8201058201058198E-2</v>
      </c>
      <c r="T52" s="72">
        <v>5.2390307793058283E-2</v>
      </c>
      <c r="U52" s="72">
        <v>4.6405228758169936E-2</v>
      </c>
      <c r="V52" s="72">
        <v>4.1775456919060053E-2</v>
      </c>
      <c r="X52" s="237">
        <v>106</v>
      </c>
      <c r="Y52" s="237">
        <v>85.5</v>
      </c>
      <c r="Z52" s="237">
        <v>70.5</v>
      </c>
      <c r="AA52" s="237">
        <v>59</v>
      </c>
      <c r="AB52" s="237">
        <v>45.5</v>
      </c>
      <c r="AC52" s="237">
        <v>44</v>
      </c>
      <c r="AD52" s="237">
        <v>40</v>
      </c>
      <c r="AE52" s="237">
        <v>35.5</v>
      </c>
      <c r="AF52" s="237">
        <v>32</v>
      </c>
    </row>
    <row r="53" spans="2:32" x14ac:dyDescent="0.25">
      <c r="B53" s="72">
        <v>7.0478723404255317E-2</v>
      </c>
      <c r="C53" s="72">
        <v>4.7713717693836977E-2</v>
      </c>
      <c r="D53" s="72">
        <v>2.982107355864811E-2</v>
      </c>
      <c r="E53" s="72">
        <v>1.5191545574636724E-2</v>
      </c>
      <c r="F53" s="72">
        <v>6.5746219592373442E-4</v>
      </c>
      <c r="H53" s="72">
        <v>0.85227272727272729</v>
      </c>
      <c r="I53" s="72">
        <v>0.7303370786516854</v>
      </c>
      <c r="J53" s="72">
        <v>0.625</v>
      </c>
      <c r="K53" s="72">
        <v>0.54651162790697672</v>
      </c>
      <c r="L53" s="72">
        <v>0.36585365853658536</v>
      </c>
      <c r="N53" s="72">
        <v>0.15842924847664183</v>
      </c>
      <c r="O53" s="72">
        <v>0.13200000000000001</v>
      </c>
      <c r="P53" s="72">
        <v>0.10830564784053157</v>
      </c>
      <c r="Q53" s="72">
        <v>8.8682991396426214E-2</v>
      </c>
      <c r="R53" s="72">
        <v>7.0478723404255317E-2</v>
      </c>
      <c r="S53" s="72">
        <v>6.608811748998665E-2</v>
      </c>
      <c r="T53" s="72">
        <v>6.0545575515635393E-2</v>
      </c>
      <c r="U53" s="72">
        <v>5.588822355289421E-2</v>
      </c>
      <c r="V53" s="72">
        <v>5.5039787798408485E-2</v>
      </c>
      <c r="X53" s="237">
        <v>117</v>
      </c>
      <c r="Y53" s="237">
        <v>99</v>
      </c>
      <c r="Z53" s="237">
        <v>81.5</v>
      </c>
      <c r="AA53" s="237">
        <v>67</v>
      </c>
      <c r="AB53" s="237">
        <v>53</v>
      </c>
      <c r="AC53" s="237">
        <v>49.5</v>
      </c>
      <c r="AD53" s="237">
        <v>45.5</v>
      </c>
      <c r="AE53" s="237">
        <v>42</v>
      </c>
      <c r="AF53" s="237">
        <v>41.5</v>
      </c>
    </row>
    <row r="54" spans="2:32" x14ac:dyDescent="0.25">
      <c r="B54" s="72">
        <v>7.5297225891677672E-2</v>
      </c>
      <c r="C54" s="72">
        <v>5.5810899540380828E-2</v>
      </c>
      <c r="D54" s="72">
        <v>3.8157894736842106E-2</v>
      </c>
      <c r="E54" s="72">
        <v>2.0462046204620461E-2</v>
      </c>
      <c r="F54" s="72">
        <v>0</v>
      </c>
      <c r="H54" s="72">
        <v>0.75409836065573765</v>
      </c>
      <c r="I54" s="72">
        <v>0.70175438596491224</v>
      </c>
      <c r="J54" s="72">
        <v>0.53968253968253965</v>
      </c>
      <c r="K54" s="72">
        <v>0.36923076923076925</v>
      </c>
      <c r="L54" s="72">
        <v>0.3</v>
      </c>
      <c r="N54" s="72">
        <v>0.15800273597811218</v>
      </c>
      <c r="O54" s="72">
        <v>0.12652232746955344</v>
      </c>
      <c r="P54" s="72">
        <v>0.10569105691056911</v>
      </c>
      <c r="Q54" s="72">
        <v>9.1333333333333336E-2</v>
      </c>
      <c r="R54" s="72">
        <v>7.5297225891677672E-2</v>
      </c>
      <c r="S54" s="72">
        <v>7.4538258575197885E-2</v>
      </c>
      <c r="T54" s="72">
        <v>6.7326732673267331E-2</v>
      </c>
      <c r="U54" s="72">
        <v>6.2210456651224356E-2</v>
      </c>
      <c r="V54" s="72">
        <v>5.5482166446499337E-2</v>
      </c>
      <c r="X54" s="237">
        <v>115.5</v>
      </c>
      <c r="Y54" s="237">
        <v>93.5</v>
      </c>
      <c r="Z54" s="237">
        <v>78</v>
      </c>
      <c r="AA54" s="237">
        <v>68.5</v>
      </c>
      <c r="AB54" s="237">
        <v>57</v>
      </c>
      <c r="AC54" s="237">
        <v>56.5</v>
      </c>
      <c r="AD54" s="237">
        <v>51</v>
      </c>
      <c r="AE54" s="237">
        <v>47</v>
      </c>
      <c r="AF54" s="237">
        <v>42</v>
      </c>
    </row>
    <row r="55" spans="2:32" x14ac:dyDescent="0.25">
      <c r="B55" s="72">
        <v>5.9327620303230057E-2</v>
      </c>
      <c r="C55" s="72">
        <v>4.3992120814182537E-2</v>
      </c>
      <c r="D55" s="72">
        <v>3.2173342087984239E-2</v>
      </c>
      <c r="E55" s="72">
        <v>1.7670157068062829E-2</v>
      </c>
      <c r="F55" s="72">
        <v>6.5359477124183002E-4</v>
      </c>
      <c r="H55" s="72">
        <v>0.8125</v>
      </c>
      <c r="I55" s="72">
        <v>0.73770491803278693</v>
      </c>
      <c r="J55" s="72">
        <v>0.66101694915254239</v>
      </c>
      <c r="K55" s="72">
        <v>0.5423728813559322</v>
      </c>
      <c r="L55" s="72">
        <v>0.42857142857142855</v>
      </c>
      <c r="N55" s="72">
        <v>0.1396761133603239</v>
      </c>
      <c r="O55" s="72">
        <v>0.11081081081081082</v>
      </c>
      <c r="P55" s="72">
        <v>9.7658862876254179E-2</v>
      </c>
      <c r="Q55" s="72">
        <v>7.7230359520639141E-2</v>
      </c>
      <c r="R55" s="72">
        <v>5.9327620303230057E-2</v>
      </c>
      <c r="S55" s="72">
        <v>5.343007915567282E-2</v>
      </c>
      <c r="T55" s="72">
        <v>5.1417270929466054E-2</v>
      </c>
      <c r="U55" s="72">
        <v>4.2904290429042903E-2</v>
      </c>
      <c r="V55" s="72">
        <v>3.8359788359788358E-2</v>
      </c>
      <c r="X55" s="237">
        <v>103.5</v>
      </c>
      <c r="Y55" s="237">
        <v>82</v>
      </c>
      <c r="Z55" s="237">
        <v>73</v>
      </c>
      <c r="AA55" s="237">
        <v>58</v>
      </c>
      <c r="AB55" s="237">
        <v>45</v>
      </c>
      <c r="AC55" s="237">
        <v>40.5</v>
      </c>
      <c r="AD55" s="237">
        <v>39</v>
      </c>
      <c r="AE55" s="237">
        <v>32.5</v>
      </c>
      <c r="AF55" s="237">
        <v>29</v>
      </c>
    </row>
    <row r="56" spans="2:32" x14ac:dyDescent="0.25">
      <c r="B56" s="72">
        <v>6.7385444743935305E-2</v>
      </c>
      <c r="C56" s="72">
        <v>5.0539083557951482E-2</v>
      </c>
      <c r="D56" s="72">
        <v>3.4922766957689727E-2</v>
      </c>
      <c r="E56" s="72">
        <v>1.8194070080862535E-2</v>
      </c>
      <c r="F56" s="72">
        <v>0</v>
      </c>
      <c r="H56" s="72">
        <v>0.84931506849315064</v>
      </c>
      <c r="I56" s="72">
        <v>0.69736842105263153</v>
      </c>
      <c r="J56" s="72">
        <v>0.6</v>
      </c>
      <c r="K56" s="72">
        <v>0.43243243243243246</v>
      </c>
      <c r="L56" s="72">
        <v>0.31168831168831168</v>
      </c>
      <c r="N56" s="72">
        <v>0.14285714285714285</v>
      </c>
      <c r="O56" s="72">
        <v>0.12242090784044017</v>
      </c>
      <c r="P56" s="72">
        <v>0.10170648464163823</v>
      </c>
      <c r="Q56" s="72">
        <v>8.3276450511945391E-2</v>
      </c>
      <c r="R56" s="72">
        <v>6.7385444743935305E-2</v>
      </c>
      <c r="S56" s="72">
        <v>6.1952861952861954E-2</v>
      </c>
      <c r="T56" s="72">
        <v>5.5817081371889711E-2</v>
      </c>
      <c r="U56" s="72">
        <v>4.9831649831649831E-2</v>
      </c>
      <c r="V56" s="72">
        <v>4.5729657027572292E-2</v>
      </c>
      <c r="X56" s="237">
        <v>103</v>
      </c>
      <c r="Y56" s="237">
        <v>89</v>
      </c>
      <c r="Z56" s="237">
        <v>74.5</v>
      </c>
      <c r="AA56" s="237">
        <v>61</v>
      </c>
      <c r="AB56" s="237">
        <v>50</v>
      </c>
      <c r="AC56" s="237">
        <v>46</v>
      </c>
      <c r="AD56" s="237">
        <v>41.5</v>
      </c>
      <c r="AE56" s="237">
        <v>37</v>
      </c>
      <c r="AF56" s="237">
        <v>34</v>
      </c>
    </row>
    <row r="57" spans="2:32" x14ac:dyDescent="0.25">
      <c r="B57" s="72">
        <v>6.780776826859776E-2</v>
      </c>
      <c r="C57" s="72">
        <v>5.391190006574622E-2</v>
      </c>
      <c r="D57" s="72">
        <v>3.8969616908850729E-2</v>
      </c>
      <c r="E57" s="72">
        <v>2.1066491112574061E-2</v>
      </c>
      <c r="F57" s="72">
        <v>6.6093853271645734E-4</v>
      </c>
      <c r="H57" s="72">
        <v>0.77272727272727271</v>
      </c>
      <c r="I57" s="72">
        <v>0.67647058823529416</v>
      </c>
      <c r="J57" s="72">
        <v>0.56756756756756754</v>
      </c>
      <c r="K57" s="72">
        <v>0.46376811594202899</v>
      </c>
      <c r="L57" s="72">
        <v>0.34246575342465752</v>
      </c>
      <c r="N57" s="72">
        <v>0.14562458249832999</v>
      </c>
      <c r="O57" s="72">
        <v>0.12231182795698925</v>
      </c>
      <c r="P57" s="72">
        <v>0.10578842315369262</v>
      </c>
      <c r="Q57" s="72">
        <v>8.6468646864686471E-2</v>
      </c>
      <c r="R57" s="72">
        <v>6.780776826859776E-2</v>
      </c>
      <c r="S57" s="72">
        <v>5.9171597633136092E-2</v>
      </c>
      <c r="T57" s="72">
        <v>5.2145214521452148E-2</v>
      </c>
      <c r="U57" s="72">
        <v>4.7682119205298017E-2</v>
      </c>
      <c r="V57" s="72">
        <v>4.5092838196286469E-2</v>
      </c>
      <c r="X57" s="237">
        <v>109</v>
      </c>
      <c r="Y57" s="237">
        <v>91</v>
      </c>
      <c r="Z57" s="237">
        <v>79.5</v>
      </c>
      <c r="AA57" s="237">
        <v>65.5</v>
      </c>
      <c r="AB57" s="237">
        <v>51.5</v>
      </c>
      <c r="AC57" s="237">
        <v>45</v>
      </c>
      <c r="AD57" s="237">
        <v>39.5</v>
      </c>
      <c r="AE57" s="237">
        <v>36</v>
      </c>
      <c r="AF57" s="237">
        <v>34</v>
      </c>
    </row>
    <row r="58" spans="2:32" x14ac:dyDescent="0.25">
      <c r="B58" s="72">
        <v>6.7371202113606338E-2</v>
      </c>
      <c r="C58" s="72">
        <v>5.0791556728232191E-2</v>
      </c>
      <c r="D58" s="72">
        <v>3.2938076416337288E-2</v>
      </c>
      <c r="E58" s="72">
        <v>1.7810026385224276E-2</v>
      </c>
      <c r="F58" s="72">
        <v>0</v>
      </c>
      <c r="H58" s="72">
        <v>0.71875</v>
      </c>
      <c r="I58" s="72">
        <v>0.61194029850746268</v>
      </c>
      <c r="J58" s="72">
        <v>0.53030303030303028</v>
      </c>
      <c r="K58" s="72">
        <v>0.46376811594202899</v>
      </c>
      <c r="L58" s="72">
        <v>0.31944444444444442</v>
      </c>
      <c r="N58" s="72">
        <v>0.14903846153846154</v>
      </c>
      <c r="O58" s="72">
        <v>0.12669376693766937</v>
      </c>
      <c r="P58" s="72">
        <v>0.10356422326832548</v>
      </c>
      <c r="Q58" s="72">
        <v>8.6229946524064169E-2</v>
      </c>
      <c r="R58" s="72">
        <v>6.7371202113606338E-2</v>
      </c>
      <c r="S58" s="72">
        <v>6.1882817643186309E-2</v>
      </c>
      <c r="T58" s="72">
        <v>5.7425742574257428E-2</v>
      </c>
      <c r="U58" s="72">
        <v>5.8124174372523117E-2</v>
      </c>
      <c r="V58" s="72">
        <v>5.0925925925925923E-2</v>
      </c>
      <c r="X58" s="237">
        <v>108.5</v>
      </c>
      <c r="Y58" s="237">
        <v>93.5</v>
      </c>
      <c r="Z58" s="237">
        <v>77</v>
      </c>
      <c r="AA58" s="237">
        <v>64.5</v>
      </c>
      <c r="AB58" s="237">
        <v>51</v>
      </c>
      <c r="AC58" s="237">
        <v>47</v>
      </c>
      <c r="AD58" s="237">
        <v>43.5</v>
      </c>
      <c r="AE58" s="237">
        <v>44</v>
      </c>
      <c r="AF58" s="237">
        <v>38.5</v>
      </c>
    </row>
    <row r="59" spans="2:32" x14ac:dyDescent="0.25">
      <c r="B59" s="72">
        <v>6.8672334859385217E-2</v>
      </c>
      <c r="C59" s="72">
        <v>5.6862745098039215E-2</v>
      </c>
      <c r="D59" s="72">
        <v>3.7254901960784313E-2</v>
      </c>
      <c r="E59" s="72">
        <v>1.6361256544502618E-2</v>
      </c>
      <c r="F59" s="72">
        <v>1.9736842105263159E-3</v>
      </c>
      <c r="H59" s="72">
        <v>0.80555555555555558</v>
      </c>
      <c r="I59" s="72">
        <v>0.70149253731343286</v>
      </c>
      <c r="J59" s="72">
        <v>0.578125</v>
      </c>
      <c r="K59" s="72">
        <v>0.43939393939393939</v>
      </c>
      <c r="L59" s="72">
        <v>0.37142857142857144</v>
      </c>
      <c r="N59" s="72">
        <v>0.14824797843665768</v>
      </c>
      <c r="O59" s="72">
        <v>0.118508655126498</v>
      </c>
      <c r="P59" s="72">
        <v>0.1083223249669749</v>
      </c>
      <c r="Q59" s="72">
        <v>8.6070959264126154E-2</v>
      </c>
      <c r="R59" s="72">
        <v>6.8672334859385217E-2</v>
      </c>
      <c r="S59" s="72">
        <v>6.4537157757496744E-2</v>
      </c>
      <c r="T59" s="72">
        <v>6.1929595827900911E-2</v>
      </c>
      <c r="U59" s="72">
        <v>5.6062581486310298E-2</v>
      </c>
      <c r="V59" s="72">
        <v>4.6284224250325946E-2</v>
      </c>
      <c r="X59" s="237">
        <v>110</v>
      </c>
      <c r="Y59" s="237">
        <v>89</v>
      </c>
      <c r="Z59" s="237">
        <v>82</v>
      </c>
      <c r="AA59" s="237">
        <v>65.5</v>
      </c>
      <c r="AB59" s="237">
        <v>52.5</v>
      </c>
      <c r="AC59" s="237">
        <v>49.5</v>
      </c>
      <c r="AD59" s="237">
        <v>47.5</v>
      </c>
      <c r="AE59" s="237">
        <v>43</v>
      </c>
      <c r="AF59" s="237">
        <v>35.5</v>
      </c>
    </row>
    <row r="60" spans="2:32" x14ac:dyDescent="0.25">
      <c r="B60" s="72">
        <v>5.2881355932203389E-2</v>
      </c>
      <c r="C60" s="72">
        <v>3.9864864864864867E-2</v>
      </c>
      <c r="D60" s="72">
        <v>2.660300136425648E-2</v>
      </c>
      <c r="E60" s="72">
        <v>1.227830832196453E-2</v>
      </c>
      <c r="F60" s="72">
        <v>6.8352699931647305E-4</v>
      </c>
      <c r="H60" s="72">
        <v>0.80303030303030298</v>
      </c>
      <c r="I60" s="72">
        <v>0.65151515151515149</v>
      </c>
      <c r="J60" s="72">
        <v>0.53246753246753242</v>
      </c>
      <c r="K60" s="72">
        <v>0.46666666666666667</v>
      </c>
      <c r="L60" s="72">
        <v>0.38157894736842107</v>
      </c>
      <c r="N60" s="72">
        <v>0.13561643835616438</v>
      </c>
      <c r="O60" s="72">
        <v>0.10555174777244689</v>
      </c>
      <c r="P60" s="72">
        <v>9.4005449591280654E-2</v>
      </c>
      <c r="Q60" s="72">
        <v>6.9624573378839594E-2</v>
      </c>
      <c r="R60" s="72">
        <v>5.2881355932203389E-2</v>
      </c>
      <c r="S60" s="72">
        <v>5.2168021680216801E-2</v>
      </c>
      <c r="T60" s="72">
        <v>4.7489823609226593E-2</v>
      </c>
      <c r="U60" s="72">
        <v>4.520917678812416E-2</v>
      </c>
      <c r="V60" s="72">
        <v>4.0540540540540543E-2</v>
      </c>
      <c r="X60" s="237">
        <v>99</v>
      </c>
      <c r="Y60" s="237">
        <v>77</v>
      </c>
      <c r="Z60" s="237">
        <v>69</v>
      </c>
      <c r="AA60" s="237">
        <v>51</v>
      </c>
      <c r="AB60" s="237">
        <v>39</v>
      </c>
      <c r="AC60" s="237">
        <v>38.5</v>
      </c>
      <c r="AD60" s="237">
        <v>35</v>
      </c>
      <c r="AE60" s="237">
        <v>33.5</v>
      </c>
      <c r="AF60" s="237">
        <v>30</v>
      </c>
    </row>
    <row r="61" spans="2:32" x14ac:dyDescent="0.25">
      <c r="B61" s="72">
        <v>6.3157894736842107E-2</v>
      </c>
      <c r="C61" s="72">
        <v>4.7963206307490146E-2</v>
      </c>
      <c r="D61" s="72">
        <v>3.3486539724228499E-2</v>
      </c>
      <c r="E61" s="72">
        <v>1.6414970453053186E-2</v>
      </c>
      <c r="F61" s="72">
        <v>0</v>
      </c>
      <c r="H61" s="72">
        <v>0.78947368421052633</v>
      </c>
      <c r="I61" s="72">
        <v>0.70666666666666667</v>
      </c>
      <c r="J61" s="72">
        <v>0.63380281690140849</v>
      </c>
      <c r="K61" s="72">
        <v>0.5714285714285714</v>
      </c>
      <c r="L61" s="72">
        <v>0.44117647058823528</v>
      </c>
      <c r="N61" s="72">
        <v>0.14046822742474915</v>
      </c>
      <c r="O61" s="72">
        <v>0.11957247828991316</v>
      </c>
      <c r="P61" s="72">
        <v>0.10254691689008043</v>
      </c>
      <c r="Q61" s="72">
        <v>8.8117489986648867E-2</v>
      </c>
      <c r="R61" s="72">
        <v>6.3157894736842107E-2</v>
      </c>
      <c r="S61" s="72">
        <v>5.905511811023622E-2</v>
      </c>
      <c r="T61" s="72">
        <v>5.3219448094612355E-2</v>
      </c>
      <c r="U61" s="72">
        <v>4.6710526315789473E-2</v>
      </c>
      <c r="V61" s="72">
        <v>4.3593130779392336E-2</v>
      </c>
      <c r="X61" s="237">
        <v>105</v>
      </c>
      <c r="Y61" s="237">
        <v>89.5</v>
      </c>
      <c r="Z61" s="237">
        <v>76.5</v>
      </c>
      <c r="AA61" s="237">
        <v>66</v>
      </c>
      <c r="AB61" s="237">
        <v>48</v>
      </c>
      <c r="AC61" s="237">
        <v>45</v>
      </c>
      <c r="AD61" s="237">
        <v>40.5</v>
      </c>
      <c r="AE61" s="237">
        <v>35.5</v>
      </c>
      <c r="AF61" s="237">
        <v>33</v>
      </c>
    </row>
    <row r="62" spans="2:32" x14ac:dyDescent="0.25">
      <c r="B62" s="72">
        <v>7.0291777188328908E-2</v>
      </c>
      <c r="C62" s="72">
        <v>5.416116248348745E-2</v>
      </c>
      <c r="D62" s="72">
        <v>3.430079155672823E-2</v>
      </c>
      <c r="E62" s="72">
        <v>1.8506278916060808E-2</v>
      </c>
      <c r="F62" s="72">
        <v>0</v>
      </c>
      <c r="H62" s="72">
        <v>0.68055555555555558</v>
      </c>
      <c r="I62" s="72">
        <v>0.63636363636363635</v>
      </c>
      <c r="J62" s="72">
        <v>0.5625</v>
      </c>
      <c r="K62" s="72">
        <v>0.44615384615384618</v>
      </c>
      <c r="L62" s="72">
        <v>0.32307692307692309</v>
      </c>
      <c r="N62" s="72">
        <v>0.17127444369521241</v>
      </c>
      <c r="O62" s="72">
        <v>0.1436241610738255</v>
      </c>
      <c r="P62" s="72">
        <v>0.11615487316421896</v>
      </c>
      <c r="Q62" s="72">
        <v>9.1516366065464261E-2</v>
      </c>
      <c r="R62" s="72">
        <v>7.0291777188328908E-2</v>
      </c>
      <c r="S62" s="72">
        <v>6.5824468085106377E-2</v>
      </c>
      <c r="T62" s="72">
        <v>6.1415220293724967E-2</v>
      </c>
      <c r="U62" s="72">
        <v>5.6000000000000001E-2</v>
      </c>
      <c r="V62" s="72">
        <v>5.3892215568862277E-2</v>
      </c>
      <c r="X62" s="237">
        <v>127</v>
      </c>
      <c r="Y62" s="237">
        <v>107</v>
      </c>
      <c r="Z62" s="237">
        <v>87</v>
      </c>
      <c r="AA62" s="237">
        <v>68.5</v>
      </c>
      <c r="AB62" s="237">
        <v>53</v>
      </c>
      <c r="AC62" s="237">
        <v>49.5</v>
      </c>
      <c r="AD62" s="237">
        <v>46</v>
      </c>
      <c r="AE62" s="237">
        <v>42</v>
      </c>
      <c r="AF62" s="237">
        <v>40.5</v>
      </c>
    </row>
    <row r="63" spans="2:32" x14ac:dyDescent="0.25">
      <c r="B63" s="72">
        <v>5.8305084745762709E-2</v>
      </c>
      <c r="C63" s="72">
        <v>4.5454545454545456E-2</v>
      </c>
      <c r="D63" s="72">
        <v>3.1165311653116531E-2</v>
      </c>
      <c r="E63" s="72">
        <v>1.6891891891891893E-2</v>
      </c>
      <c r="F63" s="72">
        <v>0</v>
      </c>
      <c r="H63" s="72">
        <v>0.83333333333333337</v>
      </c>
      <c r="I63" s="72">
        <v>0.75903614457831325</v>
      </c>
      <c r="J63" s="72">
        <v>0.71250000000000002</v>
      </c>
      <c r="K63" s="72">
        <v>0.57499999999999996</v>
      </c>
      <c r="L63" s="72">
        <v>0.48051948051948051</v>
      </c>
      <c r="N63" s="72">
        <v>0.1499312242090784</v>
      </c>
      <c r="O63" s="72">
        <v>0.12422360248447205</v>
      </c>
      <c r="P63" s="72">
        <v>0.10013717421124829</v>
      </c>
      <c r="Q63" s="72">
        <v>7.5187969924812026E-2</v>
      </c>
      <c r="R63" s="72">
        <v>5.8305084745762709E-2</v>
      </c>
      <c r="S63" s="72">
        <v>5.4803788903924219E-2</v>
      </c>
      <c r="T63" s="72">
        <v>5.0539083557951482E-2</v>
      </c>
      <c r="U63" s="72">
        <v>4.9966239027683997E-2</v>
      </c>
      <c r="V63" s="72">
        <v>4.4444444444444446E-2</v>
      </c>
      <c r="X63" s="237">
        <v>109</v>
      </c>
      <c r="Y63" s="237">
        <v>90</v>
      </c>
      <c r="Z63" s="237">
        <v>73</v>
      </c>
      <c r="AA63" s="237">
        <v>55</v>
      </c>
      <c r="AB63" s="237">
        <v>43</v>
      </c>
      <c r="AC63" s="237">
        <v>40.5</v>
      </c>
      <c r="AD63" s="237">
        <v>37.5</v>
      </c>
      <c r="AE63" s="237">
        <v>37</v>
      </c>
      <c r="AF63" s="237">
        <v>33</v>
      </c>
    </row>
    <row r="64" spans="2:32" x14ac:dyDescent="0.25">
      <c r="B64" s="72">
        <v>6.5659881812212745E-2</v>
      </c>
      <c r="C64" s="72">
        <v>5.1803278688524593E-2</v>
      </c>
      <c r="D64" s="72">
        <v>3.4009156311314584E-2</v>
      </c>
      <c r="E64" s="72">
        <v>1.6318537859007835E-2</v>
      </c>
      <c r="F64" s="72">
        <v>0</v>
      </c>
      <c r="H64" s="72">
        <v>0.78378378378378377</v>
      </c>
      <c r="I64" s="72">
        <v>0.62666666666666671</v>
      </c>
      <c r="J64" s="72">
        <v>0.51351351351351349</v>
      </c>
      <c r="K64" s="72">
        <v>0.41176470588235292</v>
      </c>
      <c r="L64" s="72">
        <v>0.30985915492957744</v>
      </c>
      <c r="N64" s="72">
        <v>0.1436241610738255</v>
      </c>
      <c r="O64" s="72">
        <v>0.1248339973439575</v>
      </c>
      <c r="P64" s="72">
        <v>9.6945551128818058E-2</v>
      </c>
      <c r="Q64" s="72">
        <v>8.3883751651254959E-2</v>
      </c>
      <c r="R64" s="72">
        <v>6.5659881812212745E-2</v>
      </c>
      <c r="S64" s="72">
        <v>6.0248853962017027E-2</v>
      </c>
      <c r="T64" s="72">
        <v>5.774278215223097E-2</v>
      </c>
      <c r="U64" s="72">
        <v>4.9212598425196853E-2</v>
      </c>
      <c r="V64" s="72">
        <v>4.652686762778506E-2</v>
      </c>
      <c r="X64" s="237">
        <v>107</v>
      </c>
      <c r="Y64" s="237">
        <v>94</v>
      </c>
      <c r="Z64" s="237">
        <v>73</v>
      </c>
      <c r="AA64" s="237">
        <v>63.5</v>
      </c>
      <c r="AB64" s="237">
        <v>50</v>
      </c>
      <c r="AC64" s="237">
        <v>46</v>
      </c>
      <c r="AD64" s="237">
        <v>44</v>
      </c>
      <c r="AE64" s="237">
        <v>37.5</v>
      </c>
      <c r="AF64" s="237">
        <v>35.5</v>
      </c>
    </row>
    <row r="65" spans="2:32" x14ac:dyDescent="0.25">
      <c r="B65" s="72">
        <v>6.5045992115637316E-2</v>
      </c>
      <c r="C65" s="72">
        <v>5.0791556728232191E-2</v>
      </c>
      <c r="D65" s="72">
        <v>3.2258064516129031E-2</v>
      </c>
      <c r="E65" s="72">
        <v>1.3824884792626729E-2</v>
      </c>
      <c r="F65" s="72">
        <v>0</v>
      </c>
      <c r="H65" s="72">
        <v>0.76470588235294112</v>
      </c>
      <c r="I65" s="72">
        <v>0.62666666666666671</v>
      </c>
      <c r="J65" s="72">
        <v>0.59459459459459463</v>
      </c>
      <c r="K65" s="72">
        <v>0.50684931506849318</v>
      </c>
      <c r="L65" s="72">
        <v>0.38356164383561642</v>
      </c>
      <c r="N65" s="72">
        <v>0.16085790884718498</v>
      </c>
      <c r="O65" s="72">
        <v>0.13809206137424951</v>
      </c>
      <c r="P65" s="72">
        <v>0.11627906976744186</v>
      </c>
      <c r="Q65" s="72">
        <v>9.1511936339522551E-2</v>
      </c>
      <c r="R65" s="72">
        <v>6.5045992115637316E-2</v>
      </c>
      <c r="S65" s="72">
        <v>6.3606557377049178E-2</v>
      </c>
      <c r="T65" s="72">
        <v>6.106369008535785E-2</v>
      </c>
      <c r="U65" s="72">
        <v>5.7591623036649213E-2</v>
      </c>
      <c r="V65" s="72">
        <v>5.4354944335297972E-2</v>
      </c>
      <c r="X65" s="237">
        <v>120</v>
      </c>
      <c r="Y65" s="237">
        <v>103.5</v>
      </c>
      <c r="Z65" s="237">
        <v>87.5</v>
      </c>
      <c r="AA65" s="237">
        <v>69</v>
      </c>
      <c r="AB65" s="237">
        <v>49.5</v>
      </c>
      <c r="AC65" s="237">
        <v>48.5</v>
      </c>
      <c r="AD65" s="237">
        <v>46.5</v>
      </c>
      <c r="AE65" s="237">
        <v>44</v>
      </c>
      <c r="AF65" s="237">
        <v>41.5</v>
      </c>
    </row>
    <row r="66" spans="2:32" x14ac:dyDescent="0.25">
      <c r="B66" s="72">
        <v>5.7441253263707574E-2</v>
      </c>
      <c r="C66" s="72">
        <v>4.1884816753926704E-2</v>
      </c>
      <c r="D66" s="72">
        <v>2.6229508196721311E-2</v>
      </c>
      <c r="E66" s="72">
        <v>1.2459016393442624E-2</v>
      </c>
      <c r="F66" s="72">
        <v>0</v>
      </c>
      <c r="H66" s="72">
        <v>0.74285714285714288</v>
      </c>
      <c r="I66" s="72">
        <v>0.7</v>
      </c>
      <c r="J66" s="72">
        <v>0.63888888888888884</v>
      </c>
      <c r="K66" s="72">
        <v>0.5714285714285714</v>
      </c>
      <c r="L66" s="72">
        <v>0.5</v>
      </c>
      <c r="N66" s="72">
        <v>0.13648468708388814</v>
      </c>
      <c r="O66" s="72">
        <v>0.11939313984168866</v>
      </c>
      <c r="P66" s="72">
        <v>0.10150622134905042</v>
      </c>
      <c r="Q66" s="72">
        <v>7.7930582842174204E-2</v>
      </c>
      <c r="R66" s="72">
        <v>5.7441253263707574E-2</v>
      </c>
      <c r="S66" s="72">
        <v>5.2803129074315516E-2</v>
      </c>
      <c r="T66" s="72">
        <v>4.9575994781474231E-2</v>
      </c>
      <c r="U66" s="72">
        <v>4.743339831059129E-2</v>
      </c>
      <c r="V66" s="72">
        <v>4.1531473069435429E-2</v>
      </c>
      <c r="X66" s="237">
        <v>102.5</v>
      </c>
      <c r="Y66" s="237">
        <v>90.5</v>
      </c>
      <c r="Z66" s="237">
        <v>77.5</v>
      </c>
      <c r="AA66" s="237">
        <v>59.5</v>
      </c>
      <c r="AB66" s="237">
        <v>44</v>
      </c>
      <c r="AC66" s="237">
        <v>40.5</v>
      </c>
      <c r="AD66" s="237">
        <v>38</v>
      </c>
      <c r="AE66" s="237">
        <v>36.5</v>
      </c>
      <c r="AF66" s="237">
        <v>32</v>
      </c>
    </row>
    <row r="67" spans="2:32" x14ac:dyDescent="0.25">
      <c r="B67" s="72">
        <v>7.9141515761234071E-2</v>
      </c>
      <c r="C67" s="72">
        <v>5.8389261744966441E-2</v>
      </c>
      <c r="D67" s="72">
        <v>3.7583892617449662E-2</v>
      </c>
      <c r="E67" s="72">
        <v>1.8120805369127517E-2</v>
      </c>
      <c r="F67" s="72">
        <v>0</v>
      </c>
      <c r="H67" s="72">
        <v>0.72727272727272729</v>
      </c>
      <c r="I67" s="72">
        <v>0.65432098765432101</v>
      </c>
      <c r="J67" s="72">
        <v>0.5641025641025641</v>
      </c>
      <c r="K67" s="72">
        <v>0.45</v>
      </c>
      <c r="L67" s="72">
        <v>0.36708860759493672</v>
      </c>
      <c r="N67" s="72">
        <v>0.15075034106412005</v>
      </c>
      <c r="O67" s="72">
        <v>0.13022941970310392</v>
      </c>
      <c r="P67" s="72">
        <v>0.11342281879194631</v>
      </c>
      <c r="Q67" s="72">
        <v>9.3582887700534759E-2</v>
      </c>
      <c r="R67" s="72">
        <v>7.9141515761234071E-2</v>
      </c>
      <c r="S67" s="72">
        <v>7.1956960322797581E-2</v>
      </c>
      <c r="T67" s="72">
        <v>6.4733648010788944E-2</v>
      </c>
      <c r="U67" s="72">
        <v>5.8585858585858588E-2</v>
      </c>
      <c r="V67" s="72">
        <v>5.401755570560432E-2</v>
      </c>
      <c r="X67" s="237">
        <v>110.5</v>
      </c>
      <c r="Y67" s="237">
        <v>96.5</v>
      </c>
      <c r="Z67" s="237">
        <v>84.5</v>
      </c>
      <c r="AA67" s="237">
        <v>70</v>
      </c>
      <c r="AB67" s="237">
        <v>59</v>
      </c>
      <c r="AC67" s="237">
        <v>53.5</v>
      </c>
      <c r="AD67" s="237">
        <v>48</v>
      </c>
      <c r="AE67" s="237">
        <v>43.5</v>
      </c>
      <c r="AF67" s="237">
        <v>40</v>
      </c>
    </row>
    <row r="68" spans="2:32" x14ac:dyDescent="0.25">
      <c r="B68" s="72">
        <v>6.0194174757281553E-2</v>
      </c>
      <c r="C68" s="72">
        <v>4.4069993519118597E-2</v>
      </c>
      <c r="D68" s="72">
        <v>3.4259857789269557E-2</v>
      </c>
      <c r="E68" s="72">
        <v>1.8697614442295292E-2</v>
      </c>
      <c r="F68" s="72">
        <v>0</v>
      </c>
      <c r="H68" s="72">
        <v>0.75714285714285712</v>
      </c>
      <c r="I68" s="72">
        <v>0.63013698630136983</v>
      </c>
      <c r="J68" s="72">
        <v>0.57971014492753625</v>
      </c>
      <c r="K68" s="72">
        <v>0.49206349206349204</v>
      </c>
      <c r="L68" s="72">
        <v>0.375</v>
      </c>
      <c r="N68" s="72">
        <v>0.13156146179401992</v>
      </c>
      <c r="O68" s="72">
        <v>0.11505588428665352</v>
      </c>
      <c r="P68" s="72">
        <v>9.6942094990240729E-2</v>
      </c>
      <c r="Q68" s="72">
        <v>8.3929733246584259E-2</v>
      </c>
      <c r="R68" s="72">
        <v>6.0194174757281553E-2</v>
      </c>
      <c r="S68" s="72">
        <v>5.4263565891472867E-2</v>
      </c>
      <c r="T68" s="72">
        <v>4.8231511254019289E-2</v>
      </c>
      <c r="U68" s="72">
        <v>4.1773778920308487E-2</v>
      </c>
      <c r="V68" s="72">
        <v>3.9718129404228059E-2</v>
      </c>
      <c r="X68" s="237">
        <v>99</v>
      </c>
      <c r="Y68" s="237">
        <v>87.5</v>
      </c>
      <c r="Z68" s="237">
        <v>74.5</v>
      </c>
      <c r="AA68" s="237">
        <v>64.5</v>
      </c>
      <c r="AB68" s="237">
        <v>46.5</v>
      </c>
      <c r="AC68" s="237">
        <v>42</v>
      </c>
      <c r="AD68" s="237">
        <v>37.5</v>
      </c>
      <c r="AE68" s="237">
        <v>32.5</v>
      </c>
      <c r="AF68" s="237">
        <v>31</v>
      </c>
    </row>
    <row r="69" spans="2:32" x14ac:dyDescent="0.25">
      <c r="B69" s="72">
        <v>7.0105820105820102E-2</v>
      </c>
      <c r="C69" s="72">
        <v>5.2317880794701989E-2</v>
      </c>
      <c r="D69" s="72">
        <v>3.5099337748344374E-2</v>
      </c>
      <c r="E69" s="72">
        <v>2.1276595744680851E-2</v>
      </c>
      <c r="F69" s="72">
        <v>0</v>
      </c>
      <c r="H69" s="72">
        <v>0.90196078431372551</v>
      </c>
      <c r="I69" s="72">
        <v>0.6964285714285714</v>
      </c>
      <c r="J69" s="72">
        <v>0.51724137931034486</v>
      </c>
      <c r="K69" s="72">
        <v>0.36666666666666664</v>
      </c>
      <c r="L69" s="72">
        <v>0.21666666666666667</v>
      </c>
      <c r="N69" s="72">
        <v>0.15202702702702703</v>
      </c>
      <c r="O69" s="72">
        <v>0.13725490196078433</v>
      </c>
      <c r="P69" s="72">
        <v>0.12064343163538874</v>
      </c>
      <c r="Q69" s="72">
        <v>9.6000000000000002E-2</v>
      </c>
      <c r="R69" s="72">
        <v>7.0105820105820102E-2</v>
      </c>
      <c r="S69" s="72">
        <v>6.2375580623755804E-2</v>
      </c>
      <c r="T69" s="72">
        <v>5.8940397350993379E-2</v>
      </c>
      <c r="U69" s="72">
        <v>5.8707124010554092E-2</v>
      </c>
      <c r="V69" s="72">
        <v>5.2631578947368418E-2</v>
      </c>
      <c r="X69" s="237">
        <v>112.5</v>
      </c>
      <c r="Y69" s="237">
        <v>101.5</v>
      </c>
      <c r="Z69" s="237">
        <v>90</v>
      </c>
      <c r="AA69" s="237">
        <v>72</v>
      </c>
      <c r="AB69" s="237">
        <v>53</v>
      </c>
      <c r="AC69" s="237">
        <v>47</v>
      </c>
      <c r="AD69" s="237">
        <v>44.5</v>
      </c>
      <c r="AE69" s="237">
        <v>44.5</v>
      </c>
      <c r="AF69" s="237">
        <v>40</v>
      </c>
    </row>
    <row r="70" spans="2:32" x14ac:dyDescent="0.25">
      <c r="B70" s="72">
        <v>7.8093977498345471E-2</v>
      </c>
      <c r="C70" s="72">
        <v>5.1827242524916946E-2</v>
      </c>
      <c r="D70" s="72">
        <v>3.1788079470198675E-2</v>
      </c>
      <c r="E70" s="72">
        <v>1.3218770654329148E-2</v>
      </c>
      <c r="F70" s="72">
        <v>0</v>
      </c>
      <c r="H70" s="72">
        <v>0.68</v>
      </c>
      <c r="I70" s="72">
        <v>0.54545454545454541</v>
      </c>
      <c r="J70" s="72">
        <v>0.44594594594594594</v>
      </c>
      <c r="K70" s="72">
        <v>0.37681159420289856</v>
      </c>
      <c r="L70" s="72">
        <v>0.32432432432432434</v>
      </c>
      <c r="N70" s="72">
        <v>0.15518394648829431</v>
      </c>
      <c r="O70" s="72">
        <v>0.12875250166777852</v>
      </c>
      <c r="P70" s="72">
        <v>0.11051930758988016</v>
      </c>
      <c r="Q70" s="72">
        <v>9.6256684491978606E-2</v>
      </c>
      <c r="R70" s="72">
        <v>7.8093977498345471E-2</v>
      </c>
      <c r="S70" s="72">
        <v>7.2655217965653898E-2</v>
      </c>
      <c r="T70" s="72">
        <v>6.7105263157894737E-2</v>
      </c>
      <c r="U70" s="72">
        <v>6.4304461942257224E-2</v>
      </c>
      <c r="V70" s="72">
        <v>5.7086614173228349E-2</v>
      </c>
      <c r="X70" s="237">
        <v>116</v>
      </c>
      <c r="Y70" s="237">
        <v>96.5</v>
      </c>
      <c r="Z70" s="237">
        <v>83</v>
      </c>
      <c r="AA70" s="237">
        <v>72</v>
      </c>
      <c r="AB70" s="237">
        <v>59</v>
      </c>
      <c r="AC70" s="237">
        <v>55</v>
      </c>
      <c r="AD70" s="237">
        <v>51</v>
      </c>
      <c r="AE70" s="237">
        <v>49</v>
      </c>
      <c r="AF70" s="237">
        <v>43.5</v>
      </c>
    </row>
    <row r="71" spans="2:32" x14ac:dyDescent="0.25">
      <c r="B71" s="72">
        <v>6.9124423963133647E-2</v>
      </c>
      <c r="C71" s="72">
        <v>4.7275114904793171E-2</v>
      </c>
      <c r="D71" s="72">
        <v>3.1641397495056033E-2</v>
      </c>
      <c r="E71" s="72">
        <v>1.5181518151815182E-2</v>
      </c>
      <c r="F71" s="72">
        <v>6.6050198150594452E-4</v>
      </c>
      <c r="H71" s="72">
        <v>0.82258064516129037</v>
      </c>
      <c r="I71" s="72">
        <v>0.79661016949152541</v>
      </c>
      <c r="J71" s="72">
        <v>0.67213114754098358</v>
      </c>
      <c r="K71" s="72">
        <v>0.53125</v>
      </c>
      <c r="L71" s="72">
        <v>0.421875</v>
      </c>
      <c r="N71" s="72">
        <v>0.15686274509803921</v>
      </c>
      <c r="O71" s="72">
        <v>0.14036265950302215</v>
      </c>
      <c r="P71" s="72">
        <v>0.11456953642384106</v>
      </c>
      <c r="Q71" s="72">
        <v>8.5430463576158938E-2</v>
      </c>
      <c r="R71" s="72">
        <v>6.9124423963133647E-2</v>
      </c>
      <c r="S71" s="72">
        <v>6.583278472679395E-2</v>
      </c>
      <c r="T71" s="72">
        <v>6.1720288903479976E-2</v>
      </c>
      <c r="U71" s="72">
        <v>5.8398950131233598E-2</v>
      </c>
      <c r="V71" s="72">
        <v>5.2493438320209973E-2</v>
      </c>
      <c r="X71" s="237">
        <v>116</v>
      </c>
      <c r="Y71" s="237">
        <v>104.5</v>
      </c>
      <c r="Z71" s="237">
        <v>86.5</v>
      </c>
      <c r="AA71" s="237">
        <v>64.5</v>
      </c>
      <c r="AB71" s="237">
        <v>52.5</v>
      </c>
      <c r="AC71" s="237">
        <v>50</v>
      </c>
      <c r="AD71" s="237">
        <v>47</v>
      </c>
      <c r="AE71" s="237">
        <v>44.5</v>
      </c>
      <c r="AF71" s="237">
        <v>40</v>
      </c>
    </row>
    <row r="72" spans="2:32" x14ac:dyDescent="0.25">
      <c r="B72" s="72">
        <v>7.9478827361563517E-2</v>
      </c>
      <c r="C72" s="72">
        <v>6.0052219321148827E-2</v>
      </c>
      <c r="D72" s="72">
        <v>3.713355048859935E-2</v>
      </c>
      <c r="E72" s="72">
        <v>1.4944769330734242E-2</v>
      </c>
      <c r="F72" s="72">
        <v>0</v>
      </c>
      <c r="H72" s="72">
        <v>0.75757575757575757</v>
      </c>
      <c r="I72" s="72">
        <v>0.60563380281690138</v>
      </c>
      <c r="J72" s="72">
        <v>0.52380952380952384</v>
      </c>
      <c r="K72" s="72">
        <v>0.36666666666666664</v>
      </c>
      <c r="L72" s="72">
        <v>0.29629629629629628</v>
      </c>
      <c r="N72" s="72">
        <v>0.15622895622895622</v>
      </c>
      <c r="O72" s="72">
        <v>0.13745019920318724</v>
      </c>
      <c r="P72" s="72">
        <v>0.11472148541114058</v>
      </c>
      <c r="Q72" s="72">
        <v>0.1013734466971877</v>
      </c>
      <c r="R72" s="72">
        <v>7.9478827361563517E-2</v>
      </c>
      <c r="S72" s="72">
        <v>7.5471698113207544E-2</v>
      </c>
      <c r="T72" s="72">
        <v>7.0038910505836577E-2</v>
      </c>
      <c r="U72" s="72">
        <v>6.5541855937702787E-2</v>
      </c>
      <c r="V72" s="72">
        <v>6.3307493540051676E-2</v>
      </c>
      <c r="X72" s="237">
        <v>116</v>
      </c>
      <c r="Y72" s="237">
        <v>103.5</v>
      </c>
      <c r="Z72" s="237">
        <v>86.5</v>
      </c>
      <c r="AA72" s="237">
        <v>77.5</v>
      </c>
      <c r="AB72" s="237">
        <v>61</v>
      </c>
      <c r="AC72" s="237">
        <v>58</v>
      </c>
      <c r="AD72" s="237">
        <v>54</v>
      </c>
      <c r="AE72" s="237">
        <v>50.5</v>
      </c>
      <c r="AF72" s="237">
        <v>49</v>
      </c>
    </row>
    <row r="73" spans="2:32" x14ac:dyDescent="0.25">
      <c r="B73" s="72">
        <v>5.5259653794940078E-2</v>
      </c>
      <c r="C73" s="72">
        <v>4.1916167664670656E-2</v>
      </c>
      <c r="D73" s="72">
        <v>2.6684456304202801E-2</v>
      </c>
      <c r="E73" s="72">
        <v>1.3262599469496022E-2</v>
      </c>
      <c r="F73" s="72">
        <v>6.6312997347480103E-4</v>
      </c>
      <c r="H73" s="72">
        <v>0.76315789473684215</v>
      </c>
      <c r="I73" s="72">
        <v>0.6901408450704225</v>
      </c>
      <c r="J73" s="72">
        <v>0.5714285714285714</v>
      </c>
      <c r="K73" s="72">
        <v>0.51351351351351349</v>
      </c>
      <c r="L73" s="72">
        <v>0.39726027397260272</v>
      </c>
      <c r="N73" s="72">
        <v>0.14908100748808714</v>
      </c>
      <c r="O73" s="72">
        <v>0.12575655682582382</v>
      </c>
      <c r="P73" s="72">
        <v>0.10033444816053512</v>
      </c>
      <c r="Q73" s="72">
        <v>7.0950468540829981E-2</v>
      </c>
      <c r="R73" s="72">
        <v>5.5259653794940078E-2</v>
      </c>
      <c r="S73" s="72">
        <v>5.2456839309428953E-2</v>
      </c>
      <c r="T73" s="72">
        <v>4.9800796812749001E-2</v>
      </c>
      <c r="U73" s="72">
        <v>4.5816733067729085E-2</v>
      </c>
      <c r="V73" s="72">
        <v>4.2000000000000003E-2</v>
      </c>
      <c r="X73" s="237">
        <v>109.5</v>
      </c>
      <c r="Y73" s="237">
        <v>93.5</v>
      </c>
      <c r="Z73" s="237">
        <v>75</v>
      </c>
      <c r="AA73" s="237">
        <v>53</v>
      </c>
      <c r="AB73" s="237">
        <v>41.5</v>
      </c>
      <c r="AC73" s="237">
        <v>39.5</v>
      </c>
      <c r="AD73" s="237">
        <v>37.5</v>
      </c>
      <c r="AE73" s="237">
        <v>34.5</v>
      </c>
      <c r="AF73" s="237">
        <v>31.5</v>
      </c>
    </row>
    <row r="74" spans="2:32" x14ac:dyDescent="0.25">
      <c r="B74" s="72">
        <v>6.4411190631099541E-2</v>
      </c>
      <c r="C74" s="72">
        <v>4.6601941747572817E-2</v>
      </c>
      <c r="D74" s="72">
        <v>2.9754204398447608E-2</v>
      </c>
      <c r="E74" s="72">
        <v>1.7487046632124352E-2</v>
      </c>
      <c r="F74" s="72">
        <v>0</v>
      </c>
      <c r="H74" s="72">
        <v>0.74285714285714288</v>
      </c>
      <c r="I74" s="72">
        <v>0.6875</v>
      </c>
      <c r="J74" s="72">
        <v>0.59677419354838712</v>
      </c>
      <c r="K74" s="72">
        <v>0.49206349206349204</v>
      </c>
      <c r="L74" s="72">
        <v>0.35483870967741937</v>
      </c>
      <c r="N74" s="72">
        <v>0.14032697547683923</v>
      </c>
      <c r="O74" s="72">
        <v>0.11499663752521856</v>
      </c>
      <c r="P74" s="72">
        <v>9.8469727212242189E-2</v>
      </c>
      <c r="Q74" s="72">
        <v>7.8703703703703706E-2</v>
      </c>
      <c r="R74" s="72">
        <v>6.4411190631099541E-2</v>
      </c>
      <c r="S74" s="72">
        <v>5.9129304743339828E-2</v>
      </c>
      <c r="T74" s="72">
        <v>5.5158987670343933E-2</v>
      </c>
      <c r="U74" s="72">
        <v>5.3861129136924077E-2</v>
      </c>
      <c r="V74" s="72">
        <v>4.4213263979193757E-2</v>
      </c>
      <c r="X74" s="237">
        <v>103</v>
      </c>
      <c r="Y74" s="237">
        <v>85.5</v>
      </c>
      <c r="Z74" s="237">
        <v>74</v>
      </c>
      <c r="AA74" s="237">
        <v>59.5</v>
      </c>
      <c r="AB74" s="237">
        <v>49.5</v>
      </c>
      <c r="AC74" s="237">
        <v>45.5</v>
      </c>
      <c r="AD74" s="237">
        <v>42.5</v>
      </c>
      <c r="AE74" s="237">
        <v>41.5</v>
      </c>
      <c r="AF74" s="237">
        <v>34</v>
      </c>
    </row>
    <row r="75" spans="2:32" x14ac:dyDescent="0.25">
      <c r="B75" s="72">
        <v>6.6798941798941802E-2</v>
      </c>
      <c r="C75" s="72">
        <v>5.168986083499006E-2</v>
      </c>
      <c r="D75" s="72">
        <v>3.3819628647214856E-2</v>
      </c>
      <c r="E75" s="72">
        <v>1.5946843853820596E-2</v>
      </c>
      <c r="F75" s="72">
        <v>0</v>
      </c>
      <c r="H75" s="72">
        <v>0.74</v>
      </c>
      <c r="I75" s="72">
        <v>0.57692307692307687</v>
      </c>
      <c r="J75" s="72">
        <v>0.47058823529411764</v>
      </c>
      <c r="K75" s="72">
        <v>0.34545454545454546</v>
      </c>
      <c r="L75" s="72">
        <v>0.20634920634920634</v>
      </c>
      <c r="N75" s="72">
        <v>0.14659325533379217</v>
      </c>
      <c r="O75" s="72">
        <v>0.12813559322033899</v>
      </c>
      <c r="P75" s="72">
        <v>0.10649698593436034</v>
      </c>
      <c r="Q75" s="72">
        <v>8.8353413654618476E-2</v>
      </c>
      <c r="R75" s="72">
        <v>6.6798941798941802E-2</v>
      </c>
      <c r="S75" s="72">
        <v>6.0066006600660068E-2</v>
      </c>
      <c r="T75" s="72">
        <v>5.731225296442688E-2</v>
      </c>
      <c r="U75" s="72">
        <v>5.4713249835201053E-2</v>
      </c>
      <c r="V75" s="72">
        <v>5.0892267019167214E-2</v>
      </c>
      <c r="X75" s="237">
        <v>106.5</v>
      </c>
      <c r="Y75" s="237">
        <v>94.5</v>
      </c>
      <c r="Z75" s="237">
        <v>79.5</v>
      </c>
      <c r="AA75" s="237">
        <v>66</v>
      </c>
      <c r="AB75" s="237">
        <v>50.5</v>
      </c>
      <c r="AC75" s="237">
        <v>45.5</v>
      </c>
      <c r="AD75" s="237">
        <v>43.5</v>
      </c>
      <c r="AE75" s="237">
        <v>41.5</v>
      </c>
      <c r="AF75" s="237">
        <v>38.5</v>
      </c>
    </row>
    <row r="76" spans="2:32" x14ac:dyDescent="0.25">
      <c r="B76" s="72">
        <v>6.4839572192513364E-2</v>
      </c>
      <c r="C76" s="72">
        <v>5.3404539385847799E-2</v>
      </c>
      <c r="D76" s="72">
        <v>3.4182305630026812E-2</v>
      </c>
      <c r="E76" s="72">
        <v>1.9410977242302542E-2</v>
      </c>
      <c r="F76" s="72">
        <v>1.3351134846461949E-3</v>
      </c>
      <c r="H76" s="72">
        <v>0.7567567567567568</v>
      </c>
      <c r="I76" s="72">
        <v>0.66666666666666663</v>
      </c>
      <c r="J76" s="72">
        <v>0.51249999999999996</v>
      </c>
      <c r="K76" s="72">
        <v>0.37179487179487181</v>
      </c>
      <c r="L76" s="72">
        <v>0.29729729729729731</v>
      </c>
      <c r="N76" s="72">
        <v>0.13232253618194348</v>
      </c>
      <c r="O76" s="72">
        <v>0.11346548188653452</v>
      </c>
      <c r="P76" s="72">
        <v>9.9796334012219962E-2</v>
      </c>
      <c r="Q76" s="72">
        <v>7.8771695594125501E-2</v>
      </c>
      <c r="R76" s="72">
        <v>6.4839572192513364E-2</v>
      </c>
      <c r="S76" s="72">
        <v>6.0626249167221855E-2</v>
      </c>
      <c r="T76" s="72">
        <v>5.8510638297872342E-2</v>
      </c>
      <c r="U76" s="72">
        <v>5.5149501661129571E-2</v>
      </c>
      <c r="V76" s="72">
        <v>4.6449900464499004E-2</v>
      </c>
      <c r="X76" s="237">
        <v>96</v>
      </c>
      <c r="Y76" s="237">
        <v>83</v>
      </c>
      <c r="Z76" s="237">
        <v>73.5</v>
      </c>
      <c r="AA76" s="237">
        <v>59</v>
      </c>
      <c r="AB76" s="237">
        <v>48.5</v>
      </c>
      <c r="AC76" s="237">
        <v>45.5</v>
      </c>
      <c r="AD76" s="237">
        <v>44</v>
      </c>
      <c r="AE76" s="237">
        <v>41.5</v>
      </c>
      <c r="AF76" s="237">
        <v>35</v>
      </c>
    </row>
    <row r="77" spans="2:32" x14ac:dyDescent="0.25">
      <c r="B77" s="72">
        <v>7.4705111402359109E-2</v>
      </c>
      <c r="C77" s="72">
        <v>5.8284217419777344E-2</v>
      </c>
      <c r="D77" s="72">
        <v>3.5294117647058823E-2</v>
      </c>
      <c r="E77" s="72">
        <v>1.4454664914586071E-2</v>
      </c>
      <c r="F77" s="72">
        <v>1.3253810470510272E-3</v>
      </c>
      <c r="H77" s="72">
        <v>0.75</v>
      </c>
      <c r="I77" s="72">
        <v>0.68</v>
      </c>
      <c r="J77" s="72">
        <v>0.5714285714285714</v>
      </c>
      <c r="K77" s="72">
        <v>0.375</v>
      </c>
      <c r="L77" s="72">
        <v>0.31147540983606559</v>
      </c>
      <c r="N77" s="72">
        <v>0.1581081081081081</v>
      </c>
      <c r="O77" s="72">
        <v>0.12935656836461126</v>
      </c>
      <c r="P77" s="72">
        <v>0.11631016042780749</v>
      </c>
      <c r="Q77" s="72">
        <v>9.8610191925876903E-2</v>
      </c>
      <c r="R77" s="72">
        <v>7.4705111402359109E-2</v>
      </c>
      <c r="S77" s="72">
        <v>7.0773263433813891E-2</v>
      </c>
      <c r="T77" s="72">
        <v>6.8241469816272965E-2</v>
      </c>
      <c r="U77" s="72">
        <v>6.3074901445466486E-2</v>
      </c>
      <c r="V77" s="72">
        <v>5.4283845650752123E-2</v>
      </c>
      <c r="X77" s="237">
        <v>117</v>
      </c>
      <c r="Y77" s="237">
        <v>96.5</v>
      </c>
      <c r="Z77" s="237">
        <v>87</v>
      </c>
      <c r="AA77" s="237">
        <v>74.5</v>
      </c>
      <c r="AB77" s="237">
        <v>57</v>
      </c>
      <c r="AC77" s="237">
        <v>54</v>
      </c>
      <c r="AD77" s="237">
        <v>52</v>
      </c>
      <c r="AE77" s="237">
        <v>48</v>
      </c>
      <c r="AF77" s="237">
        <v>41.5</v>
      </c>
    </row>
    <row r="78" spans="2:32" x14ac:dyDescent="0.25">
      <c r="B78" s="72">
        <v>6.7649028801071667E-2</v>
      </c>
      <c r="C78" s="72">
        <v>5.3547523427041499E-2</v>
      </c>
      <c r="D78" s="72">
        <v>3.760913364674278E-2</v>
      </c>
      <c r="E78" s="72">
        <v>1.602136181575434E-2</v>
      </c>
      <c r="F78" s="72">
        <v>6.6711140760506999E-4</v>
      </c>
      <c r="H78" s="72">
        <v>0.82278481012658233</v>
      </c>
      <c r="I78" s="72">
        <v>0.63636363636363635</v>
      </c>
      <c r="J78" s="72">
        <v>0.57692307692307687</v>
      </c>
      <c r="K78" s="72">
        <v>0.5</v>
      </c>
      <c r="L78" s="72">
        <v>0.37142857142857144</v>
      </c>
      <c r="N78" s="72">
        <v>0.1495581237253569</v>
      </c>
      <c r="O78" s="72">
        <v>0.11728813559322034</v>
      </c>
      <c r="P78" s="72">
        <v>0.10636856368563685</v>
      </c>
      <c r="Q78" s="72">
        <v>8.1756756756756754E-2</v>
      </c>
      <c r="R78" s="72">
        <v>6.7649028801071667E-2</v>
      </c>
      <c r="S78" s="72">
        <v>6.4753004005340453E-2</v>
      </c>
      <c r="T78" s="72">
        <v>5.4666666666666669E-2</v>
      </c>
      <c r="U78" s="72">
        <v>5.1401869158878503E-2</v>
      </c>
      <c r="V78" s="72">
        <v>4.7936085219707054E-2</v>
      </c>
      <c r="X78" s="237">
        <v>110</v>
      </c>
      <c r="Y78" s="237">
        <v>86.5</v>
      </c>
      <c r="Z78" s="237">
        <v>78.5</v>
      </c>
      <c r="AA78" s="237">
        <v>60.5</v>
      </c>
      <c r="AB78" s="237">
        <v>50.5</v>
      </c>
      <c r="AC78" s="237">
        <v>48.5</v>
      </c>
      <c r="AD78" s="237">
        <v>41</v>
      </c>
      <c r="AE78" s="237">
        <v>38.5</v>
      </c>
      <c r="AF78" s="237">
        <v>36</v>
      </c>
    </row>
    <row r="79" spans="2:32" x14ac:dyDescent="0.25">
      <c r="B79" s="72">
        <v>5.3964023984010658E-2</v>
      </c>
      <c r="C79" s="72">
        <v>4.1278295605858856E-2</v>
      </c>
      <c r="D79" s="72">
        <v>2.7406417112299464E-2</v>
      </c>
      <c r="E79" s="72">
        <v>1.613987895090787E-2</v>
      </c>
      <c r="F79" s="72">
        <v>0</v>
      </c>
      <c r="H79" s="72">
        <v>0.76056338028169013</v>
      </c>
      <c r="I79" s="72">
        <v>0.6619718309859155</v>
      </c>
      <c r="J79" s="72">
        <v>0.52439024390243905</v>
      </c>
      <c r="K79" s="72">
        <v>0.43478260869565216</v>
      </c>
      <c r="L79" s="72">
        <v>0.33707865168539325</v>
      </c>
      <c r="N79" s="72">
        <v>0.14534494306764903</v>
      </c>
      <c r="O79" s="72">
        <v>0.12104909213180901</v>
      </c>
      <c r="P79" s="72">
        <v>9.9932930918846405E-2</v>
      </c>
      <c r="Q79" s="72">
        <v>7.8614257161892076E-2</v>
      </c>
      <c r="R79" s="72">
        <v>5.3964023984010658E-2</v>
      </c>
      <c r="S79" s="72">
        <v>5.1230871590153028E-2</v>
      </c>
      <c r="T79" s="72">
        <v>4.876419505678023E-2</v>
      </c>
      <c r="U79" s="72">
        <v>4.5212765957446811E-2</v>
      </c>
      <c r="V79" s="72">
        <v>4.1721854304635764E-2</v>
      </c>
      <c r="X79" s="237">
        <v>108.5</v>
      </c>
      <c r="Y79" s="237">
        <v>90</v>
      </c>
      <c r="Z79" s="237">
        <v>74.5</v>
      </c>
      <c r="AA79" s="237">
        <v>59</v>
      </c>
      <c r="AB79" s="237">
        <v>40.5</v>
      </c>
      <c r="AC79" s="237">
        <v>38.5</v>
      </c>
      <c r="AD79" s="237">
        <v>36.5</v>
      </c>
      <c r="AE79" s="237">
        <v>34</v>
      </c>
      <c r="AF79" s="237">
        <v>31.5</v>
      </c>
    </row>
    <row r="80" spans="2:32" x14ac:dyDescent="0.25">
      <c r="B80" s="72">
        <v>6.7198935462408516E-2</v>
      </c>
      <c r="C80" s="72">
        <v>5.1896207584830337E-2</v>
      </c>
      <c r="D80" s="72">
        <v>3.249336870026525E-2</v>
      </c>
      <c r="E80" s="72">
        <v>1.5873015873015872E-2</v>
      </c>
      <c r="F80" s="72">
        <v>0</v>
      </c>
      <c r="H80" s="72">
        <v>0.67647058823529416</v>
      </c>
      <c r="I80" s="72">
        <v>0.58571428571428574</v>
      </c>
      <c r="J80" s="72">
        <v>0.5161290322580645</v>
      </c>
      <c r="K80" s="72">
        <v>0.45</v>
      </c>
      <c r="L80" s="72">
        <v>0.35087719298245612</v>
      </c>
      <c r="N80" s="72">
        <v>0.15938130464021519</v>
      </c>
      <c r="O80" s="72">
        <v>0.13466666666666666</v>
      </c>
      <c r="P80" s="72">
        <v>0.11273209549071618</v>
      </c>
      <c r="Q80" s="72">
        <v>9.0245520902455204E-2</v>
      </c>
      <c r="R80" s="72">
        <v>6.7198935462408516E-2</v>
      </c>
      <c r="S80" s="72">
        <v>6.3745019920318724E-2</v>
      </c>
      <c r="T80" s="72">
        <v>5.636604774535809E-2</v>
      </c>
      <c r="U80" s="72">
        <v>5.1027170311464545E-2</v>
      </c>
      <c r="V80" s="72">
        <v>4.8472775564409029E-2</v>
      </c>
      <c r="X80" s="237">
        <v>118.5</v>
      </c>
      <c r="Y80" s="237">
        <v>101</v>
      </c>
      <c r="Z80" s="237">
        <v>85</v>
      </c>
      <c r="AA80" s="237">
        <v>68</v>
      </c>
      <c r="AB80" s="237">
        <v>50.5</v>
      </c>
      <c r="AC80" s="237">
        <v>48</v>
      </c>
      <c r="AD80" s="237">
        <v>42.5</v>
      </c>
      <c r="AE80" s="237">
        <v>38.5</v>
      </c>
      <c r="AF80" s="237">
        <v>36.5</v>
      </c>
    </row>
    <row r="81" spans="2:32" x14ac:dyDescent="0.25">
      <c r="B81" s="72">
        <v>5.6878306878306875E-2</v>
      </c>
      <c r="C81" s="72">
        <v>4.6204620462046202E-2</v>
      </c>
      <c r="D81" s="72">
        <v>3.1167108753315648E-2</v>
      </c>
      <c r="E81" s="72">
        <v>1.4579191517561299E-2</v>
      </c>
      <c r="F81" s="72">
        <v>0</v>
      </c>
      <c r="H81" s="72">
        <v>0.72972972972972971</v>
      </c>
      <c r="I81" s="72">
        <v>0.64935064935064934</v>
      </c>
      <c r="J81" s="72">
        <v>0.52439024390243905</v>
      </c>
      <c r="K81" s="72">
        <v>0.4358974358974359</v>
      </c>
      <c r="L81" s="72">
        <v>0.34666666666666668</v>
      </c>
      <c r="N81" s="72">
        <v>0.13763297872340424</v>
      </c>
      <c r="O81" s="72">
        <v>0.11686586985391766</v>
      </c>
      <c r="P81" s="72">
        <v>0.10145888594164457</v>
      </c>
      <c r="Q81" s="72">
        <v>8.1403044341495701E-2</v>
      </c>
      <c r="R81" s="72">
        <v>5.6878306878306875E-2</v>
      </c>
      <c r="S81" s="72">
        <v>5.4196959682749506E-2</v>
      </c>
      <c r="T81" s="72">
        <v>5.168986083499006E-2</v>
      </c>
      <c r="U81" s="72">
        <v>4.7713717693836977E-2</v>
      </c>
      <c r="V81" s="72">
        <v>4.1141340411413402E-2</v>
      </c>
      <c r="X81" s="237">
        <v>103.5</v>
      </c>
      <c r="Y81" s="237">
        <v>88</v>
      </c>
      <c r="Z81" s="237">
        <v>76.5</v>
      </c>
      <c r="AA81" s="237">
        <v>61.5</v>
      </c>
      <c r="AB81" s="237">
        <v>43</v>
      </c>
      <c r="AC81" s="237">
        <v>41</v>
      </c>
      <c r="AD81" s="237">
        <v>39</v>
      </c>
      <c r="AE81" s="237">
        <v>36</v>
      </c>
      <c r="AF81" s="237">
        <v>31</v>
      </c>
    </row>
    <row r="82" spans="2:32" x14ac:dyDescent="0.25">
      <c r="B82" s="72">
        <v>6.6037735849056603E-2</v>
      </c>
      <c r="C82" s="72">
        <v>5.0972501676727032E-2</v>
      </c>
      <c r="D82" s="72">
        <v>3.2775919732441469E-2</v>
      </c>
      <c r="E82" s="72">
        <v>2.0188425302826378E-2</v>
      </c>
      <c r="F82" s="72">
        <v>0</v>
      </c>
      <c r="H82" s="72">
        <v>0.78260869565217395</v>
      </c>
      <c r="I82" s="72">
        <v>0.703125</v>
      </c>
      <c r="J82" s="72">
        <v>0.66101694915254239</v>
      </c>
      <c r="K82" s="72">
        <v>0.50769230769230766</v>
      </c>
      <c r="L82" s="72">
        <v>0.35714285714285715</v>
      </c>
      <c r="N82" s="72">
        <v>0.15248468345813479</v>
      </c>
      <c r="O82" s="72">
        <v>0.12533875338753386</v>
      </c>
      <c r="P82" s="72">
        <v>0.1008801624915369</v>
      </c>
      <c r="Q82" s="72">
        <v>8.0326752893124576E-2</v>
      </c>
      <c r="R82" s="72">
        <v>6.6037735849056603E-2</v>
      </c>
      <c r="S82" s="72">
        <v>5.9932659932659935E-2</v>
      </c>
      <c r="T82" s="72">
        <v>5.671843349088454E-2</v>
      </c>
      <c r="U82" s="72">
        <v>5.0675675675675678E-2</v>
      </c>
      <c r="V82" s="72">
        <v>4.9224544841537425E-2</v>
      </c>
      <c r="X82" s="237">
        <v>112</v>
      </c>
      <c r="Y82" s="237">
        <v>92.5</v>
      </c>
      <c r="Z82" s="237">
        <v>74.5</v>
      </c>
      <c r="AA82" s="237">
        <v>59</v>
      </c>
      <c r="AB82" s="237">
        <v>49</v>
      </c>
      <c r="AC82" s="237">
        <v>44.5</v>
      </c>
      <c r="AD82" s="237">
        <v>42</v>
      </c>
      <c r="AE82" s="237">
        <v>37.5</v>
      </c>
      <c r="AF82" s="237">
        <v>36.5</v>
      </c>
    </row>
    <row r="83" spans="2:32" x14ac:dyDescent="0.25">
      <c r="B83" s="72">
        <v>7.6823757262750161E-2</v>
      </c>
      <c r="C83" s="72">
        <v>6.056701030927835E-2</v>
      </c>
      <c r="D83" s="72">
        <v>3.5506778566817304E-2</v>
      </c>
      <c r="E83" s="72">
        <v>1.6785022595222725E-2</v>
      </c>
      <c r="F83" s="72">
        <v>6.4766839378238344E-4</v>
      </c>
      <c r="H83" s="72">
        <v>0.6875</v>
      </c>
      <c r="I83" s="72">
        <v>0.59649122807017541</v>
      </c>
      <c r="J83" s="72">
        <v>0.49122807017543857</v>
      </c>
      <c r="K83" s="72">
        <v>0.39622641509433965</v>
      </c>
      <c r="L83" s="72">
        <v>0.34482758620689657</v>
      </c>
      <c r="N83" s="72">
        <v>0.16787838730998017</v>
      </c>
      <c r="O83" s="72">
        <v>0.14829396325459318</v>
      </c>
      <c r="P83" s="72">
        <v>0.12148922273024167</v>
      </c>
      <c r="Q83" s="72">
        <v>9.4866796621182581E-2</v>
      </c>
      <c r="R83" s="72">
        <v>7.6823757262750161E-2</v>
      </c>
      <c r="S83" s="72">
        <v>7.0785070785070792E-2</v>
      </c>
      <c r="T83" s="72">
        <v>6.6451612903225807E-2</v>
      </c>
      <c r="U83" s="72">
        <v>6.0606060606060608E-2</v>
      </c>
      <c r="V83" s="72">
        <v>5.6884292178409825E-2</v>
      </c>
      <c r="X83" s="237">
        <v>127</v>
      </c>
      <c r="Y83" s="237">
        <v>113</v>
      </c>
      <c r="Z83" s="237">
        <v>93</v>
      </c>
      <c r="AA83" s="237">
        <v>73</v>
      </c>
      <c r="AB83" s="237">
        <v>59.5</v>
      </c>
      <c r="AC83" s="237">
        <v>55</v>
      </c>
      <c r="AD83" s="237">
        <v>51.5</v>
      </c>
      <c r="AE83" s="237">
        <v>47</v>
      </c>
      <c r="AF83" s="237">
        <v>44</v>
      </c>
    </row>
    <row r="84" spans="2:32" x14ac:dyDescent="0.25">
      <c r="B84" s="72">
        <v>5.6539509536784743E-2</v>
      </c>
      <c r="C84" s="72">
        <v>4.1468388851121689E-2</v>
      </c>
      <c r="D84" s="72">
        <v>2.5885558583106268E-2</v>
      </c>
      <c r="E84" s="72">
        <v>1.0259917920656635E-2</v>
      </c>
      <c r="F84" s="72">
        <v>0</v>
      </c>
      <c r="H84" s="72">
        <v>0.79220779220779225</v>
      </c>
      <c r="I84" s="72">
        <v>0.72727272727272729</v>
      </c>
      <c r="J84" s="72">
        <v>0.64556962025316456</v>
      </c>
      <c r="K84" s="72">
        <v>0.47727272727272729</v>
      </c>
      <c r="L84" s="72">
        <v>0.3707865168539326</v>
      </c>
      <c r="N84" s="72">
        <v>0.15701325889741802</v>
      </c>
      <c r="O84" s="72">
        <v>0.12622036262203626</v>
      </c>
      <c r="P84" s="72">
        <v>9.930555555555555E-2</v>
      </c>
      <c r="Q84" s="72">
        <v>7.9056865464632461E-2</v>
      </c>
      <c r="R84" s="72">
        <v>5.6539509536784743E-2</v>
      </c>
      <c r="S84" s="72">
        <v>5.3169734151329244E-2</v>
      </c>
      <c r="T84" s="72">
        <v>4.7748976807639835E-2</v>
      </c>
      <c r="U84" s="72">
        <v>4.5174537987679675E-2</v>
      </c>
      <c r="V84" s="72">
        <v>4.2828008157715841E-2</v>
      </c>
      <c r="X84" s="237">
        <v>112.5</v>
      </c>
      <c r="Y84" s="237">
        <v>90.5</v>
      </c>
      <c r="Z84" s="237">
        <v>71.5</v>
      </c>
      <c r="AA84" s="237">
        <v>57</v>
      </c>
      <c r="AB84" s="237">
        <v>41.5</v>
      </c>
      <c r="AC84" s="237">
        <v>39</v>
      </c>
      <c r="AD84" s="237">
        <v>35</v>
      </c>
      <c r="AE84" s="237">
        <v>33</v>
      </c>
      <c r="AF84" s="237">
        <v>31.5</v>
      </c>
    </row>
    <row r="85" spans="2:32" x14ac:dyDescent="0.25">
      <c r="B85" s="72">
        <v>6.2416107382550337E-2</v>
      </c>
      <c r="C85" s="72">
        <v>5.0870147255689425E-2</v>
      </c>
      <c r="D85" s="72">
        <v>3.5522788203753354E-2</v>
      </c>
      <c r="E85" s="72">
        <v>1.546738399462004E-2</v>
      </c>
      <c r="F85" s="72">
        <v>6.6934404283801872E-4</v>
      </c>
      <c r="H85" s="72">
        <v>0.80722891566265065</v>
      </c>
      <c r="I85" s="72">
        <v>0.73417721518987344</v>
      </c>
      <c r="J85" s="72">
        <v>0.620253164556962</v>
      </c>
      <c r="K85" s="72">
        <v>0.53164556962025311</v>
      </c>
      <c r="L85" s="72">
        <v>0.41891891891891891</v>
      </c>
      <c r="N85" s="72">
        <v>0.14499659632402995</v>
      </c>
      <c r="O85" s="72">
        <v>0.12601626016260162</v>
      </c>
      <c r="P85" s="72">
        <v>0.10565275908479138</v>
      </c>
      <c r="Q85" s="72">
        <v>8.4005376344086016E-2</v>
      </c>
      <c r="R85" s="72">
        <v>6.2416107382550337E-2</v>
      </c>
      <c r="S85" s="72">
        <v>5.8941728064300064E-2</v>
      </c>
      <c r="T85" s="72">
        <v>5.3404539385847799E-2</v>
      </c>
      <c r="U85" s="72">
        <v>4.8699132755170113E-2</v>
      </c>
      <c r="V85" s="72">
        <v>4.2553191489361701E-2</v>
      </c>
      <c r="X85" s="237">
        <v>106.5</v>
      </c>
      <c r="Y85" s="237">
        <v>93</v>
      </c>
      <c r="Z85" s="237">
        <v>78.5</v>
      </c>
      <c r="AA85" s="237">
        <v>62.5</v>
      </c>
      <c r="AB85" s="237">
        <v>46.5</v>
      </c>
      <c r="AC85" s="237">
        <v>44</v>
      </c>
      <c r="AD85" s="237">
        <v>40</v>
      </c>
      <c r="AE85" s="237">
        <v>36.5</v>
      </c>
      <c r="AF85" s="237">
        <v>32</v>
      </c>
    </row>
    <row r="86" spans="2:32" x14ac:dyDescent="0.25">
      <c r="B86" s="72">
        <v>6.9287141905396407E-2</v>
      </c>
      <c r="C86" s="72">
        <v>5.636604774535809E-2</v>
      </c>
      <c r="D86" s="72">
        <v>3.7873754152823923E-2</v>
      </c>
      <c r="E86" s="72">
        <v>2.054340622929092E-2</v>
      </c>
      <c r="F86" s="72">
        <v>0</v>
      </c>
      <c r="H86" s="72">
        <v>0.8970588235294118</v>
      </c>
      <c r="I86" s="72">
        <v>0.76470588235294112</v>
      </c>
      <c r="J86" s="72">
        <v>0.60810810810810811</v>
      </c>
      <c r="K86" s="72">
        <v>0.44927536231884058</v>
      </c>
      <c r="L86" s="72">
        <v>0.33783783783783783</v>
      </c>
      <c r="N86" s="72">
        <v>0.14334239130434784</v>
      </c>
      <c r="O86" s="72">
        <v>0.11954331766286098</v>
      </c>
      <c r="P86" s="72">
        <v>0.10026917900403769</v>
      </c>
      <c r="Q86" s="72">
        <v>8.5006693440428382E-2</v>
      </c>
      <c r="R86" s="72">
        <v>6.9287141905396407E-2</v>
      </c>
      <c r="S86" s="72">
        <v>6.8000000000000005E-2</v>
      </c>
      <c r="T86" s="72">
        <v>6.6000000000000003E-2</v>
      </c>
      <c r="U86" s="72">
        <v>5.9254327563248999E-2</v>
      </c>
      <c r="V86" s="72">
        <v>5.4666666666666669E-2</v>
      </c>
      <c r="X86" s="237">
        <v>105.5</v>
      </c>
      <c r="Y86" s="237">
        <v>89</v>
      </c>
      <c r="Z86" s="237">
        <v>74.5</v>
      </c>
      <c r="AA86" s="237">
        <v>63.5</v>
      </c>
      <c r="AB86" s="237">
        <v>52</v>
      </c>
      <c r="AC86" s="237">
        <v>51</v>
      </c>
      <c r="AD86" s="237">
        <v>49.5</v>
      </c>
      <c r="AE86" s="237">
        <v>44.5</v>
      </c>
      <c r="AF86" s="237">
        <v>41</v>
      </c>
    </row>
    <row r="87" spans="2:32" x14ac:dyDescent="0.25">
      <c r="B87" s="72">
        <v>7.3627844712182061E-2</v>
      </c>
      <c r="C87" s="72">
        <v>5.5033557046979868E-2</v>
      </c>
      <c r="D87" s="72">
        <v>4.0133779264214048E-2</v>
      </c>
      <c r="E87" s="72">
        <v>1.9372077488309953E-2</v>
      </c>
      <c r="F87" s="72">
        <v>0</v>
      </c>
      <c r="H87" s="72">
        <v>0.74285714285714288</v>
      </c>
      <c r="I87" s="72">
        <v>0.59154929577464788</v>
      </c>
      <c r="J87" s="72">
        <v>0.45714285714285713</v>
      </c>
      <c r="K87" s="72">
        <v>0.38235294117647056</v>
      </c>
      <c r="L87" s="72">
        <v>0.29230769230769232</v>
      </c>
      <c r="N87" s="72">
        <v>0.16081081081081081</v>
      </c>
      <c r="O87" s="72">
        <v>0.13422818791946309</v>
      </c>
      <c r="P87" s="72">
        <v>0.10946944257891202</v>
      </c>
      <c r="Q87" s="72">
        <v>9.2852371409485643E-2</v>
      </c>
      <c r="R87" s="72">
        <v>7.3627844712182061E-2</v>
      </c>
      <c r="S87" s="72">
        <v>6.9565217391304349E-2</v>
      </c>
      <c r="T87" s="72">
        <v>6.6044029352901934E-2</v>
      </c>
      <c r="U87" s="72">
        <v>6.0626249167221855E-2</v>
      </c>
      <c r="V87" s="72">
        <v>5.5702917771883291E-2</v>
      </c>
      <c r="X87" s="237">
        <v>119</v>
      </c>
      <c r="Y87" s="237">
        <v>100</v>
      </c>
      <c r="Z87" s="237">
        <v>81.5</v>
      </c>
      <c r="AA87" s="237">
        <v>69.5</v>
      </c>
      <c r="AB87" s="237">
        <v>55</v>
      </c>
      <c r="AC87" s="237">
        <v>52</v>
      </c>
      <c r="AD87" s="237">
        <v>49.5</v>
      </c>
      <c r="AE87" s="237">
        <v>45.5</v>
      </c>
      <c r="AF87" s="237">
        <v>42</v>
      </c>
    </row>
    <row r="88" spans="2:32" x14ac:dyDescent="0.25">
      <c r="B88" s="72">
        <v>6.9611780455153954E-2</v>
      </c>
      <c r="C88" s="72">
        <v>5.0836120401337795E-2</v>
      </c>
      <c r="D88" s="72">
        <v>3.1872509960159362E-2</v>
      </c>
      <c r="E88" s="72">
        <v>1.4617940199335547E-2</v>
      </c>
      <c r="F88" s="72">
        <v>6.6401062416998667E-4</v>
      </c>
      <c r="H88" s="72">
        <v>0.7567567567567568</v>
      </c>
      <c r="I88" s="72">
        <v>0.61842105263157898</v>
      </c>
      <c r="J88" s="72">
        <v>0.5714285714285714</v>
      </c>
      <c r="K88" s="72">
        <v>0.51470588235294112</v>
      </c>
      <c r="L88" s="72">
        <v>0.37313432835820898</v>
      </c>
      <c r="N88" s="72">
        <v>0.16449623029472241</v>
      </c>
      <c r="O88" s="72">
        <v>0.13073237508555785</v>
      </c>
      <c r="P88" s="72">
        <v>0.11096075778078485</v>
      </c>
      <c r="Q88" s="72">
        <v>8.7684069611780449E-2</v>
      </c>
      <c r="R88" s="72">
        <v>6.9611780455153954E-2</v>
      </c>
      <c r="S88" s="72">
        <v>6.7378252168112079E-2</v>
      </c>
      <c r="T88" s="72">
        <v>6.3914780292942744E-2</v>
      </c>
      <c r="U88" s="72">
        <v>5.7180851063829786E-2</v>
      </c>
      <c r="V88" s="72">
        <v>4.9867021276595744E-2</v>
      </c>
      <c r="X88" s="237">
        <v>120</v>
      </c>
      <c r="Y88" s="237">
        <v>95.5</v>
      </c>
      <c r="Z88" s="237">
        <v>82</v>
      </c>
      <c r="AA88" s="237">
        <v>65.5</v>
      </c>
      <c r="AB88" s="237">
        <v>52</v>
      </c>
      <c r="AC88" s="237">
        <v>50.5</v>
      </c>
      <c r="AD88" s="237">
        <v>48</v>
      </c>
      <c r="AE88" s="237">
        <v>43</v>
      </c>
      <c r="AF88" s="237">
        <v>37.5</v>
      </c>
    </row>
    <row r="89" spans="2:32" x14ac:dyDescent="0.25">
      <c r="B89" s="72">
        <v>6.1007957559681698E-2</v>
      </c>
      <c r="C89" s="72">
        <v>4.9867021276595744E-2</v>
      </c>
      <c r="D89" s="72">
        <v>3.0605455755156354E-2</v>
      </c>
      <c r="E89" s="72">
        <v>1.5915119363395226E-2</v>
      </c>
      <c r="F89" s="72">
        <v>0</v>
      </c>
      <c r="H89" s="72">
        <v>0.7846153846153846</v>
      </c>
      <c r="I89" s="72">
        <v>0.6811594202898551</v>
      </c>
      <c r="J89" s="72">
        <v>0.6428571428571429</v>
      </c>
      <c r="K89" s="72">
        <v>0.53521126760563376</v>
      </c>
      <c r="L89" s="72">
        <v>0.41428571428571431</v>
      </c>
      <c r="N89" s="72">
        <v>0.13279132791327913</v>
      </c>
      <c r="O89" s="72">
        <v>0.11737089201877934</v>
      </c>
      <c r="P89" s="72">
        <v>0.10073382254836558</v>
      </c>
      <c r="Q89" s="72">
        <v>8.47231487658439E-2</v>
      </c>
      <c r="R89" s="72">
        <v>6.1007957559681698E-2</v>
      </c>
      <c r="S89" s="72">
        <v>5.6403450564034507E-2</v>
      </c>
      <c r="T89" s="72">
        <v>5.3892215568862277E-2</v>
      </c>
      <c r="U89" s="72">
        <v>5.0431320504313204E-2</v>
      </c>
      <c r="V89" s="72">
        <v>4.8312375909993384E-2</v>
      </c>
      <c r="X89" s="237">
        <v>98</v>
      </c>
      <c r="Y89" s="237">
        <v>87.5</v>
      </c>
      <c r="Z89" s="237">
        <v>75.5</v>
      </c>
      <c r="AA89" s="237">
        <v>63.5</v>
      </c>
      <c r="AB89" s="237">
        <v>46</v>
      </c>
      <c r="AC89" s="237">
        <v>42.5</v>
      </c>
      <c r="AD89" s="237">
        <v>40.5</v>
      </c>
      <c r="AE89" s="237">
        <v>38</v>
      </c>
      <c r="AF89" s="237">
        <v>36.5</v>
      </c>
    </row>
    <row r="90" spans="2:32" x14ac:dyDescent="0.25">
      <c r="B90" s="72">
        <v>5.4018445322793152E-2</v>
      </c>
      <c r="C90" s="72">
        <v>3.8918205804749341E-2</v>
      </c>
      <c r="D90" s="72">
        <v>2.4983563445101907E-2</v>
      </c>
      <c r="E90" s="72">
        <v>1.0554089709762533E-2</v>
      </c>
      <c r="F90" s="72">
        <v>1.3183915622940012E-3</v>
      </c>
      <c r="H90" s="72">
        <v>0.83050847457627119</v>
      </c>
      <c r="I90" s="72">
        <v>0.73684210526315785</v>
      </c>
      <c r="J90" s="72">
        <v>0.660377358490566</v>
      </c>
      <c r="K90" s="72">
        <v>0.56140350877192979</v>
      </c>
      <c r="L90" s="72">
        <v>0.44067796610169491</v>
      </c>
      <c r="N90" s="72">
        <v>0.13834788448623236</v>
      </c>
      <c r="O90" s="72">
        <v>0.11192538307794804</v>
      </c>
      <c r="P90" s="72">
        <v>9.2481703260146375E-2</v>
      </c>
      <c r="Q90" s="72">
        <v>6.5824468085106377E-2</v>
      </c>
      <c r="R90" s="72">
        <v>5.4018445322793152E-2</v>
      </c>
      <c r="S90" s="72">
        <v>5.1587301587301584E-2</v>
      </c>
      <c r="T90" s="72">
        <v>4.7019867549668873E-2</v>
      </c>
      <c r="U90" s="72">
        <v>4.2932628797886396E-2</v>
      </c>
      <c r="V90" s="72">
        <v>3.9021164021164019E-2</v>
      </c>
      <c r="X90" s="237">
        <v>103</v>
      </c>
      <c r="Y90" s="237">
        <v>84</v>
      </c>
      <c r="Z90" s="237">
        <v>69.5</v>
      </c>
      <c r="AA90" s="237">
        <v>49.5</v>
      </c>
      <c r="AB90" s="237">
        <v>41</v>
      </c>
      <c r="AC90" s="237">
        <v>39</v>
      </c>
      <c r="AD90" s="237">
        <v>35.5</v>
      </c>
      <c r="AE90" s="237">
        <v>32.5</v>
      </c>
      <c r="AF90" s="237">
        <v>29.5</v>
      </c>
    </row>
    <row r="91" spans="2:32" x14ac:dyDescent="0.25">
      <c r="B91" s="72">
        <v>5.7932850559578669E-2</v>
      </c>
      <c r="C91" s="72">
        <v>4.2961004626569731E-2</v>
      </c>
      <c r="D91" s="72">
        <v>2.7206370272063702E-2</v>
      </c>
      <c r="E91" s="72">
        <v>1.455989410986102E-2</v>
      </c>
      <c r="F91" s="72">
        <v>0</v>
      </c>
      <c r="H91" s="72">
        <v>0.75531914893617025</v>
      </c>
      <c r="I91" s="72">
        <v>0.64893617021276595</v>
      </c>
      <c r="J91" s="72">
        <v>0.61956521739130432</v>
      </c>
      <c r="K91" s="72">
        <v>0.55172413793103448</v>
      </c>
      <c r="L91" s="72">
        <v>0.47619047619047616</v>
      </c>
      <c r="N91" s="72">
        <v>0.13951935914552738</v>
      </c>
      <c r="O91" s="72">
        <v>0.12217795484727756</v>
      </c>
      <c r="P91" s="72">
        <v>0.10119047619047619</v>
      </c>
      <c r="Q91" s="72">
        <v>8.1403044341495701E-2</v>
      </c>
      <c r="R91" s="72">
        <v>5.7932850559578669E-2</v>
      </c>
      <c r="S91" s="72">
        <v>5.4054054054054057E-2</v>
      </c>
      <c r="T91" s="72">
        <v>4.8280423280423278E-2</v>
      </c>
      <c r="U91" s="72">
        <v>4.6895640686922063E-2</v>
      </c>
      <c r="V91" s="72">
        <v>3.7524687294272545E-2</v>
      </c>
      <c r="X91" s="237">
        <v>104.5</v>
      </c>
      <c r="Y91" s="237">
        <v>92</v>
      </c>
      <c r="Z91" s="237">
        <v>76.5</v>
      </c>
      <c r="AA91" s="237">
        <v>61.5</v>
      </c>
      <c r="AB91" s="237">
        <v>44</v>
      </c>
      <c r="AC91" s="237">
        <v>41</v>
      </c>
      <c r="AD91" s="237">
        <v>36.5</v>
      </c>
      <c r="AE91" s="237">
        <v>35.5</v>
      </c>
      <c r="AF91" s="237">
        <v>28.5</v>
      </c>
    </row>
    <row r="92" spans="2:32" x14ac:dyDescent="0.25">
      <c r="B92" s="72">
        <v>6.9783197831978325E-2</v>
      </c>
      <c r="C92" s="72">
        <v>5.2774018944519621E-2</v>
      </c>
      <c r="D92" s="72">
        <v>3.8617886178861791E-2</v>
      </c>
      <c r="E92" s="72">
        <v>1.8267929634641408E-2</v>
      </c>
      <c r="F92" s="72">
        <v>0</v>
      </c>
      <c r="H92" s="72">
        <v>0.80246913580246915</v>
      </c>
      <c r="I92" s="72">
        <v>0.68674698795180722</v>
      </c>
      <c r="J92" s="72">
        <v>0.60493827160493829</v>
      </c>
      <c r="K92" s="72">
        <v>0.51898734177215189</v>
      </c>
      <c r="L92" s="72">
        <v>0.43835616438356162</v>
      </c>
      <c r="N92" s="72">
        <v>0.15358592692828146</v>
      </c>
      <c r="O92" s="72">
        <v>0.13608666215301288</v>
      </c>
      <c r="P92" s="72">
        <v>0.11712931618144888</v>
      </c>
      <c r="Q92" s="72">
        <v>9.5334685598377281E-2</v>
      </c>
      <c r="R92" s="72">
        <v>6.9783197831978325E-2</v>
      </c>
      <c r="S92" s="72">
        <v>6.6440677966101688E-2</v>
      </c>
      <c r="T92" s="72">
        <v>6.2457569585879155E-2</v>
      </c>
      <c r="U92" s="72">
        <v>5.5593220338983049E-2</v>
      </c>
      <c r="V92" s="72">
        <v>5.0271739130434784E-2</v>
      </c>
      <c r="X92" s="237">
        <v>113.5</v>
      </c>
      <c r="Y92" s="237">
        <v>100.5</v>
      </c>
      <c r="Z92" s="237">
        <v>86.5</v>
      </c>
      <c r="AA92" s="237">
        <v>70.5</v>
      </c>
      <c r="AB92" s="237">
        <v>51.5</v>
      </c>
      <c r="AC92" s="237">
        <v>49</v>
      </c>
      <c r="AD92" s="237">
        <v>46</v>
      </c>
      <c r="AE92" s="237">
        <v>41</v>
      </c>
      <c r="AF92" s="237">
        <v>37</v>
      </c>
    </row>
    <row r="93" spans="2:32" x14ac:dyDescent="0.25">
      <c r="B93" s="72">
        <v>7.061958694203864E-2</v>
      </c>
      <c r="C93" s="72">
        <v>5.644090305444887E-2</v>
      </c>
      <c r="D93" s="72">
        <v>3.5856573705179286E-2</v>
      </c>
      <c r="E93" s="72">
        <v>1.5925680159256803E-2</v>
      </c>
      <c r="F93" s="72">
        <v>0</v>
      </c>
      <c r="H93" s="72">
        <v>0.7441860465116279</v>
      </c>
      <c r="I93" s="72">
        <v>0.71604938271604934</v>
      </c>
      <c r="J93" s="72">
        <v>0.59210526315789469</v>
      </c>
      <c r="K93" s="72">
        <v>0.45454545454545453</v>
      </c>
      <c r="L93" s="72">
        <v>0.41558441558441561</v>
      </c>
      <c r="N93" s="72">
        <v>0.13873626373626374</v>
      </c>
      <c r="O93" s="72">
        <v>0.11389830508474576</v>
      </c>
      <c r="P93" s="72">
        <v>9.8723975822699803E-2</v>
      </c>
      <c r="Q93" s="72">
        <v>8.1225033288948076E-2</v>
      </c>
      <c r="R93" s="72">
        <v>7.061958694203864E-2</v>
      </c>
      <c r="S93" s="72">
        <v>6.4580559254327569E-2</v>
      </c>
      <c r="T93" s="72">
        <v>5.9096945551128821E-2</v>
      </c>
      <c r="U93" s="72">
        <v>5.2317880794701989E-2</v>
      </c>
      <c r="V93" s="72">
        <v>4.8812664907651716E-2</v>
      </c>
      <c r="X93" s="237">
        <v>101</v>
      </c>
      <c r="Y93" s="237">
        <v>84</v>
      </c>
      <c r="Z93" s="237">
        <v>73.5</v>
      </c>
      <c r="AA93" s="237">
        <v>61</v>
      </c>
      <c r="AB93" s="237">
        <v>53</v>
      </c>
      <c r="AC93" s="237">
        <v>48.5</v>
      </c>
      <c r="AD93" s="237">
        <v>44.5</v>
      </c>
      <c r="AE93" s="237">
        <v>39.5</v>
      </c>
      <c r="AF93" s="237">
        <v>37</v>
      </c>
    </row>
    <row r="94" spans="2:32" x14ac:dyDescent="0.25">
      <c r="B94" s="72">
        <v>6.2417871222076218E-2</v>
      </c>
      <c r="C94" s="72">
        <v>4.6679815910585142E-2</v>
      </c>
      <c r="D94" s="72">
        <v>3.2786885245901641E-2</v>
      </c>
      <c r="E94" s="72">
        <v>1.768172888015717E-2</v>
      </c>
      <c r="F94" s="72">
        <v>0</v>
      </c>
      <c r="H94" s="72">
        <v>0.81159420289855078</v>
      </c>
      <c r="I94" s="72">
        <v>0.73134328358208955</v>
      </c>
      <c r="J94" s="72">
        <v>0.703125</v>
      </c>
      <c r="K94" s="72">
        <v>0.59677419354838712</v>
      </c>
      <c r="L94" s="72">
        <v>0.38983050847457629</v>
      </c>
      <c r="N94" s="72">
        <v>0.12979152656355078</v>
      </c>
      <c r="O94" s="72">
        <v>0.11968085106382979</v>
      </c>
      <c r="P94" s="72">
        <v>0.10801855533465872</v>
      </c>
      <c r="Q94" s="72">
        <v>8.4656084656084651E-2</v>
      </c>
      <c r="R94" s="72">
        <v>6.2417871222076218E-2</v>
      </c>
      <c r="S94" s="72">
        <v>5.8862001308044476E-2</v>
      </c>
      <c r="T94" s="72">
        <v>5.6135770234986948E-2</v>
      </c>
      <c r="U94" s="72">
        <v>5.2700065061808715E-2</v>
      </c>
      <c r="V94" s="72">
        <v>4.7341115434500647E-2</v>
      </c>
      <c r="X94" s="237">
        <v>96.5</v>
      </c>
      <c r="Y94" s="237">
        <v>90</v>
      </c>
      <c r="Z94" s="237">
        <v>81.5</v>
      </c>
      <c r="AA94" s="237">
        <v>64</v>
      </c>
      <c r="AB94" s="237">
        <v>47.5</v>
      </c>
      <c r="AC94" s="237">
        <v>45</v>
      </c>
      <c r="AD94" s="237">
        <v>43</v>
      </c>
      <c r="AE94" s="237">
        <v>40.5</v>
      </c>
      <c r="AF94" s="237">
        <v>36.5</v>
      </c>
    </row>
    <row r="95" spans="2:32" x14ac:dyDescent="0.25">
      <c r="B95" s="72">
        <v>6.3460253841015363E-2</v>
      </c>
      <c r="C95" s="72">
        <v>4.8569527611443779E-2</v>
      </c>
      <c r="D95" s="72">
        <v>3.1229235880398672E-2</v>
      </c>
      <c r="E95" s="72">
        <v>1.6589250165892501E-2</v>
      </c>
      <c r="F95" s="72">
        <v>0</v>
      </c>
      <c r="H95" s="72">
        <v>0.75384615384615383</v>
      </c>
      <c r="I95" s="72">
        <v>0.63076923076923075</v>
      </c>
      <c r="J95" s="72">
        <v>0.50793650793650791</v>
      </c>
      <c r="K95" s="72">
        <v>0.42622950819672129</v>
      </c>
      <c r="L95" s="72">
        <v>0.32258064516129031</v>
      </c>
      <c r="N95" s="72">
        <v>0.14717741935483872</v>
      </c>
      <c r="O95" s="72">
        <v>0.11491935483870967</v>
      </c>
      <c r="P95" s="72">
        <v>9.2184368737474945E-2</v>
      </c>
      <c r="Q95" s="72">
        <v>8.3612040133779264E-2</v>
      </c>
      <c r="R95" s="72">
        <v>6.3460253841015363E-2</v>
      </c>
      <c r="S95" s="72">
        <v>5.8666666666666666E-2</v>
      </c>
      <c r="T95" s="72">
        <v>5.0331125827814571E-2</v>
      </c>
      <c r="U95" s="72">
        <v>4.5062955599734923E-2</v>
      </c>
      <c r="V95" s="72">
        <v>4.0951122853368563E-2</v>
      </c>
      <c r="X95" s="237">
        <v>109.5</v>
      </c>
      <c r="Y95" s="237">
        <v>85.5</v>
      </c>
      <c r="Z95" s="237">
        <v>69</v>
      </c>
      <c r="AA95" s="237">
        <v>62.5</v>
      </c>
      <c r="AB95" s="237">
        <v>47.5</v>
      </c>
      <c r="AC95" s="237">
        <v>44</v>
      </c>
      <c r="AD95" s="237">
        <v>38</v>
      </c>
      <c r="AE95" s="237">
        <v>34</v>
      </c>
      <c r="AF95" s="237">
        <v>31</v>
      </c>
    </row>
    <row r="96" spans="2:32" x14ac:dyDescent="0.25">
      <c r="B96" s="72">
        <v>6.3033486539724223E-2</v>
      </c>
      <c r="C96" s="72">
        <v>4.2678923177938283E-2</v>
      </c>
      <c r="D96" s="72">
        <v>3.0739045127534337E-2</v>
      </c>
      <c r="E96" s="72">
        <v>1.834862385321101E-2</v>
      </c>
      <c r="F96" s="72">
        <v>0</v>
      </c>
      <c r="H96" s="72">
        <v>0.86538461538461542</v>
      </c>
      <c r="I96" s="72">
        <v>0.79245283018867929</v>
      </c>
      <c r="J96" s="72">
        <v>0.64</v>
      </c>
      <c r="K96" s="72">
        <v>0.51020408163265307</v>
      </c>
      <c r="L96" s="72">
        <v>0.35714285714285715</v>
      </c>
      <c r="N96" s="72">
        <v>0.1417910447761194</v>
      </c>
      <c r="O96" s="72">
        <v>0.12137559002022927</v>
      </c>
      <c r="P96" s="72">
        <v>0.10033444816053512</v>
      </c>
      <c r="Q96" s="72">
        <v>7.7432164129715417E-2</v>
      </c>
      <c r="R96" s="72">
        <v>6.3033486539724223E-2</v>
      </c>
      <c r="S96" s="72">
        <v>5.9093893630991462E-2</v>
      </c>
      <c r="T96" s="72">
        <v>5.7328990228013028E-2</v>
      </c>
      <c r="U96" s="72">
        <v>5.3212199870214145E-2</v>
      </c>
      <c r="V96" s="72">
        <v>4.9382716049382713E-2</v>
      </c>
      <c r="X96" s="237">
        <v>104.5</v>
      </c>
      <c r="Y96" s="237">
        <v>90</v>
      </c>
      <c r="Z96" s="237">
        <v>75</v>
      </c>
      <c r="AA96" s="237">
        <v>58.5</v>
      </c>
      <c r="AB96" s="237">
        <v>48</v>
      </c>
      <c r="AC96" s="237">
        <v>45</v>
      </c>
      <c r="AD96" s="237">
        <v>44</v>
      </c>
      <c r="AE96" s="237">
        <v>41</v>
      </c>
      <c r="AF96" s="237">
        <v>38</v>
      </c>
    </row>
    <row r="97" spans="2:32" x14ac:dyDescent="0.25">
      <c r="B97" s="72">
        <v>7.6165462902166775E-2</v>
      </c>
      <c r="C97" s="72">
        <v>5.3805774278215222E-2</v>
      </c>
      <c r="D97" s="72">
        <v>3.0921052631578946E-2</v>
      </c>
      <c r="E97" s="72">
        <v>1.6425755584756899E-2</v>
      </c>
      <c r="F97" s="72">
        <v>6.5445026178010475E-4</v>
      </c>
      <c r="H97" s="72">
        <v>0.78787878787878785</v>
      </c>
      <c r="I97" s="72">
        <v>0.58333333333333337</v>
      </c>
      <c r="J97" s="72">
        <v>0.49315068493150682</v>
      </c>
      <c r="K97" s="72">
        <v>0.39189189189189189</v>
      </c>
      <c r="L97" s="72">
        <v>0.26027397260273971</v>
      </c>
      <c r="N97" s="72">
        <v>0.16129032258064516</v>
      </c>
      <c r="O97" s="72">
        <v>0.1400804289544236</v>
      </c>
      <c r="P97" s="72">
        <v>0.11928429423459244</v>
      </c>
      <c r="Q97" s="72">
        <v>9.8026315789473684E-2</v>
      </c>
      <c r="R97" s="72">
        <v>7.6165462902166775E-2</v>
      </c>
      <c r="S97" s="72">
        <v>7.1287128712871281E-2</v>
      </c>
      <c r="T97" s="72">
        <v>6.5260382333553066E-2</v>
      </c>
      <c r="U97" s="72">
        <v>6.3116370808678504E-2</v>
      </c>
      <c r="V97" s="72">
        <v>5.5847568988173453E-2</v>
      </c>
      <c r="X97" s="237">
        <v>120</v>
      </c>
      <c r="Y97" s="237">
        <v>104.5</v>
      </c>
      <c r="Z97" s="237">
        <v>90</v>
      </c>
      <c r="AA97" s="237">
        <v>74.5</v>
      </c>
      <c r="AB97" s="237">
        <v>58</v>
      </c>
      <c r="AC97" s="237">
        <v>54</v>
      </c>
      <c r="AD97" s="237">
        <v>49.5</v>
      </c>
      <c r="AE97" s="237">
        <v>48</v>
      </c>
      <c r="AF97" s="237">
        <v>42.5</v>
      </c>
    </row>
    <row r="98" spans="2:32" x14ac:dyDescent="0.25">
      <c r="B98" s="72">
        <v>8.2721814543028682E-2</v>
      </c>
      <c r="C98" s="72">
        <v>5.8000000000000003E-2</v>
      </c>
      <c r="D98" s="72">
        <v>3.9280958721704395E-2</v>
      </c>
      <c r="E98" s="72">
        <v>1.9230769230769232E-2</v>
      </c>
      <c r="F98" s="72">
        <v>0</v>
      </c>
      <c r="H98" s="72">
        <v>0.7831325301204819</v>
      </c>
      <c r="I98" s="72">
        <v>0.67469879518072284</v>
      </c>
      <c r="J98" s="72">
        <v>0.569620253164557</v>
      </c>
      <c r="K98" s="72">
        <v>0.48</v>
      </c>
      <c r="L98" s="72">
        <v>0.31944444444444442</v>
      </c>
      <c r="N98" s="72">
        <v>0.16144414168937329</v>
      </c>
      <c r="O98" s="72">
        <v>0.13834788448623236</v>
      </c>
      <c r="P98" s="72">
        <v>0.12115127175368139</v>
      </c>
      <c r="Q98" s="72">
        <v>0.10194500335345406</v>
      </c>
      <c r="R98" s="72">
        <v>8.2721814543028682E-2</v>
      </c>
      <c r="S98" s="72">
        <v>7.5333333333333335E-2</v>
      </c>
      <c r="T98" s="72">
        <v>6.9057104913678613E-2</v>
      </c>
      <c r="U98" s="72">
        <v>6.4729194187582564E-2</v>
      </c>
      <c r="V98" s="72">
        <v>6.1760840998685937E-2</v>
      </c>
      <c r="X98" s="237">
        <v>118.5</v>
      </c>
      <c r="Y98" s="237">
        <v>103</v>
      </c>
      <c r="Z98" s="237">
        <v>90.5</v>
      </c>
      <c r="AA98" s="237">
        <v>76</v>
      </c>
      <c r="AB98" s="237">
        <v>62</v>
      </c>
      <c r="AC98" s="237">
        <v>56.5</v>
      </c>
      <c r="AD98" s="237">
        <v>52</v>
      </c>
      <c r="AE98" s="237">
        <v>49</v>
      </c>
      <c r="AF98" s="237">
        <v>47</v>
      </c>
    </row>
    <row r="99" spans="2:32" x14ac:dyDescent="0.25">
      <c r="B99" s="72">
        <v>7.4816299265197062E-2</v>
      </c>
      <c r="C99" s="72">
        <v>5.0066755674232306E-2</v>
      </c>
      <c r="D99" s="72">
        <v>3.1978680879413725E-2</v>
      </c>
      <c r="E99" s="72">
        <v>1.5343562374916611E-2</v>
      </c>
      <c r="F99" s="72">
        <v>0</v>
      </c>
      <c r="H99" s="72">
        <v>0.75362318840579712</v>
      </c>
      <c r="I99" s="72">
        <v>0.6428571428571429</v>
      </c>
      <c r="J99" s="72">
        <v>0.52857142857142858</v>
      </c>
      <c r="K99" s="72">
        <v>0.42857142857142855</v>
      </c>
      <c r="L99" s="72">
        <v>0.35526315789473684</v>
      </c>
      <c r="N99" s="72">
        <v>0.16587355540448676</v>
      </c>
      <c r="O99" s="72">
        <v>0.13765182186234817</v>
      </c>
      <c r="P99" s="72">
        <v>0.11261872455902307</v>
      </c>
      <c r="Q99" s="72">
        <v>9.4821788836583723E-2</v>
      </c>
      <c r="R99" s="72">
        <v>7.4816299265197062E-2</v>
      </c>
      <c r="S99" s="72">
        <v>7.1904127829560585E-2</v>
      </c>
      <c r="T99" s="72">
        <v>6.3787375415282385E-2</v>
      </c>
      <c r="U99" s="72">
        <v>5.9293804130579615E-2</v>
      </c>
      <c r="V99" s="72">
        <v>5.1264980026631157E-2</v>
      </c>
      <c r="X99" s="237">
        <v>122</v>
      </c>
      <c r="Y99" s="237">
        <v>102</v>
      </c>
      <c r="Z99" s="237">
        <v>83</v>
      </c>
      <c r="AA99" s="237">
        <v>70.5</v>
      </c>
      <c r="AB99" s="237">
        <v>56</v>
      </c>
      <c r="AC99" s="237">
        <v>54</v>
      </c>
      <c r="AD99" s="237">
        <v>48</v>
      </c>
      <c r="AE99" s="237">
        <v>44.5</v>
      </c>
      <c r="AF99" s="237">
        <v>38.5</v>
      </c>
    </row>
    <row r="100" spans="2:32" x14ac:dyDescent="0.25">
      <c r="B100" s="72">
        <v>6.8988173455978977E-2</v>
      </c>
      <c r="C100" s="72">
        <v>4.9148099606815203E-2</v>
      </c>
      <c r="D100" s="72">
        <v>3.2786885245901641E-2</v>
      </c>
      <c r="E100" s="72">
        <v>1.6414970453053186E-2</v>
      </c>
      <c r="F100" s="72">
        <v>0</v>
      </c>
      <c r="H100" s="72">
        <v>0.78333333333333333</v>
      </c>
      <c r="I100" s="72">
        <v>0.68421052631578949</v>
      </c>
      <c r="J100" s="72">
        <v>0.52459016393442626</v>
      </c>
      <c r="K100" s="72">
        <v>0.39655172413793105</v>
      </c>
      <c r="L100" s="72">
        <v>0.33898305084745761</v>
      </c>
      <c r="N100" s="72">
        <v>0.15332885003362476</v>
      </c>
      <c r="O100" s="72">
        <v>0.12692050768203073</v>
      </c>
      <c r="P100" s="72">
        <v>0.10794701986754966</v>
      </c>
      <c r="Q100" s="72">
        <v>8.6092715231788075E-2</v>
      </c>
      <c r="R100" s="72">
        <v>6.8988173455978977E-2</v>
      </c>
      <c r="S100" s="72">
        <v>6.4388961892247049E-2</v>
      </c>
      <c r="T100" s="72">
        <v>6.032786885245902E-2</v>
      </c>
      <c r="U100" s="72">
        <v>5.7161629434954009E-2</v>
      </c>
      <c r="V100" s="72">
        <v>5.1939513477975013E-2</v>
      </c>
      <c r="X100" s="237">
        <v>114</v>
      </c>
      <c r="Y100" s="237">
        <v>95</v>
      </c>
      <c r="Z100" s="237">
        <v>81.5</v>
      </c>
      <c r="AA100" s="237">
        <v>65</v>
      </c>
      <c r="AB100" s="237">
        <v>52.5</v>
      </c>
      <c r="AC100" s="237">
        <v>49</v>
      </c>
      <c r="AD100" s="237">
        <v>46</v>
      </c>
      <c r="AE100" s="237">
        <v>43.5</v>
      </c>
      <c r="AF100" s="237">
        <v>39.5</v>
      </c>
    </row>
    <row r="101" spans="2:32" x14ac:dyDescent="0.25">
      <c r="B101" s="72">
        <v>5.6653491436100128E-2</v>
      </c>
      <c r="C101" s="72">
        <v>4.0655737704918031E-2</v>
      </c>
      <c r="D101" s="72">
        <v>2.9624753127057275E-2</v>
      </c>
      <c r="E101" s="72">
        <v>1.8469656992084433E-2</v>
      </c>
      <c r="F101" s="72">
        <v>1.3166556945358788E-3</v>
      </c>
      <c r="H101" s="72">
        <v>0.79365079365079361</v>
      </c>
      <c r="I101" s="72">
        <v>0.75409836065573765</v>
      </c>
      <c r="J101" s="72">
        <v>0.67692307692307696</v>
      </c>
      <c r="K101" s="72">
        <v>0.52941176470588236</v>
      </c>
      <c r="L101" s="72">
        <v>0.38571428571428573</v>
      </c>
      <c r="N101" s="72">
        <v>0.1386271870794078</v>
      </c>
      <c r="O101" s="72">
        <v>0.11891891891891893</v>
      </c>
      <c r="P101" s="72">
        <v>9.8196392785571143E-2</v>
      </c>
      <c r="Q101" s="72">
        <v>7.4172185430463583E-2</v>
      </c>
      <c r="R101" s="72">
        <v>5.6653491436100128E-2</v>
      </c>
      <c r="S101" s="72">
        <v>5.3841103086014447E-2</v>
      </c>
      <c r="T101" s="72">
        <v>5.5045871559633031E-2</v>
      </c>
      <c r="U101" s="72">
        <v>4.9212598425196853E-2</v>
      </c>
      <c r="V101" s="72">
        <v>4.3307086614173228E-2</v>
      </c>
      <c r="X101" s="237">
        <v>103</v>
      </c>
      <c r="Y101" s="237">
        <v>88</v>
      </c>
      <c r="Z101" s="237">
        <v>73.5</v>
      </c>
      <c r="AA101" s="237">
        <v>56</v>
      </c>
      <c r="AB101" s="237">
        <v>43</v>
      </c>
      <c r="AC101" s="237">
        <v>41</v>
      </c>
      <c r="AD101" s="237">
        <v>42</v>
      </c>
      <c r="AE101" s="237">
        <v>37.5</v>
      </c>
      <c r="AF101" s="237">
        <v>33</v>
      </c>
    </row>
    <row r="102" spans="2:32" x14ac:dyDescent="0.25">
      <c r="B102" s="72">
        <v>7.5608152531229461E-2</v>
      </c>
      <c r="C102" s="72">
        <v>5.6356487549148099E-2</v>
      </c>
      <c r="D102" s="72">
        <v>3.9869281045751631E-2</v>
      </c>
      <c r="E102" s="72">
        <v>1.7578125E-2</v>
      </c>
      <c r="F102" s="72">
        <v>0</v>
      </c>
      <c r="H102" s="72">
        <v>0.81428571428571428</v>
      </c>
      <c r="I102" s="72">
        <v>0.71014492753623193</v>
      </c>
      <c r="J102" s="72">
        <v>0.62295081967213117</v>
      </c>
      <c r="K102" s="72">
        <v>0.45614035087719296</v>
      </c>
      <c r="L102" s="72">
        <v>0.38983050847457629</v>
      </c>
      <c r="N102" s="72">
        <v>0.16223585548738922</v>
      </c>
      <c r="O102" s="72">
        <v>0.13630229419703105</v>
      </c>
      <c r="P102" s="72">
        <v>0.11319490957803081</v>
      </c>
      <c r="Q102" s="72">
        <v>9.2543275632490013E-2</v>
      </c>
      <c r="R102" s="72">
        <v>7.5608152531229461E-2</v>
      </c>
      <c r="S102" s="72">
        <v>7.0533948582729072E-2</v>
      </c>
      <c r="T102" s="72">
        <v>6.5789473684210523E-2</v>
      </c>
      <c r="U102" s="72">
        <v>5.5994729907773384E-2</v>
      </c>
      <c r="V102" s="72">
        <v>5.4054054054054057E-2</v>
      </c>
      <c r="X102" s="237">
        <v>119</v>
      </c>
      <c r="Y102" s="237">
        <v>101</v>
      </c>
      <c r="Z102" s="237">
        <v>84.5</v>
      </c>
      <c r="AA102" s="237">
        <v>69.5</v>
      </c>
      <c r="AB102" s="237">
        <v>57.5</v>
      </c>
      <c r="AC102" s="237">
        <v>53.5</v>
      </c>
      <c r="AD102" s="237">
        <v>50</v>
      </c>
      <c r="AE102" s="237">
        <v>42.5</v>
      </c>
      <c r="AF102" s="237">
        <v>41</v>
      </c>
    </row>
    <row r="103" spans="2:32" x14ac:dyDescent="0.25">
      <c r="B103" s="72">
        <v>7.4025115664243232E-2</v>
      </c>
      <c r="C103" s="72">
        <v>5.8047493403693931E-2</v>
      </c>
      <c r="D103" s="72">
        <v>3.4188034188034191E-2</v>
      </c>
      <c r="E103" s="72">
        <v>1.8360655737704918E-2</v>
      </c>
      <c r="F103" s="72">
        <v>0</v>
      </c>
      <c r="H103" s="72">
        <v>0.75714285714285712</v>
      </c>
      <c r="I103" s="72">
        <v>0.65714285714285714</v>
      </c>
      <c r="J103" s="72">
        <v>0.53125</v>
      </c>
      <c r="K103" s="72">
        <v>0.375</v>
      </c>
      <c r="L103" s="72">
        <v>0.29032258064516131</v>
      </c>
      <c r="N103" s="72">
        <v>0.15484311050477489</v>
      </c>
      <c r="O103" s="72">
        <v>0.13660834454912515</v>
      </c>
      <c r="P103" s="72">
        <v>0.11788345612860013</v>
      </c>
      <c r="Q103" s="72">
        <v>0.10046573519627412</v>
      </c>
      <c r="R103" s="72">
        <v>7.4025115664243232E-2</v>
      </c>
      <c r="S103" s="72">
        <v>6.9398545935228026E-2</v>
      </c>
      <c r="T103" s="72">
        <v>6.2623599208965069E-2</v>
      </c>
      <c r="U103" s="72">
        <v>5.8629776021080368E-2</v>
      </c>
      <c r="V103" s="72">
        <v>5.3149606299212601E-2</v>
      </c>
      <c r="X103" s="237">
        <v>113.5</v>
      </c>
      <c r="Y103" s="237">
        <v>101.5</v>
      </c>
      <c r="Z103" s="237">
        <v>88</v>
      </c>
      <c r="AA103" s="237">
        <v>75.5</v>
      </c>
      <c r="AB103" s="237">
        <v>56</v>
      </c>
      <c r="AC103" s="237">
        <v>52.5</v>
      </c>
      <c r="AD103" s="237">
        <v>47.5</v>
      </c>
      <c r="AE103" s="237">
        <v>44.5</v>
      </c>
      <c r="AF103" s="237">
        <v>40.5</v>
      </c>
    </row>
    <row r="104" spans="2:32" x14ac:dyDescent="0.25">
      <c r="B104" s="72">
        <v>6.4171122994652413E-2</v>
      </c>
      <c r="C104" s="72">
        <v>5.1196808510638299E-2</v>
      </c>
      <c r="D104" s="72">
        <v>3.5145888594164454E-2</v>
      </c>
      <c r="E104" s="72">
        <v>1.5841584158415842E-2</v>
      </c>
      <c r="F104" s="72">
        <v>0</v>
      </c>
      <c r="H104" s="72">
        <v>0.83544303797468356</v>
      </c>
      <c r="I104" s="72">
        <v>0.70270270270270274</v>
      </c>
      <c r="J104" s="72">
        <v>0.6811594202898551</v>
      </c>
      <c r="K104" s="72">
        <v>0.58208955223880599</v>
      </c>
      <c r="L104" s="72">
        <v>0.43478260869565216</v>
      </c>
      <c r="N104" s="72">
        <v>0.1388888888888889</v>
      </c>
      <c r="O104" s="72">
        <v>0.11951384199864956</v>
      </c>
      <c r="P104" s="72">
        <v>9.5302013422818799E-2</v>
      </c>
      <c r="Q104" s="72">
        <v>7.7493261455525611E-2</v>
      </c>
      <c r="R104" s="72">
        <v>6.4171122994652413E-2</v>
      </c>
      <c r="S104" s="72">
        <v>5.7371581054036024E-2</v>
      </c>
      <c r="T104" s="72">
        <v>5.1299133910726186E-2</v>
      </c>
      <c r="U104" s="72">
        <v>4.6604527296937419E-2</v>
      </c>
      <c r="V104" s="72">
        <v>4.4607190412782959E-2</v>
      </c>
      <c r="X104" s="237">
        <v>102.5</v>
      </c>
      <c r="Y104" s="237">
        <v>88.5</v>
      </c>
      <c r="Z104" s="237">
        <v>71</v>
      </c>
      <c r="AA104" s="237">
        <v>57.5</v>
      </c>
      <c r="AB104" s="237">
        <v>48</v>
      </c>
      <c r="AC104" s="237">
        <v>43</v>
      </c>
      <c r="AD104" s="237">
        <v>38.5</v>
      </c>
      <c r="AE104" s="237">
        <v>35</v>
      </c>
      <c r="AF104" s="237">
        <v>33.5</v>
      </c>
    </row>
    <row r="105" spans="2:32" x14ac:dyDescent="0.25">
      <c r="B105" s="72">
        <v>6.3172043010752688E-2</v>
      </c>
      <c r="C105" s="72">
        <v>4.8517520215633422E-2</v>
      </c>
      <c r="D105" s="72">
        <v>3.2454361054766734E-2</v>
      </c>
      <c r="E105" s="72">
        <v>1.8194070080862535E-2</v>
      </c>
      <c r="F105" s="72">
        <v>6.7521944632005406E-4</v>
      </c>
      <c r="H105" s="72">
        <v>0.73015873015873012</v>
      </c>
      <c r="I105" s="72">
        <v>0.6470588235294118</v>
      </c>
      <c r="J105" s="72">
        <v>0.4861111111111111</v>
      </c>
      <c r="K105" s="72">
        <v>0.4264705882352941</v>
      </c>
      <c r="L105" s="72">
        <v>0.28767123287671231</v>
      </c>
      <c r="N105" s="72">
        <v>0.15315315315315314</v>
      </c>
      <c r="O105" s="72">
        <v>0.13150684931506848</v>
      </c>
      <c r="P105" s="72">
        <v>0.10748299319727891</v>
      </c>
      <c r="Q105" s="72">
        <v>8.1867388362652227E-2</v>
      </c>
      <c r="R105" s="72">
        <v>6.3172043010752688E-2</v>
      </c>
      <c r="S105" s="72">
        <v>5.7008718980549968E-2</v>
      </c>
      <c r="T105" s="72">
        <v>5.3691275167785234E-2</v>
      </c>
      <c r="U105" s="72">
        <v>4.9158249158249158E-2</v>
      </c>
      <c r="V105" s="72">
        <v>4.7875927174645991E-2</v>
      </c>
      <c r="X105" s="237">
        <v>110.5</v>
      </c>
      <c r="Y105" s="237">
        <v>96</v>
      </c>
      <c r="Z105" s="237">
        <v>79</v>
      </c>
      <c r="AA105" s="237">
        <v>60.5</v>
      </c>
      <c r="AB105" s="237">
        <v>47</v>
      </c>
      <c r="AC105" s="237">
        <v>42.5</v>
      </c>
      <c r="AD105" s="237">
        <v>40</v>
      </c>
      <c r="AE105" s="237">
        <v>36.5</v>
      </c>
      <c r="AF105" s="237">
        <v>35.5</v>
      </c>
    </row>
    <row r="106" spans="2:32" x14ac:dyDescent="0.25">
      <c r="B106" s="72">
        <v>6.5003282994090611E-2</v>
      </c>
      <c r="C106" s="72">
        <v>4.6496398166339228E-2</v>
      </c>
      <c r="D106" s="72">
        <v>3.4822601839684622E-2</v>
      </c>
      <c r="E106" s="72">
        <v>1.8481848184818482E-2</v>
      </c>
      <c r="F106" s="72">
        <v>6.5963060686015829E-4</v>
      </c>
      <c r="H106" s="72">
        <v>0.83823529411764708</v>
      </c>
      <c r="I106" s="72">
        <v>0.69696969696969702</v>
      </c>
      <c r="J106" s="72">
        <v>0.58571428571428574</v>
      </c>
      <c r="K106" s="72">
        <v>0.45833333333333331</v>
      </c>
      <c r="L106" s="72">
        <v>0.38356164383561642</v>
      </c>
      <c r="N106" s="72">
        <v>0.13883299798792756</v>
      </c>
      <c r="O106" s="72">
        <v>0.12090848363393454</v>
      </c>
      <c r="P106" s="72">
        <v>0.10159362549800798</v>
      </c>
      <c r="Q106" s="72">
        <v>8.1686429512516465E-2</v>
      </c>
      <c r="R106" s="72">
        <v>6.5003282994090611E-2</v>
      </c>
      <c r="S106" s="72">
        <v>5.9516023544800525E-2</v>
      </c>
      <c r="T106" s="72">
        <v>5.5081967213114758E-2</v>
      </c>
      <c r="U106" s="72">
        <v>5.1939513477975013E-2</v>
      </c>
      <c r="V106" s="72">
        <v>4.6143704680290047E-2</v>
      </c>
      <c r="X106" s="237">
        <v>103.5</v>
      </c>
      <c r="Y106" s="237">
        <v>90.5</v>
      </c>
      <c r="Z106" s="237">
        <v>76.5</v>
      </c>
      <c r="AA106" s="237">
        <v>62</v>
      </c>
      <c r="AB106" s="237">
        <v>49.5</v>
      </c>
      <c r="AC106" s="237">
        <v>45.5</v>
      </c>
      <c r="AD106" s="237">
        <v>42</v>
      </c>
      <c r="AE106" s="237">
        <v>39.5</v>
      </c>
      <c r="AF106" s="237">
        <v>35</v>
      </c>
    </row>
    <row r="107" spans="2:32" x14ac:dyDescent="0.25">
      <c r="B107" s="72">
        <v>6.2540716612377853E-2</v>
      </c>
      <c r="C107" s="72">
        <v>4.8701298701298704E-2</v>
      </c>
      <c r="D107" s="72">
        <v>3.1735751295336789E-2</v>
      </c>
      <c r="E107" s="72">
        <v>1.8134715025906734E-2</v>
      </c>
      <c r="F107" s="72">
        <v>0</v>
      </c>
      <c r="H107" s="72">
        <v>0.7068965517241379</v>
      </c>
      <c r="I107" s="72">
        <v>0.6428571428571429</v>
      </c>
      <c r="J107" s="72">
        <v>0.57407407407407407</v>
      </c>
      <c r="K107" s="72">
        <v>0.44444444444444442</v>
      </c>
      <c r="L107" s="72">
        <v>0.28846153846153844</v>
      </c>
      <c r="N107" s="72">
        <v>0.13963039014373715</v>
      </c>
      <c r="O107" s="72">
        <v>0.11389830508474576</v>
      </c>
      <c r="P107" s="72">
        <v>9.5396931287525022E-2</v>
      </c>
      <c r="Q107" s="72">
        <v>7.5596816976127315E-2</v>
      </c>
      <c r="R107" s="72">
        <v>6.2540716612377853E-2</v>
      </c>
      <c r="S107" s="72">
        <v>5.7905009759271306E-2</v>
      </c>
      <c r="T107" s="72">
        <v>5.2117263843648211E-2</v>
      </c>
      <c r="U107" s="72">
        <v>5.1499348109517604E-2</v>
      </c>
      <c r="V107" s="72">
        <v>4.3648208469055372E-2</v>
      </c>
      <c r="X107" s="237">
        <v>102</v>
      </c>
      <c r="Y107" s="237">
        <v>84</v>
      </c>
      <c r="Z107" s="237">
        <v>71.5</v>
      </c>
      <c r="AA107" s="237">
        <v>57</v>
      </c>
      <c r="AB107" s="237">
        <v>48</v>
      </c>
      <c r="AC107" s="237">
        <v>44.5</v>
      </c>
      <c r="AD107" s="237">
        <v>40</v>
      </c>
      <c r="AE107" s="237">
        <v>39.5</v>
      </c>
      <c r="AF107" s="237">
        <v>33.5</v>
      </c>
    </row>
    <row r="108" spans="2:32" x14ac:dyDescent="0.25">
      <c r="B108" s="72">
        <v>7.3056300268096508E-2</v>
      </c>
      <c r="C108" s="72">
        <v>5.6856187290969896E-2</v>
      </c>
      <c r="D108" s="72">
        <v>3.5522788203753354E-2</v>
      </c>
      <c r="E108" s="72">
        <v>1.8096514745308313E-2</v>
      </c>
      <c r="F108" s="72">
        <v>0</v>
      </c>
      <c r="H108" s="72">
        <v>0.74285714285714288</v>
      </c>
      <c r="I108" s="72">
        <v>0.58823529411764708</v>
      </c>
      <c r="J108" s="72">
        <v>0.44117647058823528</v>
      </c>
      <c r="K108" s="72">
        <v>0.35714285714285715</v>
      </c>
      <c r="L108" s="72">
        <v>0.23684210526315788</v>
      </c>
      <c r="N108" s="72">
        <v>0.14786795048143053</v>
      </c>
      <c r="O108" s="72">
        <v>0.12957937584803256</v>
      </c>
      <c r="P108" s="72">
        <v>0.1111864406779661</v>
      </c>
      <c r="Q108" s="72">
        <v>9.6231493943472413E-2</v>
      </c>
      <c r="R108" s="72">
        <v>7.3056300268096508E-2</v>
      </c>
      <c r="S108" s="72">
        <v>7.0000000000000007E-2</v>
      </c>
      <c r="T108" s="72">
        <v>6.65335994677312E-2</v>
      </c>
      <c r="U108" s="72">
        <v>6.4494680851063829E-2</v>
      </c>
      <c r="V108" s="72">
        <v>5.7884231536926151E-2</v>
      </c>
      <c r="X108" s="237">
        <v>107.5</v>
      </c>
      <c r="Y108" s="237">
        <v>95.5</v>
      </c>
      <c r="Z108" s="237">
        <v>82</v>
      </c>
      <c r="AA108" s="237">
        <v>71.5</v>
      </c>
      <c r="AB108" s="237">
        <v>54.5</v>
      </c>
      <c r="AC108" s="237">
        <v>52.5</v>
      </c>
      <c r="AD108" s="237">
        <v>50</v>
      </c>
      <c r="AE108" s="237">
        <v>48.5</v>
      </c>
      <c r="AF108" s="237">
        <v>43.5</v>
      </c>
    </row>
  </sheetData>
  <mergeCells count="10">
    <mergeCell ref="B1:F1"/>
    <mergeCell ref="H1:L1"/>
    <mergeCell ref="B2:F2"/>
    <mergeCell ref="H2:L2"/>
    <mergeCell ref="N2:Q2"/>
    <mergeCell ref="N1:V1"/>
    <mergeCell ref="S2:V2"/>
    <mergeCell ref="X1:AF1"/>
    <mergeCell ref="X2:AA2"/>
    <mergeCell ref="AC2:AF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E1"/>
  <sheetViews>
    <sheetView showGridLines="0" workbookViewId="0"/>
  </sheetViews>
  <sheetFormatPr defaultRowHeight="15" x14ac:dyDescent="0.25"/>
  <sheetData>
    <row r="1" spans="5:5" x14ac:dyDescent="0.25">
      <c r="E1" s="1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79998168889431442"/>
  </sheetPr>
  <dimension ref="B1:L80"/>
  <sheetViews>
    <sheetView showGridLines="0" workbookViewId="0">
      <selection activeCell="D4" sqref="D4"/>
    </sheetView>
  </sheetViews>
  <sheetFormatPr defaultRowHeight="15" x14ac:dyDescent="0.25"/>
  <cols>
    <col min="2" max="2" width="19.85546875" customWidth="1"/>
    <col min="3" max="3" width="16.7109375" customWidth="1"/>
    <col min="4" max="4" width="12.28515625" style="114" customWidth="1"/>
    <col min="5" max="7" width="16.7109375" customWidth="1"/>
  </cols>
  <sheetData>
    <row r="1" spans="2:12" s="114" customFormat="1" x14ac:dyDescent="0.25"/>
    <row r="2" spans="2:12" s="114" customFormat="1" x14ac:dyDescent="0.25">
      <c r="B2" s="232" t="s">
        <v>106</v>
      </c>
      <c r="C2" s="232"/>
      <c r="D2" s="232"/>
      <c r="E2" s="232"/>
      <c r="F2" s="232"/>
      <c r="G2" s="232"/>
    </row>
    <row r="3" spans="2:12" s="114" customFormat="1" ht="75" x14ac:dyDescent="0.25">
      <c r="B3" s="95" t="s">
        <v>71</v>
      </c>
      <c r="C3" s="95" t="s">
        <v>72</v>
      </c>
      <c r="D3" s="95" t="s">
        <v>93</v>
      </c>
      <c r="E3" s="95" t="s">
        <v>89</v>
      </c>
      <c r="F3" s="95" t="s">
        <v>73</v>
      </c>
      <c r="G3" s="95" t="s">
        <v>79</v>
      </c>
      <c r="H3" s="95" t="s">
        <v>65</v>
      </c>
      <c r="I3" s="95" t="s">
        <v>66</v>
      </c>
      <c r="J3" s="139" t="s">
        <v>107</v>
      </c>
    </row>
    <row r="4" spans="2:12" s="114" customFormat="1" x14ac:dyDescent="0.25">
      <c r="B4" s="125" t="s">
        <v>16</v>
      </c>
      <c r="C4" s="216">
        <f>D4/E4</f>
        <v>2.3762376237623763E-2</v>
      </c>
      <c r="D4" s="217">
        <v>24</v>
      </c>
      <c r="E4" s="217">
        <v>1010</v>
      </c>
      <c r="F4" s="125">
        <v>0</v>
      </c>
      <c r="G4" s="93">
        <f>_xlfn.NORM.S.INV(1-0.05/2)*SQRT(1/E4*C4*(1-C4))</f>
        <v>9.3931251487606206E-3</v>
      </c>
      <c r="H4" s="93">
        <f>C4-G4</f>
        <v>1.4369251088863142E-2</v>
      </c>
      <c r="I4" s="93">
        <f>C4+G4</f>
        <v>3.3155501386384387E-2</v>
      </c>
      <c r="J4" s="140">
        <f>1000*C4</f>
        <v>23.762376237623762</v>
      </c>
      <c r="L4"/>
    </row>
    <row r="5" spans="2:12" s="114" customFormat="1" x14ac:dyDescent="0.25">
      <c r="B5" s="125" t="s">
        <v>74</v>
      </c>
      <c r="C5" s="216">
        <f t="shared" ref="C5:C9" si="0">D5/E5</f>
        <v>0.10337552742616034</v>
      </c>
      <c r="D5" s="217">
        <v>98</v>
      </c>
      <c r="E5" s="217">
        <v>948</v>
      </c>
      <c r="F5" s="125">
        <v>0</v>
      </c>
      <c r="G5" s="93">
        <f t="shared" ref="G5:G10" si="1">_xlfn.NORM.S.INV(1-0.05/2)*SQRT(1/E5*C5*(1-C5))</f>
        <v>1.9380192464770265E-2</v>
      </c>
      <c r="H5" s="93">
        <f t="shared" ref="H5:H10" si="2">C5-G5</f>
        <v>8.399533496139007E-2</v>
      </c>
      <c r="I5" s="93">
        <f t="shared" ref="I5:I10" si="3">C5+G5</f>
        <v>0.12275571989093061</v>
      </c>
      <c r="J5" s="140">
        <f t="shared" ref="J5:J9" si="4">1000*C5</f>
        <v>103.37552742616033</v>
      </c>
      <c r="L5"/>
    </row>
    <row r="6" spans="2:12" s="114" customFormat="1" x14ac:dyDescent="0.25">
      <c r="B6" s="125" t="s">
        <v>75</v>
      </c>
      <c r="C6" s="216">
        <f t="shared" si="0"/>
        <v>0.11764705882352941</v>
      </c>
      <c r="D6" s="217">
        <v>122</v>
      </c>
      <c r="E6" s="217">
        <v>1037</v>
      </c>
      <c r="F6" s="125">
        <v>0</v>
      </c>
      <c r="G6" s="93">
        <f t="shared" si="1"/>
        <v>1.9609676031217927E-2</v>
      </c>
      <c r="H6" s="93">
        <f t="shared" si="2"/>
        <v>9.8037382792311487E-2</v>
      </c>
      <c r="I6" s="93">
        <f t="shared" si="3"/>
        <v>0.13725673485474735</v>
      </c>
      <c r="J6" s="140">
        <f t="shared" si="4"/>
        <v>117.64705882352941</v>
      </c>
      <c r="L6"/>
    </row>
    <row r="7" spans="2:12" s="114" customFormat="1" x14ac:dyDescent="0.25">
      <c r="B7" s="125" t="s">
        <v>76</v>
      </c>
      <c r="C7" s="216">
        <f t="shared" si="0"/>
        <v>9.4357976653696496E-2</v>
      </c>
      <c r="D7" s="217">
        <v>97</v>
      </c>
      <c r="E7" s="217">
        <v>1028</v>
      </c>
      <c r="F7" s="125">
        <v>0</v>
      </c>
      <c r="G7" s="93">
        <f t="shared" si="1"/>
        <v>1.7869776742858647E-2</v>
      </c>
      <c r="H7" s="93">
        <f t="shared" si="2"/>
        <v>7.6488199910837856E-2</v>
      </c>
      <c r="I7" s="93">
        <f t="shared" si="3"/>
        <v>0.11222775339655514</v>
      </c>
      <c r="J7" s="140">
        <f t="shared" si="4"/>
        <v>94.357976653696497</v>
      </c>
      <c r="L7"/>
    </row>
    <row r="8" spans="2:12" s="114" customFormat="1" x14ac:dyDescent="0.25">
      <c r="B8" s="125" t="s">
        <v>77</v>
      </c>
      <c r="C8" s="216">
        <f t="shared" si="0"/>
        <v>5.9838895281933258E-2</v>
      </c>
      <c r="D8" s="217">
        <v>52</v>
      </c>
      <c r="E8" s="217">
        <v>869</v>
      </c>
      <c r="F8" s="125">
        <v>0</v>
      </c>
      <c r="G8" s="93">
        <f t="shared" si="1"/>
        <v>1.5769979414939617E-2</v>
      </c>
      <c r="H8" s="93">
        <f t="shared" si="2"/>
        <v>4.4068915866993644E-2</v>
      </c>
      <c r="I8" s="93">
        <f t="shared" si="3"/>
        <v>7.5608874696872871E-2</v>
      </c>
      <c r="J8" s="140">
        <f t="shared" si="4"/>
        <v>59.838895281933254</v>
      </c>
      <c r="L8"/>
    </row>
    <row r="9" spans="2:12" s="114" customFormat="1" x14ac:dyDescent="0.25">
      <c r="B9" s="28" t="s">
        <v>78</v>
      </c>
      <c r="C9" s="218">
        <f t="shared" si="0"/>
        <v>1.4120667522464698E-2</v>
      </c>
      <c r="D9" s="219">
        <v>11</v>
      </c>
      <c r="E9" s="219">
        <v>779</v>
      </c>
      <c r="F9" s="28">
        <v>0</v>
      </c>
      <c r="G9" s="94">
        <f t="shared" si="1"/>
        <v>8.2855025842499836E-3</v>
      </c>
      <c r="H9" s="94">
        <f t="shared" si="2"/>
        <v>5.8351649382147146E-3</v>
      </c>
      <c r="I9" s="94">
        <f t="shared" si="3"/>
        <v>2.2406170106714682E-2</v>
      </c>
      <c r="J9" s="140">
        <f t="shared" si="4"/>
        <v>14.120667522464698</v>
      </c>
      <c r="L9"/>
    </row>
    <row r="10" spans="2:12" s="114" customFormat="1" x14ac:dyDescent="0.25">
      <c r="B10" s="97" t="s">
        <v>57</v>
      </c>
      <c r="C10" s="72">
        <f t="shared" ref="C10" si="5">D10/E10</f>
        <v>7.1239640275083754E-2</v>
      </c>
      <c r="D10" s="125">
        <f>SUM(D4:D9)</f>
        <v>404</v>
      </c>
      <c r="E10" s="125">
        <f>SUM(E4:E9)</f>
        <v>5671</v>
      </c>
      <c r="F10" s="125"/>
      <c r="G10" s="93">
        <f t="shared" si="1"/>
        <v>6.6946975560500848E-3</v>
      </c>
      <c r="H10" s="93">
        <f t="shared" si="2"/>
        <v>6.4544942719033674E-2</v>
      </c>
      <c r="I10" s="93">
        <f t="shared" si="3"/>
        <v>7.7934337831133835E-2</v>
      </c>
    </row>
    <row r="11" spans="2:12" s="114" customFormat="1" x14ac:dyDescent="0.25"/>
    <row r="12" spans="2:12" s="114" customFormat="1" x14ac:dyDescent="0.25"/>
    <row r="14" spans="2:12" x14ac:dyDescent="0.25">
      <c r="B14" s="232" t="s">
        <v>80</v>
      </c>
      <c r="C14" s="232"/>
      <c r="D14" s="232"/>
      <c r="E14" s="232"/>
      <c r="F14" s="232"/>
      <c r="G14" s="232"/>
    </row>
    <row r="15" spans="2:12" ht="75" x14ac:dyDescent="0.25">
      <c r="B15" s="95" t="s">
        <v>71</v>
      </c>
      <c r="C15" s="95" t="s">
        <v>72</v>
      </c>
      <c r="D15" s="95" t="s">
        <v>93</v>
      </c>
      <c r="E15" s="95" t="s">
        <v>89</v>
      </c>
      <c r="F15" s="95" t="s">
        <v>73</v>
      </c>
      <c r="G15" s="95" t="s">
        <v>79</v>
      </c>
      <c r="H15" s="95" t="s">
        <v>65</v>
      </c>
      <c r="I15" s="95" t="s">
        <v>66</v>
      </c>
    </row>
    <row r="16" spans="2:12" x14ac:dyDescent="0.25">
      <c r="B16" s="68" t="s">
        <v>16</v>
      </c>
      <c r="C16" s="216">
        <f t="shared" ref="C16:C21" si="6">D16/E16</f>
        <v>2.7722772277227723E-2</v>
      </c>
      <c r="D16" s="217">
        <v>28</v>
      </c>
      <c r="E16" s="217">
        <v>1010</v>
      </c>
      <c r="F16" s="217">
        <v>0</v>
      </c>
      <c r="G16" s="93">
        <f>_xlfn.NORM.S.INV(1-0.05/2)*SQRT(1/E16*C16*(1-C16))</f>
        <v>1.0125134241585891E-2</v>
      </c>
      <c r="H16" s="93">
        <f>C16-G16</f>
        <v>1.7597638035641832E-2</v>
      </c>
      <c r="I16" s="93">
        <f>C16+G16</f>
        <v>3.7847906518813618E-2</v>
      </c>
      <c r="J16" s="115"/>
    </row>
    <row r="17" spans="2:10" x14ac:dyDescent="0.25">
      <c r="B17" s="68" t="s">
        <v>74</v>
      </c>
      <c r="C17" s="216">
        <f t="shared" si="6"/>
        <v>6.5400843881856546E-2</v>
      </c>
      <c r="D17" s="217">
        <v>62</v>
      </c>
      <c r="E17" s="217">
        <v>948</v>
      </c>
      <c r="F17" s="217">
        <v>0</v>
      </c>
      <c r="G17" s="93">
        <f t="shared" ref="G17:G21" si="7">_xlfn.NORM.S.INV(1-0.05/2)*SQRT(1/E17*C17*(1-C17))</f>
        <v>1.5737954692737005E-2</v>
      </c>
      <c r="H17" s="93">
        <f t="shared" ref="H17:H21" si="8">C17-G17</f>
        <v>4.9662889189119541E-2</v>
      </c>
      <c r="I17" s="93">
        <f t="shared" ref="I17:I21" si="9">C17+G17</f>
        <v>8.1138798574593551E-2</v>
      </c>
      <c r="J17" s="115"/>
    </row>
    <row r="18" spans="2:10" x14ac:dyDescent="0.25">
      <c r="B18" s="68" t="s">
        <v>75</v>
      </c>
      <c r="C18" s="216">
        <f t="shared" si="6"/>
        <v>7.0395371263259399E-2</v>
      </c>
      <c r="D18" s="217">
        <v>73</v>
      </c>
      <c r="E18" s="217">
        <v>1037</v>
      </c>
      <c r="F18" s="217">
        <v>0</v>
      </c>
      <c r="G18" s="93">
        <f t="shared" si="7"/>
        <v>1.5569687770296655E-2</v>
      </c>
      <c r="H18" s="93">
        <f t="shared" si="8"/>
        <v>5.482568349296274E-2</v>
      </c>
      <c r="I18" s="93">
        <f t="shared" si="9"/>
        <v>8.5965059033556057E-2</v>
      </c>
      <c r="J18" s="115"/>
    </row>
    <row r="19" spans="2:10" x14ac:dyDescent="0.25">
      <c r="B19" s="68" t="s">
        <v>76</v>
      </c>
      <c r="C19" s="216">
        <f t="shared" si="6"/>
        <v>5.3501945525291826E-2</v>
      </c>
      <c r="D19" s="217">
        <v>55</v>
      </c>
      <c r="E19" s="217">
        <v>1028</v>
      </c>
      <c r="F19" s="217">
        <v>0</v>
      </c>
      <c r="G19" s="93">
        <f t="shared" si="7"/>
        <v>1.3756127228974296E-2</v>
      </c>
      <c r="H19" s="93">
        <f t="shared" si="8"/>
        <v>3.9745818296317528E-2</v>
      </c>
      <c r="I19" s="93">
        <f t="shared" si="9"/>
        <v>6.7258072754266124E-2</v>
      </c>
      <c r="J19" s="115"/>
    </row>
    <row r="20" spans="2:10" x14ac:dyDescent="0.25">
      <c r="B20" s="68" t="s">
        <v>77</v>
      </c>
      <c r="C20" s="216">
        <f t="shared" si="6"/>
        <v>2.3014959723820484E-2</v>
      </c>
      <c r="D20" s="217">
        <v>20</v>
      </c>
      <c r="E20" s="217">
        <v>869</v>
      </c>
      <c r="F20" s="217">
        <v>0</v>
      </c>
      <c r="G20" s="93">
        <f t="shared" si="7"/>
        <v>9.9698188954174798E-3</v>
      </c>
      <c r="H20" s="93">
        <f t="shared" si="8"/>
        <v>1.3045140828403004E-2</v>
      </c>
      <c r="I20" s="93">
        <f t="shared" si="9"/>
        <v>3.2984778619237966E-2</v>
      </c>
      <c r="J20" s="115"/>
    </row>
    <row r="21" spans="2:10" x14ac:dyDescent="0.25">
      <c r="B21" s="28" t="s">
        <v>78</v>
      </c>
      <c r="C21" s="218">
        <f t="shared" si="6"/>
        <v>5.1347881899871627E-3</v>
      </c>
      <c r="D21" s="219">
        <v>4</v>
      </c>
      <c r="E21" s="219">
        <v>779</v>
      </c>
      <c r="F21" s="219">
        <v>0</v>
      </c>
      <c r="G21" s="94">
        <f t="shared" si="7"/>
        <v>5.0190642063635254E-3</v>
      </c>
      <c r="H21" s="94">
        <f t="shared" si="8"/>
        <v>1.1572398362363727E-4</v>
      </c>
      <c r="I21" s="94">
        <f t="shared" si="9"/>
        <v>1.0153852396350688E-2</v>
      </c>
      <c r="J21" s="115"/>
    </row>
    <row r="22" spans="2:10" x14ac:dyDescent="0.25">
      <c r="B22" s="97" t="s">
        <v>57</v>
      </c>
      <c r="C22" s="93">
        <f t="shared" ref="C22" si="10">D22/E22</f>
        <v>4.2673249867748189E-2</v>
      </c>
      <c r="D22" s="68">
        <f>SUM(D16:D21)</f>
        <v>242</v>
      </c>
      <c r="E22" s="68">
        <f>SUM(E16:E21)</f>
        <v>5671</v>
      </c>
      <c r="F22" s="68">
        <f>SUM(F16:F21)</f>
        <v>0</v>
      </c>
      <c r="G22" s="93">
        <f t="shared" ref="G22" si="11">_xlfn.NORM.S.INV(1-0.05/2)*SQRT(1/E22*C22*(1-C22))</f>
        <v>5.2604902973580571E-3</v>
      </c>
      <c r="H22" s="93">
        <f t="shared" ref="H22" si="12">C22-G22</f>
        <v>3.7412759570390135E-2</v>
      </c>
      <c r="I22" s="93">
        <f t="shared" ref="I22" si="13">C22+G22</f>
        <v>4.7933740165106244E-2</v>
      </c>
    </row>
    <row r="26" spans="2:10" x14ac:dyDescent="0.25">
      <c r="B26" s="112" t="s">
        <v>120</v>
      </c>
      <c r="C26" s="112"/>
      <c r="D26" s="112"/>
      <c r="E26" s="112"/>
      <c r="F26" s="112"/>
      <c r="G26" s="112"/>
      <c r="H26" s="98"/>
      <c r="I26" s="98"/>
    </row>
    <row r="27" spans="2:10" ht="75" x14ac:dyDescent="0.25">
      <c r="B27" s="95" t="s">
        <v>71</v>
      </c>
      <c r="C27" s="95" t="s">
        <v>90</v>
      </c>
      <c r="D27" s="95" t="s">
        <v>93</v>
      </c>
      <c r="E27" s="95" t="s">
        <v>89</v>
      </c>
      <c r="F27" s="95" t="s">
        <v>73</v>
      </c>
      <c r="G27" s="95" t="s">
        <v>79</v>
      </c>
      <c r="H27" s="95" t="s">
        <v>65</v>
      </c>
      <c r="I27" s="95" t="s">
        <v>66</v>
      </c>
    </row>
    <row r="28" spans="2:10" x14ac:dyDescent="0.25">
      <c r="B28" s="68" t="s">
        <v>16</v>
      </c>
      <c r="C28" s="216">
        <f t="shared" ref="C28:C33" si="14">D28/E28</f>
        <v>3.8580246913580245E-2</v>
      </c>
      <c r="D28" s="217">
        <v>25</v>
      </c>
      <c r="E28" s="217">
        <v>648</v>
      </c>
      <c r="F28" s="217">
        <v>1</v>
      </c>
      <c r="G28" s="93">
        <f>_xlfn.NORM.S.INV(1-0.05/2)*SQRT(1/E28*C28*(1-C28))</f>
        <v>1.4828581548244624E-2</v>
      </c>
      <c r="H28" s="93">
        <f>C28-G28</f>
        <v>2.3751665365335621E-2</v>
      </c>
      <c r="I28" s="93">
        <f>C28+G28</f>
        <v>5.3408828461824868E-2</v>
      </c>
    </row>
    <row r="29" spans="2:10" x14ac:dyDescent="0.25">
      <c r="B29" s="68" t="s">
        <v>74</v>
      </c>
      <c r="C29" s="216">
        <f t="shared" si="14"/>
        <v>0.25503355704697989</v>
      </c>
      <c r="D29" s="217">
        <v>76</v>
      </c>
      <c r="E29" s="217">
        <v>298</v>
      </c>
      <c r="F29" s="217">
        <v>3</v>
      </c>
      <c r="G29" s="93">
        <f t="shared" ref="G29:G34" si="15">_xlfn.NORM.S.INV(1-0.05/2)*SQRT(1/E29*C29*(1-C29))</f>
        <v>4.9488806274939533E-2</v>
      </c>
      <c r="H29" s="93">
        <f t="shared" ref="H29:H34" si="16">C29-G29</f>
        <v>0.20554475077204035</v>
      </c>
      <c r="I29" s="93">
        <f t="shared" ref="I29:I34" si="17">C29+G29</f>
        <v>0.3045223633219194</v>
      </c>
    </row>
    <row r="30" spans="2:10" x14ac:dyDescent="0.25">
      <c r="B30" s="68" t="s">
        <v>75</v>
      </c>
      <c r="C30" s="216">
        <f t="shared" si="14"/>
        <v>0.36577181208053694</v>
      </c>
      <c r="D30" s="217">
        <v>109</v>
      </c>
      <c r="E30" s="217">
        <v>298</v>
      </c>
      <c r="F30" s="217">
        <v>0</v>
      </c>
      <c r="G30" s="93">
        <f t="shared" si="15"/>
        <v>5.4684953349349232E-2</v>
      </c>
      <c r="H30" s="93">
        <f t="shared" si="16"/>
        <v>0.31108685873118769</v>
      </c>
      <c r="I30" s="93">
        <f t="shared" si="17"/>
        <v>0.42045676542988619</v>
      </c>
    </row>
    <row r="31" spans="2:10" x14ac:dyDescent="0.25">
      <c r="B31" s="68" t="s">
        <v>76</v>
      </c>
      <c r="C31" s="216">
        <f t="shared" si="14"/>
        <v>0.45787545787545786</v>
      </c>
      <c r="D31" s="217">
        <v>125</v>
      </c>
      <c r="E31" s="217">
        <v>273</v>
      </c>
      <c r="F31" s="217">
        <v>2</v>
      </c>
      <c r="G31" s="93">
        <f t="shared" si="15"/>
        <v>5.9100340722220999E-2</v>
      </c>
      <c r="H31" s="93">
        <f t="shared" si="16"/>
        <v>0.39877511715323688</v>
      </c>
      <c r="I31" s="93">
        <f t="shared" si="17"/>
        <v>0.51697579859767884</v>
      </c>
    </row>
    <row r="32" spans="2:10" x14ac:dyDescent="0.25">
      <c r="B32" s="68" t="s">
        <v>77</v>
      </c>
      <c r="C32" s="224">
        <f t="shared" si="14"/>
        <v>0.39366515837104071</v>
      </c>
      <c r="D32" s="223">
        <v>87</v>
      </c>
      <c r="E32" s="223">
        <v>221</v>
      </c>
      <c r="F32" s="223">
        <v>2</v>
      </c>
      <c r="G32" s="93">
        <f t="shared" si="15"/>
        <v>6.4412729965457161E-2</v>
      </c>
      <c r="H32" s="93">
        <f t="shared" si="16"/>
        <v>0.32925242840558355</v>
      </c>
      <c r="I32" s="93">
        <f t="shared" si="17"/>
        <v>0.45807788833649787</v>
      </c>
    </row>
    <row r="33" spans="2:10" x14ac:dyDescent="0.25">
      <c r="B33" s="28" t="s">
        <v>78</v>
      </c>
      <c r="C33" s="218">
        <f t="shared" si="14"/>
        <v>0.40883977900552487</v>
      </c>
      <c r="D33" s="219">
        <v>74</v>
      </c>
      <c r="E33" s="219">
        <v>181</v>
      </c>
      <c r="F33" s="219">
        <v>0</v>
      </c>
      <c r="G33" s="94">
        <f t="shared" si="15"/>
        <v>7.1620603700779953E-2</v>
      </c>
      <c r="H33" s="94">
        <f t="shared" si="16"/>
        <v>0.33721917530474493</v>
      </c>
      <c r="I33" s="94">
        <f t="shared" si="17"/>
        <v>0.48046038270630481</v>
      </c>
    </row>
    <row r="34" spans="2:10" x14ac:dyDescent="0.25">
      <c r="B34" s="97" t="s">
        <v>57</v>
      </c>
      <c r="C34" s="72">
        <f>SUMPRODUCT(C28:C33,E28:E33)/SUM(E28:E33)</f>
        <v>0.2584679520583637</v>
      </c>
      <c r="D34" s="68">
        <f>SUM(D28:D33)</f>
        <v>496</v>
      </c>
      <c r="E34" s="68">
        <f>SUM(E28:E33)</f>
        <v>1919</v>
      </c>
      <c r="F34" s="68">
        <f>SUM(F28:F33)</f>
        <v>8</v>
      </c>
      <c r="G34" s="93">
        <f t="shared" si="15"/>
        <v>1.9587495838337757E-2</v>
      </c>
      <c r="H34" s="93">
        <f t="shared" si="16"/>
        <v>0.23888045622002596</v>
      </c>
      <c r="I34" s="93">
        <f t="shared" si="17"/>
        <v>0.27805544789670145</v>
      </c>
    </row>
    <row r="37" spans="2:10" x14ac:dyDescent="0.25">
      <c r="B37" s="112" t="s">
        <v>117</v>
      </c>
      <c r="C37" s="112"/>
      <c r="D37" s="112"/>
      <c r="E37" s="112"/>
      <c r="F37" s="112"/>
      <c r="G37" s="112"/>
      <c r="H37" s="114"/>
      <c r="I37" s="114"/>
    </row>
    <row r="38" spans="2:10" ht="75" x14ac:dyDescent="0.25">
      <c r="B38" s="95" t="s">
        <v>118</v>
      </c>
      <c r="C38" s="95" t="s">
        <v>90</v>
      </c>
      <c r="D38" s="95" t="s">
        <v>93</v>
      </c>
      <c r="E38" s="95" t="s">
        <v>89</v>
      </c>
      <c r="F38" s="95" t="s">
        <v>73</v>
      </c>
      <c r="G38" s="95" t="s">
        <v>79</v>
      </c>
      <c r="H38" s="95" t="s">
        <v>65</v>
      </c>
      <c r="I38" s="95" t="s">
        <v>66</v>
      </c>
    </row>
    <row r="39" spans="2:10" s="114" customFormat="1" x14ac:dyDescent="0.25">
      <c r="B39" s="152" t="str">
        <f>Parameters!B19</f>
        <v>Sterile</v>
      </c>
      <c r="C39" s="216">
        <f t="shared" ref="C39:C44" si="18">D39/E39</f>
        <v>0.60538116591928248</v>
      </c>
      <c r="D39" s="217">
        <v>675</v>
      </c>
      <c r="E39" s="217">
        <v>1115</v>
      </c>
      <c r="F39" s="217">
        <v>5</v>
      </c>
      <c r="G39" s="93">
        <f>_xlfn.NORM.S.INV(1-0.05/2)*SQRT(1/E39*C39*(1-C39))</f>
        <v>2.8688907789015672E-2</v>
      </c>
      <c r="H39" s="93">
        <f>C39-G39</f>
        <v>0.57669225813026681</v>
      </c>
      <c r="I39" s="93">
        <f>C39+G39</f>
        <v>0.63407007370829815</v>
      </c>
      <c r="J39"/>
    </row>
    <row r="40" spans="2:10" x14ac:dyDescent="0.25">
      <c r="B40" s="116" t="str">
        <f>Parameters!B20</f>
        <v>Inactive</v>
      </c>
      <c r="C40" s="216">
        <f t="shared" si="18"/>
        <v>0.37735849056603776</v>
      </c>
      <c r="D40" s="217">
        <v>440</v>
      </c>
      <c r="E40" s="217">
        <v>1166</v>
      </c>
      <c r="F40" s="217">
        <v>10</v>
      </c>
      <c r="G40" s="93">
        <f>_xlfn.NORM.S.INV(1-0.05/2)*SQRT(1/E40*C40*(1-C40))</f>
        <v>2.7822420746567593E-2</v>
      </c>
      <c r="H40" s="93">
        <f>C40-G40</f>
        <v>0.34953606981947016</v>
      </c>
      <c r="I40" s="93">
        <f>C40+G40</f>
        <v>0.40518091131260536</v>
      </c>
    </row>
    <row r="41" spans="2:10" x14ac:dyDescent="0.25">
      <c r="B41" s="116" t="str">
        <f>Parameters!B21</f>
        <v>Careful sex</v>
      </c>
      <c r="C41" s="216">
        <f t="shared" si="18"/>
        <v>0.69142066420664205</v>
      </c>
      <c r="D41" s="217">
        <v>1499</v>
      </c>
      <c r="E41" s="217">
        <v>2168</v>
      </c>
      <c r="F41" s="217">
        <v>17</v>
      </c>
      <c r="G41" s="93">
        <f t="shared" ref="G41:G45" si="19">_xlfn.NORM.S.INV(1-0.05/2)*SQRT(1/E41*C41*(1-C41))</f>
        <v>1.9443437549874262E-2</v>
      </c>
      <c r="H41" s="93">
        <f t="shared" ref="H41:H45" si="20">C41-G41</f>
        <v>0.67197722665676785</v>
      </c>
      <c r="I41" s="93">
        <f t="shared" ref="I41:I45" si="21">C41+G41</f>
        <v>0.71086410175651626</v>
      </c>
    </row>
    <row r="42" spans="2:10" x14ac:dyDescent="0.25">
      <c r="B42" s="116" t="str">
        <f>Parameters!B22</f>
        <v>Unsafe Sex</v>
      </c>
      <c r="C42" s="216">
        <f t="shared" si="18"/>
        <v>0.59420289855072461</v>
      </c>
      <c r="D42" s="217">
        <v>410</v>
      </c>
      <c r="E42" s="217">
        <v>690</v>
      </c>
      <c r="F42" s="217">
        <v>10</v>
      </c>
      <c r="G42" s="93">
        <f t="shared" si="19"/>
        <v>3.6639150770192835E-2</v>
      </c>
      <c r="H42" s="93">
        <f t="shared" si="20"/>
        <v>0.55756374778053175</v>
      </c>
      <c r="I42" s="93">
        <f t="shared" si="21"/>
        <v>0.63084204932091748</v>
      </c>
    </row>
    <row r="43" spans="2:10" x14ac:dyDescent="0.25">
      <c r="B43" s="150" t="str">
        <f>Parameters!B23</f>
        <v>Seeking Pregnancy</v>
      </c>
      <c r="C43" s="224">
        <f t="shared" si="18"/>
        <v>0.63485477178423233</v>
      </c>
      <c r="D43" s="223">
        <v>153</v>
      </c>
      <c r="E43" s="223">
        <v>241</v>
      </c>
      <c r="F43" s="223">
        <v>0</v>
      </c>
      <c r="G43" s="151">
        <f t="shared" si="19"/>
        <v>6.0786841601418395E-2</v>
      </c>
      <c r="H43" s="151">
        <f t="shared" si="20"/>
        <v>0.57406793018281399</v>
      </c>
      <c r="I43" s="151">
        <f t="shared" si="21"/>
        <v>0.69564161338565067</v>
      </c>
    </row>
    <row r="44" spans="2:10" s="114" customFormat="1" x14ac:dyDescent="0.25">
      <c r="B44" s="117" t="str">
        <f>Parameters!B24</f>
        <v>Pregnant</v>
      </c>
      <c r="C44" s="218">
        <f t="shared" si="18"/>
        <v>0.13360323886639677</v>
      </c>
      <c r="D44" s="219">
        <v>33</v>
      </c>
      <c r="E44" s="219">
        <v>247</v>
      </c>
      <c r="F44" s="219">
        <v>2</v>
      </c>
      <c r="G44" s="94">
        <f t="shared" si="19"/>
        <v>4.2429363593343185E-2</v>
      </c>
      <c r="H44" s="94">
        <f t="shared" si="20"/>
        <v>9.1173875273053595E-2</v>
      </c>
      <c r="I44" s="94">
        <f t="shared" si="21"/>
        <v>0.17603260245973995</v>
      </c>
      <c r="J44"/>
    </row>
    <row r="45" spans="2:10" x14ac:dyDescent="0.25">
      <c r="B45" s="121" t="s">
        <v>57</v>
      </c>
      <c r="C45" s="72">
        <f t="shared" ref="C45" si="22">D45/E45</f>
        <v>0.44464190510040874</v>
      </c>
      <c r="D45" s="68">
        <f>SUM(D40:D43)</f>
        <v>2502</v>
      </c>
      <c r="E45" s="68">
        <f>SUM(E39:E44)</f>
        <v>5627</v>
      </c>
      <c r="F45" s="68">
        <f>SUM(F39:F44)</f>
        <v>44</v>
      </c>
      <c r="G45" s="93">
        <f t="shared" si="19"/>
        <v>1.2983786986990448E-2</v>
      </c>
      <c r="H45" s="93">
        <f t="shared" si="20"/>
        <v>0.43165811811341831</v>
      </c>
      <c r="I45" s="93">
        <f t="shared" si="21"/>
        <v>0.45762569208739917</v>
      </c>
    </row>
    <row r="47" spans="2:10" x14ac:dyDescent="0.25">
      <c r="F47">
        <f>SUM(E45:F45)</f>
        <v>5671</v>
      </c>
    </row>
    <row r="48" spans="2:10" x14ac:dyDescent="0.25">
      <c r="B48" s="112" t="s">
        <v>119</v>
      </c>
      <c r="C48" s="112"/>
      <c r="D48" s="112"/>
      <c r="E48" s="112"/>
      <c r="F48" s="112"/>
      <c r="G48" s="112"/>
      <c r="H48" s="114"/>
      <c r="I48" s="114"/>
    </row>
    <row r="49" spans="2:9" ht="75" x14ac:dyDescent="0.25">
      <c r="B49" s="95" t="s">
        <v>71</v>
      </c>
      <c r="C49" s="95" t="s">
        <v>90</v>
      </c>
      <c r="D49" s="95" t="s">
        <v>93</v>
      </c>
      <c r="E49" s="95" t="s">
        <v>89</v>
      </c>
      <c r="F49" s="95" t="s">
        <v>73</v>
      </c>
      <c r="G49" s="95" t="s">
        <v>79</v>
      </c>
      <c r="H49" s="95" t="s">
        <v>65</v>
      </c>
      <c r="I49" s="95" t="s">
        <v>66</v>
      </c>
    </row>
    <row r="50" spans="2:9" x14ac:dyDescent="0.25">
      <c r="B50" s="116" t="str">
        <f t="shared" ref="B50:B55" si="23">B28</f>
        <v>15-19</v>
      </c>
      <c r="C50" s="216">
        <f>D50/E50</f>
        <v>0.34583333333333333</v>
      </c>
      <c r="D50" s="217">
        <v>332</v>
      </c>
      <c r="E50" s="217">
        <v>960</v>
      </c>
      <c r="F50" s="217">
        <v>8</v>
      </c>
      <c r="G50" s="93">
        <f>_xlfn.NORM.S.INV(1-0.05/2)*SQRT(1/E50*C50*(1-C50))</f>
        <v>3.0087777248906634E-2</v>
      </c>
      <c r="H50" s="93">
        <f>C50-G50</f>
        <v>0.31574555608442667</v>
      </c>
      <c r="I50" s="93">
        <f>C50+G50</f>
        <v>0.37592111058223998</v>
      </c>
    </row>
    <row r="51" spans="2:9" s="114" customFormat="1" x14ac:dyDescent="0.25">
      <c r="B51" s="116" t="str">
        <f t="shared" si="23"/>
        <v>20- 24</v>
      </c>
      <c r="C51" s="216">
        <f t="shared" ref="C51:C55" si="24">D51/E51</f>
        <v>0.68446026097271651</v>
      </c>
      <c r="D51" s="217">
        <v>577</v>
      </c>
      <c r="E51" s="217">
        <v>843</v>
      </c>
      <c r="F51" s="217">
        <v>9</v>
      </c>
      <c r="G51" s="93">
        <f t="shared" ref="G51:G55" si="25">_xlfn.NORM.S.INV(1-0.05/2)*SQRT(1/E51*C51*(1-C51))</f>
        <v>3.1371512235473548E-2</v>
      </c>
      <c r="H51" s="93">
        <f t="shared" ref="H51:H55" si="26">C51-G51</f>
        <v>0.65308874873724299</v>
      </c>
      <c r="I51" s="93">
        <f t="shared" ref="I51:I55" si="27">C51+G51</f>
        <v>0.71583177320819003</v>
      </c>
    </row>
    <row r="52" spans="2:9" s="114" customFormat="1" x14ac:dyDescent="0.25">
      <c r="B52" s="116" t="str">
        <f t="shared" si="23"/>
        <v>25- 29</v>
      </c>
      <c r="C52" s="216">
        <f t="shared" si="24"/>
        <v>0.67264038231780165</v>
      </c>
      <c r="D52" s="217">
        <v>563</v>
      </c>
      <c r="E52" s="217">
        <v>837</v>
      </c>
      <c r="F52" s="217">
        <v>6</v>
      </c>
      <c r="G52" s="93">
        <f>_xlfn.NORM.S.INV(1-0.05/2)*SQRT(1/E52*C52*(1-C52))</f>
        <v>3.1789916183487428E-2</v>
      </c>
      <c r="H52" s="93">
        <f t="shared" si="26"/>
        <v>0.64085046613431418</v>
      </c>
      <c r="I52" s="93">
        <f t="shared" si="27"/>
        <v>0.70443029850128913</v>
      </c>
    </row>
    <row r="53" spans="2:9" x14ac:dyDescent="0.25">
      <c r="B53" s="116" t="str">
        <f t="shared" si="23"/>
        <v>30 - 34</v>
      </c>
      <c r="C53" s="216">
        <f t="shared" si="24"/>
        <v>0.66204986149584488</v>
      </c>
      <c r="D53" s="217">
        <v>478</v>
      </c>
      <c r="E53" s="217">
        <v>722</v>
      </c>
      <c r="F53" s="217">
        <v>5</v>
      </c>
      <c r="G53" s="93">
        <f t="shared" si="25"/>
        <v>3.4502546999133986E-2</v>
      </c>
      <c r="H53" s="93">
        <f t="shared" si="26"/>
        <v>0.62754731449671086</v>
      </c>
      <c r="I53" s="93">
        <f t="shared" si="27"/>
        <v>0.6965524084949789</v>
      </c>
    </row>
    <row r="54" spans="2:9" x14ac:dyDescent="0.25">
      <c r="B54" s="116" t="str">
        <f t="shared" si="23"/>
        <v>35- 39</v>
      </c>
      <c r="C54" s="216">
        <f t="shared" si="24"/>
        <v>0.60943396226415092</v>
      </c>
      <c r="D54" s="217">
        <v>323</v>
      </c>
      <c r="E54" s="217">
        <v>530</v>
      </c>
      <c r="F54" s="217">
        <v>5</v>
      </c>
      <c r="G54" s="93">
        <f t="shared" si="25"/>
        <v>4.1535622197082692E-2</v>
      </c>
      <c r="H54" s="93">
        <f t="shared" si="26"/>
        <v>0.56789834006706819</v>
      </c>
      <c r="I54" s="93">
        <f t="shared" si="27"/>
        <v>0.65096958446123365</v>
      </c>
    </row>
    <row r="55" spans="2:9" x14ac:dyDescent="0.25">
      <c r="B55" s="117" t="str">
        <f t="shared" si="23"/>
        <v>40 - 44</v>
      </c>
      <c r="C55" s="218">
        <f t="shared" si="24"/>
        <v>0.6202185792349727</v>
      </c>
      <c r="D55" s="219">
        <v>227</v>
      </c>
      <c r="E55" s="219">
        <v>366</v>
      </c>
      <c r="F55" s="219">
        <v>3</v>
      </c>
      <c r="G55" s="94">
        <f t="shared" si="25"/>
        <v>4.9721794197592699E-2</v>
      </c>
      <c r="H55" s="94">
        <f t="shared" si="26"/>
        <v>0.57049678503737999</v>
      </c>
      <c r="I55" s="94">
        <f t="shared" si="27"/>
        <v>0.66994037343256541</v>
      </c>
    </row>
    <row r="56" spans="2:9" x14ac:dyDescent="0.25">
      <c r="B56" s="121" t="s">
        <v>57</v>
      </c>
      <c r="C56" s="72">
        <f>SUMPRODUCT(C50:C55,E50:E55)/SUM(E50:E55)</f>
        <v>0.58713010803193988</v>
      </c>
      <c r="D56" s="68">
        <f>SUM(D50:D55)</f>
        <v>2500</v>
      </c>
      <c r="E56" s="68">
        <f>SUM(E50:E55)</f>
        <v>4258</v>
      </c>
      <c r="F56" s="68">
        <f>SUM(F50:F55)</f>
        <v>36</v>
      </c>
      <c r="G56" s="93">
        <f t="shared" ref="G56" si="28">_xlfn.NORM.S.INV(1-0.05/2)*SQRT(1/E56*C56*(1-C56))</f>
        <v>1.4788326997605248E-2</v>
      </c>
      <c r="H56" s="93">
        <f t="shared" ref="H56" si="29">C56-G56</f>
        <v>0.57234178103433464</v>
      </c>
      <c r="I56" s="93">
        <f t="shared" ref="I56" si="30">C56+G56</f>
        <v>0.60191843502954512</v>
      </c>
    </row>
    <row r="59" spans="2:9" x14ac:dyDescent="0.25">
      <c r="B59" s="112" t="s">
        <v>94</v>
      </c>
      <c r="C59" s="112"/>
      <c r="D59" s="112"/>
      <c r="E59" s="112"/>
      <c r="F59" s="112"/>
      <c r="G59" s="112"/>
      <c r="H59" s="114"/>
      <c r="I59" s="114"/>
    </row>
    <row r="60" spans="2:9" ht="75" x14ac:dyDescent="0.25">
      <c r="B60" s="95" t="s">
        <v>71</v>
      </c>
      <c r="C60" s="95" t="s">
        <v>90</v>
      </c>
      <c r="D60" s="95" t="s">
        <v>93</v>
      </c>
      <c r="E60" s="95" t="s">
        <v>89</v>
      </c>
      <c r="F60" s="95" t="s">
        <v>73</v>
      </c>
      <c r="G60" s="95" t="s">
        <v>79</v>
      </c>
      <c r="H60" s="95" t="s">
        <v>65</v>
      </c>
      <c r="I60" s="95" t="s">
        <v>66</v>
      </c>
    </row>
    <row r="61" spans="2:9" x14ac:dyDescent="0.25">
      <c r="B61" s="116" t="str">
        <f>B50</f>
        <v>15-19</v>
      </c>
      <c r="C61" s="216">
        <f>D61/E61</f>
        <v>1.5495867768595042E-2</v>
      </c>
      <c r="D61" s="217">
        <v>15</v>
      </c>
      <c r="E61" s="217">
        <v>968</v>
      </c>
      <c r="F61" s="217">
        <v>0</v>
      </c>
      <c r="G61" s="93">
        <f>_xlfn.NORM.S.INV(1-0.05/2)*SQRT(1/E61*C61*(1-C61))</f>
        <v>7.7808516461419595E-3</v>
      </c>
      <c r="H61" s="93">
        <f>C61-G61</f>
        <v>7.7150161224530823E-3</v>
      </c>
      <c r="I61" s="93">
        <f>C61+G61</f>
        <v>2.3276719414737003E-2</v>
      </c>
    </row>
    <row r="62" spans="2:9" x14ac:dyDescent="0.25">
      <c r="B62" s="116" t="str">
        <f t="shared" ref="B62:B66" si="31">B51</f>
        <v>20- 24</v>
      </c>
      <c r="C62" s="216">
        <f t="shared" ref="C62:C66" si="32">D62/E62</f>
        <v>5.1643192488262914E-2</v>
      </c>
      <c r="D62" s="217">
        <v>44</v>
      </c>
      <c r="E62" s="217">
        <v>852</v>
      </c>
      <c r="F62" s="217">
        <v>0</v>
      </c>
      <c r="G62" s="93">
        <f t="shared" ref="G62:G67" si="33">_xlfn.NORM.S.INV(1-0.05/2)*SQRT(1/E62*C62*(1-C62))</f>
        <v>1.4860065287659837E-2</v>
      </c>
      <c r="H62" s="93">
        <f t="shared" ref="H62:H67" si="34">C62-G62</f>
        <v>3.6783127200603075E-2</v>
      </c>
      <c r="I62" s="93">
        <f t="shared" ref="I62:I67" si="35">C62+G62</f>
        <v>6.6503257775922753E-2</v>
      </c>
    </row>
    <row r="63" spans="2:9" x14ac:dyDescent="0.25">
      <c r="B63" s="116" t="str">
        <f t="shared" si="31"/>
        <v>25- 29</v>
      </c>
      <c r="C63" s="216">
        <f t="shared" si="32"/>
        <v>8.0664294187425864E-2</v>
      </c>
      <c r="D63" s="217">
        <v>68</v>
      </c>
      <c r="E63" s="217">
        <v>843</v>
      </c>
      <c r="F63" s="217">
        <v>0</v>
      </c>
      <c r="G63" s="93">
        <f t="shared" si="33"/>
        <v>1.8382815850732381E-2</v>
      </c>
      <c r="H63" s="93">
        <f t="shared" si="34"/>
        <v>6.228147833669348E-2</v>
      </c>
      <c r="I63" s="93">
        <f t="shared" si="35"/>
        <v>9.9047110038158248E-2</v>
      </c>
    </row>
    <row r="64" spans="2:9" x14ac:dyDescent="0.25">
      <c r="B64" s="116" t="str">
        <f t="shared" si="31"/>
        <v>30 - 34</v>
      </c>
      <c r="C64" s="216">
        <f t="shared" si="32"/>
        <v>0.11966987620357634</v>
      </c>
      <c r="D64" s="217">
        <v>87</v>
      </c>
      <c r="E64" s="217">
        <v>727</v>
      </c>
      <c r="F64" s="217">
        <v>0</v>
      </c>
      <c r="G64" s="93">
        <f t="shared" si="33"/>
        <v>2.3593701905974349E-2</v>
      </c>
      <c r="H64" s="93">
        <f t="shared" si="34"/>
        <v>9.6076174297601999E-2</v>
      </c>
      <c r="I64" s="93">
        <f t="shared" si="35"/>
        <v>0.1432635781095507</v>
      </c>
    </row>
    <row r="65" spans="2:9" x14ac:dyDescent="0.25">
      <c r="B65" s="116" t="str">
        <f t="shared" si="31"/>
        <v>35- 39</v>
      </c>
      <c r="C65" s="216">
        <f t="shared" si="32"/>
        <v>0.10280373831775701</v>
      </c>
      <c r="D65" s="217">
        <v>55</v>
      </c>
      <c r="E65" s="217">
        <v>535</v>
      </c>
      <c r="F65" s="217">
        <v>0</v>
      </c>
      <c r="G65" s="93">
        <f t="shared" si="33"/>
        <v>2.5734716091490265E-2</v>
      </c>
      <c r="H65" s="93">
        <f t="shared" si="34"/>
        <v>7.7069022226266742E-2</v>
      </c>
      <c r="I65" s="93">
        <f t="shared" si="35"/>
        <v>0.12853845440924727</v>
      </c>
    </row>
    <row r="66" spans="2:9" x14ac:dyDescent="0.25">
      <c r="B66" s="117" t="str">
        <f t="shared" si="31"/>
        <v>40 - 44</v>
      </c>
      <c r="C66" s="218">
        <f t="shared" si="32"/>
        <v>0.13008130081300814</v>
      </c>
      <c r="D66" s="219">
        <v>48</v>
      </c>
      <c r="E66" s="219">
        <v>369</v>
      </c>
      <c r="F66" s="219">
        <v>0</v>
      </c>
      <c r="G66" s="94">
        <f t="shared" si="33"/>
        <v>3.4322718360082972E-2</v>
      </c>
      <c r="H66" s="94">
        <f t="shared" si="34"/>
        <v>9.5758582452925178E-2</v>
      </c>
      <c r="I66" s="94">
        <f t="shared" si="35"/>
        <v>0.16440401917309111</v>
      </c>
    </row>
    <row r="67" spans="2:9" x14ac:dyDescent="0.25">
      <c r="B67" s="121" t="s">
        <v>57</v>
      </c>
      <c r="C67" s="72">
        <f>SUMPRODUCT(C61:C66,E61:E66)/SUM(E61:E66)</f>
        <v>7.3823940381928271E-2</v>
      </c>
      <c r="D67" s="68">
        <f>SUM(D61:D66)</f>
        <v>317</v>
      </c>
      <c r="E67" s="68">
        <f>SUM(E61:E66)</f>
        <v>4294</v>
      </c>
      <c r="F67" s="68">
        <f>SUM(F61:F66)</f>
        <v>0</v>
      </c>
      <c r="G67" s="93">
        <f t="shared" si="33"/>
        <v>7.8210030899681492E-3</v>
      </c>
      <c r="H67" s="93">
        <f t="shared" si="34"/>
        <v>6.600293729196012E-2</v>
      </c>
      <c r="I67" s="93">
        <f t="shared" si="35"/>
        <v>8.1644943471896422E-2</v>
      </c>
    </row>
    <row r="71" spans="2:9" x14ac:dyDescent="0.25">
      <c r="B71" s="112" t="s">
        <v>95</v>
      </c>
      <c r="C71" s="27"/>
      <c r="D71" s="27"/>
      <c r="E71" s="129">
        <f>$C$80^2*($C$80+1)</f>
        <v>185128025700</v>
      </c>
      <c r="F71" s="27"/>
      <c r="G71" s="27"/>
    </row>
    <row r="72" spans="2:9" x14ac:dyDescent="0.25">
      <c r="B72" s="122" t="s">
        <v>96</v>
      </c>
      <c r="C72" s="123" t="s">
        <v>93</v>
      </c>
      <c r="D72" s="95" t="s">
        <v>90</v>
      </c>
      <c r="E72" s="95" t="s">
        <v>101</v>
      </c>
      <c r="F72" s="95" t="s">
        <v>65</v>
      </c>
      <c r="G72" s="95" t="s">
        <v>66</v>
      </c>
    </row>
    <row r="73" spans="2:9" x14ac:dyDescent="0.25">
      <c r="B73" s="23" t="s">
        <v>97</v>
      </c>
      <c r="C73" s="220">
        <v>1120</v>
      </c>
      <c r="D73" s="221">
        <f>C73/$C$80</f>
        <v>0.19652570626425689</v>
      </c>
      <c r="E73" s="222"/>
      <c r="F73" s="222"/>
      <c r="G73" s="222"/>
    </row>
    <row r="74" spans="2:9" x14ac:dyDescent="0.25">
      <c r="B74" s="23" t="s">
        <v>11</v>
      </c>
      <c r="C74" s="223">
        <v>1176</v>
      </c>
      <c r="D74" s="224">
        <f t="shared" ref="D74:D79" si="36">C74/$C$80</f>
        <v>0.20635199157746972</v>
      </c>
      <c r="E74" s="225"/>
      <c r="F74" s="225"/>
      <c r="G74" s="225"/>
    </row>
    <row r="75" spans="2:9" x14ac:dyDescent="0.25">
      <c r="B75" s="23" t="s">
        <v>51</v>
      </c>
      <c r="C75" s="223">
        <v>2185</v>
      </c>
      <c r="D75" s="224">
        <f t="shared" si="36"/>
        <v>0.38340059659589404</v>
      </c>
      <c r="E75" s="225"/>
      <c r="F75" s="225"/>
      <c r="G75" s="225"/>
    </row>
    <row r="76" spans="2:9" x14ac:dyDescent="0.25">
      <c r="B76" s="23" t="s">
        <v>52</v>
      </c>
      <c r="C76" s="223">
        <v>700</v>
      </c>
      <c r="D76" s="224">
        <f t="shared" si="36"/>
        <v>0.12282856641516056</v>
      </c>
      <c r="E76" s="225"/>
      <c r="F76" s="225"/>
      <c r="G76" s="225"/>
    </row>
    <row r="77" spans="2:9" x14ac:dyDescent="0.25">
      <c r="B77" s="23" t="s">
        <v>13</v>
      </c>
      <c r="C77" s="223">
        <v>241</v>
      </c>
      <c r="D77" s="224">
        <f t="shared" si="36"/>
        <v>4.228812072293385E-2</v>
      </c>
      <c r="E77" s="225"/>
      <c r="F77" s="225"/>
      <c r="G77" s="225"/>
    </row>
    <row r="78" spans="2:9" x14ac:dyDescent="0.25">
      <c r="B78" s="23" t="s">
        <v>58</v>
      </c>
      <c r="C78" s="223">
        <v>249</v>
      </c>
      <c r="D78" s="224">
        <f t="shared" si="36"/>
        <v>4.3691875767678537E-2</v>
      </c>
      <c r="E78" s="225"/>
      <c r="F78" s="225"/>
      <c r="G78" s="225"/>
    </row>
    <row r="79" spans="2:9" ht="60" x14ac:dyDescent="0.25">
      <c r="B79" s="153" t="s">
        <v>98</v>
      </c>
      <c r="C79" s="219">
        <v>28</v>
      </c>
      <c r="D79" s="218">
        <f t="shared" si="36"/>
        <v>4.9131426566064226E-3</v>
      </c>
      <c r="E79" s="226"/>
      <c r="F79" s="226"/>
      <c r="G79" s="226"/>
    </row>
    <row r="80" spans="2:9" x14ac:dyDescent="0.25">
      <c r="B80" s="121" t="s">
        <v>57</v>
      </c>
      <c r="C80" s="100">
        <f>SUM(C73:C79)</f>
        <v>5699</v>
      </c>
      <c r="D80" s="72">
        <f>SUM(D73:D79)</f>
        <v>1</v>
      </c>
    </row>
  </sheetData>
  <mergeCells count="2">
    <mergeCell ref="B14:G14"/>
    <mergeCell ref="B2:G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79998168889431442"/>
  </sheetPr>
  <dimension ref="A1:O53"/>
  <sheetViews>
    <sheetView workbookViewId="0">
      <selection activeCell="C27" sqref="C27"/>
    </sheetView>
  </sheetViews>
  <sheetFormatPr defaultRowHeight="15" x14ac:dyDescent="0.25"/>
  <cols>
    <col min="1" max="1" width="20.28515625" style="99" customWidth="1"/>
    <col min="2" max="2" width="18.85546875" customWidth="1"/>
    <col min="3" max="3" width="12.5703125" customWidth="1"/>
    <col min="4" max="4" width="18.140625" customWidth="1"/>
    <col min="5" max="5" width="15" customWidth="1"/>
    <col min="6" max="6" width="12.7109375" customWidth="1"/>
  </cols>
  <sheetData>
    <row r="1" spans="1:15" s="114" customFormat="1" x14ac:dyDescent="0.25"/>
    <row r="2" spans="1:15" x14ac:dyDescent="0.25">
      <c r="A2" s="49" t="s">
        <v>103</v>
      </c>
    </row>
    <row r="3" spans="1:15" x14ac:dyDescent="0.25">
      <c r="C3" s="168" t="s">
        <v>59</v>
      </c>
      <c r="D3" s="168" t="s">
        <v>60</v>
      </c>
      <c r="E3" s="168" t="s">
        <v>61</v>
      </c>
      <c r="F3" s="168" t="s">
        <v>62</v>
      </c>
    </row>
    <row r="4" spans="1:15" s="114" customFormat="1" x14ac:dyDescent="0.25">
      <c r="A4" s="114" t="s">
        <v>97</v>
      </c>
      <c r="B4" s="6" t="s">
        <v>16</v>
      </c>
      <c r="C4" s="100">
        <v>3.5833333000000001</v>
      </c>
      <c r="D4" s="100">
        <v>18.912966999999998</v>
      </c>
      <c r="E4" s="7">
        <f t="shared" ref="E4:E9" si="0">D4-1</f>
        <v>17.912966999999998</v>
      </c>
      <c r="F4" s="7">
        <f t="shared" ref="F4:F9" si="1">C4/E4</f>
        <v>0.20004130527343686</v>
      </c>
      <c r="H4"/>
      <c r="I4"/>
      <c r="J4"/>
      <c r="K4"/>
      <c r="L4"/>
      <c r="M4"/>
    </row>
    <row r="5" spans="1:15" s="114" customFormat="1" x14ac:dyDescent="0.25">
      <c r="B5" s="6" t="s">
        <v>17</v>
      </c>
      <c r="C5" s="100">
        <v>6.3870968000000001</v>
      </c>
      <c r="D5" s="100">
        <v>14.817126</v>
      </c>
      <c r="E5" s="7">
        <f t="shared" si="0"/>
        <v>13.817126</v>
      </c>
      <c r="F5" s="7">
        <f t="shared" si="1"/>
        <v>0.46225943079624521</v>
      </c>
      <c r="H5"/>
      <c r="I5"/>
      <c r="J5"/>
      <c r="K5"/>
      <c r="L5"/>
      <c r="M5"/>
    </row>
    <row r="6" spans="1:15" s="114" customFormat="1" x14ac:dyDescent="0.25">
      <c r="B6" s="6" t="s">
        <v>18</v>
      </c>
      <c r="C6" s="100">
        <v>6.5565217000000002</v>
      </c>
      <c r="D6" s="100">
        <v>13.521682</v>
      </c>
      <c r="E6" s="7">
        <f t="shared" si="0"/>
        <v>12.521682</v>
      </c>
      <c r="F6" s="7">
        <f t="shared" si="1"/>
        <v>0.52361349697269111</v>
      </c>
      <c r="H6"/>
      <c r="I6"/>
      <c r="J6"/>
      <c r="K6"/>
      <c r="L6"/>
      <c r="M6"/>
    </row>
    <row r="7" spans="1:15" s="114" customFormat="1" x14ac:dyDescent="0.25">
      <c r="B7" s="6" t="s">
        <v>41</v>
      </c>
      <c r="C7" s="100">
        <v>7.1618256999999996</v>
      </c>
      <c r="D7" s="100">
        <v>10.420786</v>
      </c>
      <c r="E7" s="7">
        <f t="shared" si="0"/>
        <v>9.4207859999999997</v>
      </c>
      <c r="F7" s="7">
        <f t="shared" si="1"/>
        <v>0.76021530475270316</v>
      </c>
      <c r="H7"/>
      <c r="I7"/>
      <c r="J7"/>
      <c r="K7"/>
      <c r="L7"/>
      <c r="M7"/>
      <c r="N7"/>
      <c r="O7"/>
    </row>
    <row r="8" spans="1:15" s="114" customFormat="1" x14ac:dyDescent="0.25">
      <c r="B8" s="6" t="s">
        <v>19</v>
      </c>
      <c r="C8" s="125">
        <v>5.9262820999999999</v>
      </c>
      <c r="D8" s="125">
        <v>9.7536287999999995</v>
      </c>
      <c r="E8" s="7">
        <f t="shared" si="0"/>
        <v>8.7536287999999995</v>
      </c>
      <c r="F8" s="7">
        <f t="shared" si="1"/>
        <v>0.67700861384480915</v>
      </c>
      <c r="H8"/>
      <c r="I8"/>
      <c r="J8"/>
      <c r="K8"/>
      <c r="L8"/>
      <c r="M8"/>
      <c r="N8"/>
      <c r="O8"/>
    </row>
    <row r="9" spans="1:15" s="114" customFormat="1" x14ac:dyDescent="0.25">
      <c r="A9" s="27"/>
      <c r="B9" s="27" t="s">
        <v>20</v>
      </c>
      <c r="C9" s="54">
        <v>5.2313432999999998</v>
      </c>
      <c r="D9" s="54">
        <v>8.5516453000000006</v>
      </c>
      <c r="E9" s="28">
        <f t="shared" si="0"/>
        <v>7.5516453000000006</v>
      </c>
      <c r="F9" s="28">
        <f t="shared" si="1"/>
        <v>0.69274218957291323</v>
      </c>
      <c r="H9"/>
      <c r="I9"/>
      <c r="J9"/>
      <c r="K9"/>
      <c r="L9"/>
      <c r="M9"/>
      <c r="N9"/>
      <c r="O9"/>
    </row>
    <row r="10" spans="1:15" x14ac:dyDescent="0.25">
      <c r="A10" s="6" t="s">
        <v>51</v>
      </c>
      <c r="B10" s="6" t="s">
        <v>16</v>
      </c>
      <c r="C10" s="7">
        <v>4.9159663</v>
      </c>
      <c r="D10" s="7">
        <v>7.6774937999999997</v>
      </c>
      <c r="E10" s="7">
        <f>D10-1</f>
        <v>6.6774937999999997</v>
      </c>
      <c r="F10" s="7">
        <f>C10/E10</f>
        <v>0.73619930579344006</v>
      </c>
    </row>
    <row r="11" spans="1:15" x14ac:dyDescent="0.25">
      <c r="A11" s="6"/>
      <c r="B11" s="6" t="s">
        <v>17</v>
      </c>
      <c r="C11" s="97">
        <v>7.0861057000000001</v>
      </c>
      <c r="D11" s="97">
        <v>8.4685372999999995</v>
      </c>
      <c r="E11" s="7">
        <f t="shared" ref="E11:E23" si="2">D11-1</f>
        <v>7.4685372999999995</v>
      </c>
      <c r="F11" s="7">
        <f t="shared" ref="F11:F23" si="3">C11/E11</f>
        <v>0.94879431076818754</v>
      </c>
    </row>
    <row r="12" spans="1:15" x14ac:dyDescent="0.25">
      <c r="A12" s="6"/>
      <c r="B12" s="6" t="s">
        <v>18</v>
      </c>
      <c r="C12" s="97">
        <v>6.6072797000000003</v>
      </c>
      <c r="D12" s="97">
        <v>6.7579789000000003</v>
      </c>
      <c r="E12" s="7">
        <f t="shared" si="2"/>
        <v>5.7579789000000003</v>
      </c>
      <c r="F12" s="7">
        <f t="shared" si="3"/>
        <v>1.1474998110882275</v>
      </c>
    </row>
    <row r="13" spans="1:15" x14ac:dyDescent="0.25">
      <c r="A13" s="6"/>
      <c r="B13" s="6" t="s">
        <v>41</v>
      </c>
      <c r="C13" s="97">
        <v>6.0186047</v>
      </c>
      <c r="D13" s="97">
        <v>7.0890725999999997</v>
      </c>
      <c r="E13" s="7">
        <f t="shared" si="2"/>
        <v>6.0890725999999997</v>
      </c>
      <c r="F13" s="7">
        <f t="shared" si="3"/>
        <v>0.98842715391503133</v>
      </c>
    </row>
    <row r="14" spans="1:15" x14ac:dyDescent="0.25">
      <c r="A14" s="6"/>
      <c r="B14" s="6" t="s">
        <v>19</v>
      </c>
      <c r="C14" s="97">
        <v>5.9523808999999996</v>
      </c>
      <c r="D14" s="97">
        <v>5.2743506</v>
      </c>
      <c r="E14" s="97">
        <f t="shared" si="2"/>
        <v>4.2743506</v>
      </c>
      <c r="F14" s="97">
        <f t="shared" si="3"/>
        <v>1.3925813432337533</v>
      </c>
    </row>
    <row r="15" spans="1:15" x14ac:dyDescent="0.25">
      <c r="A15" s="27"/>
      <c r="B15" s="27" t="s">
        <v>20</v>
      </c>
      <c r="C15" s="169">
        <v>4.9767441999999997</v>
      </c>
      <c r="D15" s="169">
        <v>4.3751724999999997</v>
      </c>
      <c r="E15" s="28">
        <f t="shared" si="2"/>
        <v>3.3751724999999997</v>
      </c>
      <c r="F15" s="28">
        <f t="shared" si="3"/>
        <v>1.4745155099480101</v>
      </c>
    </row>
    <row r="16" spans="1:15" x14ac:dyDescent="0.25">
      <c r="A16" s="103" t="s">
        <v>52</v>
      </c>
      <c r="B16" s="103" t="s">
        <v>16</v>
      </c>
      <c r="C16" s="97">
        <v>0.77981650000000002</v>
      </c>
      <c r="D16" s="97">
        <v>6.7858499999999999</v>
      </c>
      <c r="E16" s="7">
        <f t="shared" si="2"/>
        <v>5.7858499999999999</v>
      </c>
      <c r="F16" s="7">
        <f t="shared" si="3"/>
        <v>0.13477993726073093</v>
      </c>
    </row>
    <row r="17" spans="1:14" x14ac:dyDescent="0.25">
      <c r="A17" s="6"/>
      <c r="B17" s="6" t="s">
        <v>17</v>
      </c>
      <c r="C17" s="97">
        <v>3</v>
      </c>
      <c r="D17" s="97">
        <v>16.188761</v>
      </c>
      <c r="E17" s="7">
        <f t="shared" si="2"/>
        <v>15.188761</v>
      </c>
      <c r="F17" s="7">
        <f t="shared" si="3"/>
        <v>0.19751446480723478</v>
      </c>
    </row>
    <row r="18" spans="1:14" x14ac:dyDescent="0.25">
      <c r="A18" s="6"/>
      <c r="B18" s="6" t="s">
        <v>18</v>
      </c>
      <c r="C18" s="97">
        <v>2.9776118999999999</v>
      </c>
      <c r="D18" s="97">
        <v>14.571831</v>
      </c>
      <c r="E18" s="7">
        <f t="shared" si="2"/>
        <v>13.571831</v>
      </c>
      <c r="F18" s="7">
        <f t="shared" si="3"/>
        <v>0.21939647642237808</v>
      </c>
    </row>
    <row r="19" spans="1:14" x14ac:dyDescent="0.25">
      <c r="A19" s="6"/>
      <c r="B19" s="6" t="s">
        <v>41</v>
      </c>
      <c r="C19" s="97">
        <v>1.7876711999999999</v>
      </c>
      <c r="D19" s="97">
        <v>7.5164344999999999</v>
      </c>
      <c r="E19" s="7">
        <f t="shared" si="2"/>
        <v>6.5164344999999999</v>
      </c>
      <c r="F19" s="7">
        <f t="shared" si="3"/>
        <v>0.27433271983321555</v>
      </c>
    </row>
    <row r="20" spans="1:14" x14ac:dyDescent="0.25">
      <c r="A20" s="6"/>
      <c r="B20" s="6" t="s">
        <v>19</v>
      </c>
      <c r="C20" s="97">
        <v>1.8543689000000001</v>
      </c>
      <c r="D20" s="97">
        <v>6.2599292000000002</v>
      </c>
      <c r="E20" s="7">
        <f t="shared" si="2"/>
        <v>5.2599292000000002</v>
      </c>
      <c r="F20" s="7">
        <f t="shared" si="3"/>
        <v>0.35254636127041405</v>
      </c>
      <c r="I20" s="51"/>
    </row>
    <row r="21" spans="1:14" x14ac:dyDescent="0.25">
      <c r="A21" s="27"/>
      <c r="B21" s="27" t="s">
        <v>20</v>
      </c>
      <c r="C21" s="169">
        <v>2.3943661999999999</v>
      </c>
      <c r="D21" s="169">
        <v>6.8252490999999997</v>
      </c>
      <c r="E21" s="28">
        <f t="shared" si="2"/>
        <v>5.8252490999999997</v>
      </c>
      <c r="F21" s="28">
        <f t="shared" si="3"/>
        <v>0.41103241404732377</v>
      </c>
    </row>
    <row r="22" spans="1:14" x14ac:dyDescent="0.25">
      <c r="A22" s="104" t="s">
        <v>13</v>
      </c>
      <c r="B22" s="105"/>
      <c r="C22" s="45">
        <v>8.6540084000000004</v>
      </c>
      <c r="D22" s="45">
        <v>10.528026000000001</v>
      </c>
      <c r="E22" s="175">
        <f t="shared" si="2"/>
        <v>9.5280260000000006</v>
      </c>
      <c r="F22" s="175">
        <f t="shared" si="3"/>
        <v>0.90826876417003899</v>
      </c>
    </row>
    <row r="23" spans="1:14" x14ac:dyDescent="0.25">
      <c r="A23" s="106" t="s">
        <v>58</v>
      </c>
      <c r="B23" s="27"/>
      <c r="C23" s="169">
        <v>4.2213114999999997</v>
      </c>
      <c r="D23" s="174">
        <v>7.4150431000000001</v>
      </c>
      <c r="E23" s="175">
        <f t="shared" si="2"/>
        <v>6.4150431000000001</v>
      </c>
      <c r="F23" s="175">
        <f t="shared" si="3"/>
        <v>0.65803322506126261</v>
      </c>
    </row>
    <row r="24" spans="1:14" ht="15.75" customHeight="1" x14ac:dyDescent="0.25"/>
    <row r="25" spans="1:14" x14ac:dyDescent="0.25">
      <c r="A25" s="170" t="s">
        <v>104</v>
      </c>
      <c r="B25" s="51"/>
      <c r="C25" s="51"/>
      <c r="D25" s="51"/>
      <c r="E25" s="51"/>
      <c r="F25" s="51"/>
    </row>
    <row r="26" spans="1:14" x14ac:dyDescent="0.25">
      <c r="A26" s="51"/>
      <c r="B26" s="51"/>
      <c r="C26" s="167" t="s">
        <v>59</v>
      </c>
      <c r="D26" s="167" t="s">
        <v>60</v>
      </c>
      <c r="E26" s="167" t="s">
        <v>61</v>
      </c>
      <c r="F26" s="167" t="s">
        <v>62</v>
      </c>
    </row>
    <row r="27" spans="1:14" s="114" customFormat="1" x14ac:dyDescent="0.25">
      <c r="A27" s="19" t="s">
        <v>97</v>
      </c>
      <c r="B27" s="97" t="s">
        <v>16</v>
      </c>
      <c r="C27" s="79">
        <v>2.0833333000000001</v>
      </c>
      <c r="D27" s="79">
        <v>23.194682</v>
      </c>
      <c r="E27" s="155">
        <f t="shared" ref="E27:E32" si="4">D27-1</f>
        <v>22.194682</v>
      </c>
      <c r="F27" s="97">
        <f t="shared" ref="F27:F32" si="5">C27/E27</f>
        <v>9.3866327978927563E-2</v>
      </c>
      <c r="H27"/>
      <c r="I27"/>
      <c r="J27"/>
      <c r="K27"/>
      <c r="L27"/>
      <c r="M27"/>
      <c r="N27"/>
    </row>
    <row r="28" spans="1:14" s="114" customFormat="1" x14ac:dyDescent="0.25">
      <c r="A28" s="19"/>
      <c r="B28" s="97" t="s">
        <v>17</v>
      </c>
      <c r="C28" s="79">
        <v>3.8387096999999999</v>
      </c>
      <c r="D28" s="79">
        <v>12.850759</v>
      </c>
      <c r="E28" s="155">
        <f t="shared" si="4"/>
        <v>11.850759</v>
      </c>
      <c r="F28" s="97">
        <f t="shared" si="5"/>
        <v>0.32392099949041236</v>
      </c>
      <c r="H28"/>
      <c r="I28"/>
      <c r="J28"/>
      <c r="K28"/>
      <c r="L28"/>
      <c r="M28"/>
      <c r="N28"/>
    </row>
    <row r="29" spans="1:14" s="114" customFormat="1" x14ac:dyDescent="0.25">
      <c r="A29" s="19"/>
      <c r="B29" s="97" t="s">
        <v>18</v>
      </c>
      <c r="C29" s="79">
        <v>3.6034483000000002</v>
      </c>
      <c r="D29" s="79">
        <v>10.402309000000001</v>
      </c>
      <c r="E29" s="155">
        <f t="shared" si="4"/>
        <v>9.4023090000000007</v>
      </c>
      <c r="F29" s="97">
        <f t="shared" si="5"/>
        <v>0.38325142260268197</v>
      </c>
      <c r="H29"/>
      <c r="I29"/>
      <c r="J29"/>
      <c r="K29"/>
      <c r="L29"/>
      <c r="M29"/>
      <c r="N29"/>
    </row>
    <row r="30" spans="1:14" s="114" customFormat="1" x14ac:dyDescent="0.25">
      <c r="A30" s="19"/>
      <c r="B30" s="97" t="s">
        <v>41</v>
      </c>
      <c r="C30" s="79">
        <v>3.677686</v>
      </c>
      <c r="D30" s="79">
        <v>10.533436</v>
      </c>
      <c r="E30" s="155">
        <f t="shared" si="4"/>
        <v>9.533436</v>
      </c>
      <c r="F30" s="97">
        <f t="shared" si="5"/>
        <v>0.38576710432628908</v>
      </c>
      <c r="H30"/>
      <c r="I30"/>
      <c r="J30"/>
      <c r="K30"/>
      <c r="L30"/>
      <c r="M30"/>
      <c r="N30"/>
    </row>
    <row r="31" spans="1:14" s="114" customFormat="1" x14ac:dyDescent="0.25">
      <c r="A31" s="19"/>
      <c r="B31" s="97" t="s">
        <v>19</v>
      </c>
      <c r="C31" s="79">
        <v>3.8076922999999998</v>
      </c>
      <c r="D31" s="79">
        <v>11.07202</v>
      </c>
      <c r="E31" s="155">
        <f t="shared" si="4"/>
        <v>10.07202</v>
      </c>
      <c r="F31" s="97">
        <f t="shared" si="5"/>
        <v>0.37804653882736527</v>
      </c>
      <c r="H31"/>
      <c r="I31"/>
      <c r="J31"/>
      <c r="K31"/>
      <c r="L31"/>
      <c r="M31"/>
      <c r="N31"/>
    </row>
    <row r="32" spans="1:14" s="114" customFormat="1" x14ac:dyDescent="0.25">
      <c r="A32" s="52"/>
      <c r="B32" s="169" t="s">
        <v>20</v>
      </c>
      <c r="C32" s="109">
        <v>4.3855721000000001</v>
      </c>
      <c r="D32" s="109">
        <v>11.193866</v>
      </c>
      <c r="E32" s="169">
        <f t="shared" si="4"/>
        <v>10.193866</v>
      </c>
      <c r="F32" s="169">
        <f t="shared" si="5"/>
        <v>0.43021676957495814</v>
      </c>
      <c r="H32"/>
      <c r="I32"/>
      <c r="J32"/>
      <c r="K32"/>
      <c r="L32"/>
      <c r="M32"/>
      <c r="N32"/>
    </row>
    <row r="33" spans="1:14" x14ac:dyDescent="0.25">
      <c r="A33" s="19" t="s">
        <v>11</v>
      </c>
      <c r="B33" s="79" t="s">
        <v>16</v>
      </c>
      <c r="C33" s="155">
        <v>0.60162599999999999</v>
      </c>
      <c r="D33" s="155">
        <v>4.7767707000000001</v>
      </c>
      <c r="E33" s="155">
        <f>D33-1</f>
        <v>3.7767707000000001</v>
      </c>
      <c r="F33" s="97">
        <f>C33/E33</f>
        <v>0.15929640631876327</v>
      </c>
    </row>
    <row r="34" spans="1:14" x14ac:dyDescent="0.25">
      <c r="A34" s="19"/>
      <c r="B34" s="79" t="s">
        <v>17</v>
      </c>
      <c r="C34" s="155">
        <v>2.9488636000000001</v>
      </c>
      <c r="D34" s="155">
        <v>8.5440939999999994</v>
      </c>
      <c r="E34" s="155">
        <f t="shared" ref="E34:E52" si="6">D34-1</f>
        <v>7.5440939999999994</v>
      </c>
      <c r="F34" s="97">
        <f t="shared" ref="F34:F52" si="7">C34/E34</f>
        <v>0.39088372970962454</v>
      </c>
    </row>
    <row r="35" spans="1:14" x14ac:dyDescent="0.25">
      <c r="A35" s="19"/>
      <c r="B35" s="79" t="s">
        <v>18</v>
      </c>
      <c r="C35" s="155">
        <v>3.3969466000000001</v>
      </c>
      <c r="D35" s="155">
        <v>9.6615032999999997</v>
      </c>
      <c r="E35" s="155">
        <f t="shared" si="6"/>
        <v>8.6615032999999997</v>
      </c>
      <c r="F35" s="97">
        <f t="shared" si="7"/>
        <v>0.39218903258975846</v>
      </c>
    </row>
    <row r="36" spans="1:14" x14ac:dyDescent="0.25">
      <c r="A36" s="19"/>
      <c r="B36" s="79" t="s">
        <v>41</v>
      </c>
      <c r="C36" s="155">
        <v>4.8</v>
      </c>
      <c r="D36" s="155">
        <v>15.816611999999999</v>
      </c>
      <c r="E36" s="155">
        <f t="shared" si="6"/>
        <v>14.816611999999999</v>
      </c>
      <c r="F36" s="97">
        <f t="shared" si="7"/>
        <v>0.32396070032744329</v>
      </c>
    </row>
    <row r="37" spans="1:14" s="114" customFormat="1" x14ac:dyDescent="0.25">
      <c r="A37" s="19"/>
      <c r="B37" s="79" t="s">
        <v>19</v>
      </c>
      <c r="C37" s="155">
        <v>4.5813952999999996</v>
      </c>
      <c r="D37" s="155">
        <v>14.971477</v>
      </c>
      <c r="E37" s="155">
        <f t="shared" si="6"/>
        <v>13.971477</v>
      </c>
      <c r="F37" s="97">
        <f t="shared" si="7"/>
        <v>0.32791059241624915</v>
      </c>
      <c r="I37"/>
      <c r="J37"/>
      <c r="K37"/>
      <c r="L37"/>
      <c r="M37"/>
      <c r="N37"/>
    </row>
    <row r="38" spans="1:14" x14ac:dyDescent="0.25">
      <c r="A38" s="52"/>
      <c r="B38" s="109" t="s">
        <v>20</v>
      </c>
      <c r="C38" s="169">
        <v>4.3205128000000004</v>
      </c>
      <c r="D38" s="169">
        <v>18.192360000000001</v>
      </c>
      <c r="E38" s="169">
        <f t="shared" si="6"/>
        <v>17.192360000000001</v>
      </c>
      <c r="F38" s="169">
        <f t="shared" si="7"/>
        <v>0.25130423048377304</v>
      </c>
    </row>
    <row r="39" spans="1:14" x14ac:dyDescent="0.25">
      <c r="A39" s="19" t="s">
        <v>51</v>
      </c>
      <c r="B39" s="79" t="s">
        <v>16</v>
      </c>
      <c r="C39" s="155">
        <v>3.3502109999999998</v>
      </c>
      <c r="D39" s="155">
        <v>8.7424090000000003</v>
      </c>
      <c r="E39" s="97">
        <f t="shared" si="6"/>
        <v>7.7424090000000003</v>
      </c>
      <c r="F39" s="97">
        <f t="shared" si="7"/>
        <v>0.43270912192833</v>
      </c>
    </row>
    <row r="40" spans="1:14" x14ac:dyDescent="0.25">
      <c r="A40" s="51"/>
      <c r="B40" s="79" t="s">
        <v>17</v>
      </c>
      <c r="C40" s="155">
        <v>5.0489236999999996</v>
      </c>
      <c r="D40" s="155">
        <v>8.2676183000000005</v>
      </c>
      <c r="E40" s="97">
        <f t="shared" si="6"/>
        <v>7.2676183000000005</v>
      </c>
      <c r="F40" s="97">
        <f t="shared" si="7"/>
        <v>0.69471503477280849</v>
      </c>
    </row>
    <row r="41" spans="1:14" x14ac:dyDescent="0.25">
      <c r="A41" s="51"/>
      <c r="B41" s="79" t="s">
        <v>18</v>
      </c>
      <c r="C41" s="155">
        <v>5.2057691999999998</v>
      </c>
      <c r="D41" s="155">
        <v>10.557308000000001</v>
      </c>
      <c r="E41" s="97">
        <f t="shared" si="6"/>
        <v>9.5573080000000008</v>
      </c>
      <c r="F41" s="97">
        <f t="shared" si="7"/>
        <v>0.54468990640460679</v>
      </c>
    </row>
    <row r="42" spans="1:14" x14ac:dyDescent="0.25">
      <c r="A42" s="51"/>
      <c r="B42" s="79" t="s">
        <v>41</v>
      </c>
      <c r="C42" s="155">
        <v>5.0578703999999997</v>
      </c>
      <c r="D42" s="155">
        <v>10.367089999999999</v>
      </c>
      <c r="E42" s="97">
        <f t="shared" si="6"/>
        <v>9.3670899999999993</v>
      </c>
      <c r="F42" s="97">
        <f t="shared" si="7"/>
        <v>0.53996175973541405</v>
      </c>
    </row>
    <row r="43" spans="1:14" s="114" customFormat="1" x14ac:dyDescent="0.25">
      <c r="A43" s="51"/>
      <c r="B43" s="79" t="s">
        <v>19</v>
      </c>
      <c r="C43" s="155">
        <v>5.0782312999999997</v>
      </c>
      <c r="D43" s="155">
        <v>12.723996</v>
      </c>
      <c r="E43" s="97">
        <f t="shared" si="6"/>
        <v>11.723996</v>
      </c>
      <c r="F43" s="97">
        <f t="shared" si="7"/>
        <v>0.43314850158597801</v>
      </c>
    </row>
    <row r="44" spans="1:14" x14ac:dyDescent="0.25">
      <c r="A44" s="52"/>
      <c r="B44" s="109" t="s">
        <v>20</v>
      </c>
      <c r="C44" s="169">
        <v>4.3448276000000003</v>
      </c>
      <c r="D44" s="97">
        <v>10.822253</v>
      </c>
      <c r="E44" s="97">
        <f t="shared" si="6"/>
        <v>9.8222529999999999</v>
      </c>
      <c r="F44" s="97">
        <f t="shared" si="7"/>
        <v>0.44234531527542614</v>
      </c>
    </row>
    <row r="45" spans="1:14" x14ac:dyDescent="0.25">
      <c r="A45" s="134" t="s">
        <v>52</v>
      </c>
      <c r="B45" s="79" t="s">
        <v>16</v>
      </c>
      <c r="C45" s="155">
        <v>2.6238532000000001</v>
      </c>
      <c r="D45" s="171">
        <v>9.1872067000000008</v>
      </c>
      <c r="E45" s="171">
        <f t="shared" si="6"/>
        <v>8.1872067000000008</v>
      </c>
      <c r="F45" s="171">
        <f t="shared" si="7"/>
        <v>0.32048210044580894</v>
      </c>
    </row>
    <row r="46" spans="1:14" x14ac:dyDescent="0.25">
      <c r="A46" s="51"/>
      <c r="B46" s="79" t="s">
        <v>17</v>
      </c>
      <c r="C46" s="155">
        <v>4.5789473999999997</v>
      </c>
      <c r="D46" s="155">
        <v>12.379429</v>
      </c>
      <c r="E46" s="97">
        <f t="shared" si="6"/>
        <v>11.379429</v>
      </c>
      <c r="F46" s="97">
        <f t="shared" si="7"/>
        <v>0.40238815146172974</v>
      </c>
    </row>
    <row r="47" spans="1:14" s="114" customFormat="1" x14ac:dyDescent="0.25">
      <c r="A47" s="51"/>
      <c r="B47" s="79" t="s">
        <v>18</v>
      </c>
      <c r="C47" s="155">
        <v>4.4166667000000004</v>
      </c>
      <c r="D47" s="155">
        <v>10.098144</v>
      </c>
      <c r="E47" s="97">
        <f t="shared" si="6"/>
        <v>9.0981439999999996</v>
      </c>
      <c r="F47" s="97">
        <f t="shared" si="7"/>
        <v>0.48544699886042697</v>
      </c>
    </row>
    <row r="48" spans="1:14" x14ac:dyDescent="0.25">
      <c r="A48" s="51"/>
      <c r="B48" s="79" t="s">
        <v>41</v>
      </c>
      <c r="C48" s="155">
        <v>4.2042254000000003</v>
      </c>
      <c r="D48" s="155">
        <v>13.541912</v>
      </c>
      <c r="E48" s="97">
        <f t="shared" si="6"/>
        <v>12.541912</v>
      </c>
      <c r="F48" s="19">
        <f t="shared" si="7"/>
        <v>0.3352140726230578</v>
      </c>
    </row>
    <row r="49" spans="1:6" x14ac:dyDescent="0.25">
      <c r="A49" s="51"/>
      <c r="B49" s="79" t="s">
        <v>19</v>
      </c>
      <c r="C49" s="155">
        <v>4.4077669999999998</v>
      </c>
      <c r="D49" s="97">
        <v>16.335581000000001</v>
      </c>
      <c r="E49" s="97">
        <f t="shared" si="6"/>
        <v>15.335581000000001</v>
      </c>
      <c r="F49" s="97">
        <f t="shared" si="7"/>
        <v>0.28742093305757371</v>
      </c>
    </row>
    <row r="50" spans="1:6" x14ac:dyDescent="0.25">
      <c r="A50" s="52"/>
      <c r="B50" s="109" t="s">
        <v>20</v>
      </c>
      <c r="C50" s="169">
        <v>6</v>
      </c>
      <c r="D50" s="169">
        <v>13.979704999999999</v>
      </c>
      <c r="E50" s="169">
        <f t="shared" si="6"/>
        <v>12.979704999999999</v>
      </c>
      <c r="F50" s="169">
        <f t="shared" si="7"/>
        <v>0.46226012070382189</v>
      </c>
    </row>
    <row r="51" spans="1:6" x14ac:dyDescent="0.25">
      <c r="A51" s="172" t="s">
        <v>13</v>
      </c>
      <c r="B51" s="173"/>
      <c r="C51" s="174">
        <v>4.0539418999999999</v>
      </c>
      <c r="D51" s="174">
        <v>9.9255326999999998</v>
      </c>
      <c r="E51" s="169">
        <f t="shared" si="6"/>
        <v>8.9255326999999998</v>
      </c>
      <c r="F51" s="169">
        <f t="shared" si="7"/>
        <v>0.45419607280134661</v>
      </c>
    </row>
    <row r="52" spans="1:6" x14ac:dyDescent="0.25">
      <c r="A52" s="173" t="s">
        <v>58</v>
      </c>
      <c r="B52" s="173"/>
      <c r="C52" s="174">
        <v>0.66396759999999999</v>
      </c>
      <c r="D52" s="174">
        <v>12.752281999999999</v>
      </c>
      <c r="E52" s="169">
        <f t="shared" si="6"/>
        <v>11.752281999999999</v>
      </c>
      <c r="F52" s="169">
        <f t="shared" si="7"/>
        <v>5.6496908430209554E-2</v>
      </c>
    </row>
    <row r="53" spans="1:6" x14ac:dyDescent="0.25">
      <c r="A53" s="51"/>
      <c r="B53" s="51"/>
      <c r="C53" s="51"/>
      <c r="D53" s="155"/>
      <c r="E53" s="51"/>
      <c r="F53" s="5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Settings</vt:lpstr>
      <vt:lpstr>Parameters</vt:lpstr>
      <vt:lpstr>Age group transition</vt:lpstr>
      <vt:lpstr>Outcomes</vt:lpstr>
      <vt:lpstr>Scenario Analysis</vt:lpstr>
      <vt:lpstr>Debugging</vt:lpstr>
      <vt:lpstr>Support</vt:lpstr>
      <vt:lpstr>Gamma.Poisson.Calc</vt:lpstr>
      <vt:lpstr>alpha</vt:lpstr>
      <vt:lpstr>averageNumOfSexualEncounters</vt:lpstr>
      <vt:lpstr>baseAEPAccess</vt:lpstr>
      <vt:lpstr>baseAEPComplience</vt:lpstr>
      <vt:lpstr>baseAEPRiskAccess</vt:lpstr>
      <vt:lpstr>baseAEPRiskComplience</vt:lpstr>
      <vt:lpstr>CDCComplianceLevel</vt:lpstr>
      <vt:lpstr>contraceptionData</vt:lpstr>
      <vt:lpstr>deltaT</vt:lpstr>
      <vt:lpstr>effAdjustingFactor</vt:lpstr>
      <vt:lpstr>monthlyDrinks_alpha</vt:lpstr>
      <vt:lpstr>monthlyDrinks_beta</vt:lpstr>
      <vt:lpstr>monthlySexes_alpha</vt:lpstr>
      <vt:lpstr>monthlySexes_beta</vt:lpstr>
      <vt:lpstr>Nonagespecific_AEPest</vt:lpstr>
      <vt:lpstr>percent_contraceptionDecrease</vt:lpstr>
      <vt:lpstr>percent_contraceptionIncrease</vt:lpstr>
      <vt:lpstr>popAgeDistribution</vt:lpstr>
      <vt:lpstr>popSize</vt:lpstr>
      <vt:lpstr>ProbHavingAbortion</vt:lpstr>
      <vt:lpstr>probPregnancyAfterSex</vt:lpstr>
      <vt:lpstr>probSuccessPregnancy</vt:lpstr>
      <vt:lpstr>projectionPeriod</vt:lpstr>
      <vt:lpstr>propMiscarriage</vt:lpstr>
      <vt:lpstr>rangeCDCCompliance</vt:lpstr>
      <vt:lpstr>rangeContraceptiveChange</vt:lpstr>
      <vt:lpstr>ratioSterile</vt:lpstr>
      <vt:lpstr>replications</vt:lpstr>
      <vt:lpstr>sexualBehaviorGroups</vt:lpstr>
      <vt:lpstr>sim_AEPCause</vt:lpstr>
      <vt:lpstr>sim_AEPper1000</vt:lpstr>
      <vt:lpstr>sim_AEPPrevalence</vt:lpstr>
      <vt:lpstr>sim_AEPPrevalenceByAge</vt:lpstr>
      <vt:lpstr>sim_AEPRisk</vt:lpstr>
      <vt:lpstr>sim_AEPRiskTotal</vt:lpstr>
      <vt:lpstr>sim_ageSexDistribution</vt:lpstr>
      <vt:lpstr>sim_percentageDrankByAge</vt:lpstr>
      <vt:lpstr>sim_percentageDrankLastMonth</vt:lpstr>
      <vt:lpstr>sim_percentageHadSex</vt:lpstr>
      <vt:lpstr>sim_percentagePregnant</vt:lpstr>
      <vt:lpstr>sim_proportionInBehaviorGroups</vt:lpstr>
      <vt:lpstr>sim_totalPregnancies</vt:lpstr>
      <vt:lpstr>simAnnualBirthRates</vt:lpstr>
      <vt:lpstr>simUnintendedPreg</vt:lpstr>
      <vt:lpstr>testCell</vt:lpstr>
      <vt:lpstr>tProb10to14</vt:lpstr>
      <vt:lpstr>tProb15to19</vt:lpstr>
      <vt:lpstr>tProb20to24</vt:lpstr>
      <vt:lpstr>tProb25to29</vt:lpstr>
      <vt:lpstr>tProb30to34</vt:lpstr>
      <vt:lpstr>tProb35to39</vt:lpstr>
      <vt:lpstr>tProb40to44</vt:lpstr>
      <vt:lpstr>warmUpPeriod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Reza Yaesoubi</dc:creator>
  <cp:lastModifiedBy>Yaesoubi, Reza</cp:lastModifiedBy>
  <dcterms:created xsi:type="dcterms:W3CDTF">2017-04-29T00:18:41Z</dcterms:created>
  <dcterms:modified xsi:type="dcterms:W3CDTF">2017-09-28T20:42:54Z</dcterms:modified>
</cp:coreProperties>
</file>