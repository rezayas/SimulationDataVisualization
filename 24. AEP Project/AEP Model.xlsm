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87\Box Sync\Projects\2016 Alcohol-Exposed Pregnancy\FAS Project (Shared)\AEPModel\"/>
    </mc:Choice>
  </mc:AlternateContent>
  <bookViews>
    <workbookView xWindow="0" yWindow="0" windowWidth="13650" windowHeight="9435" tabRatio="710" firstSheet="4" activeTab="5"/>
  </bookViews>
  <sheets>
    <sheet name="Settings" sheetId="2" r:id="rId1"/>
    <sheet name="Parameters" sheetId="1" r:id="rId2"/>
    <sheet name="Age group transition" sheetId="8" r:id="rId3"/>
    <sheet name="Outcomes" sheetId="3" r:id="rId4"/>
    <sheet name="Scenario Analysis" sheetId="4" r:id="rId5"/>
    <sheet name="Scenario Visualization" sheetId="10" r:id="rId6"/>
    <sheet name="Debugging" sheetId="9" r:id="rId7"/>
    <sheet name="Support" sheetId="6" r:id="rId8"/>
    <sheet name="Gamma.Poisson.Calc" sheetId="7" r:id="rId9"/>
  </sheets>
  <functionGroups builtInGroupCount="18"/>
  <definedNames>
    <definedName name="aep_prev_increas_contra">Outcomes!#REF!</definedName>
    <definedName name="alpha">Settings!$D$9</definedName>
    <definedName name="averageNumOfSexualEncounters">Parameters!$J$101</definedName>
    <definedName name="baseAEP1000popAccess">'Scenario Analysis'!$AD$9</definedName>
    <definedName name="baseAEPRiskAccess_Actual">'Scenario Analysis'!$T$9</definedName>
    <definedName name="baseAEPRiskComplience_Actual">'Scenario Analysis'!$H$9</definedName>
    <definedName name="baseAEPRiskComplience_CDC">'Scenario Analysis'!$B$9</definedName>
    <definedName name="basePercExpCompliance">'Scenario Analysis'!$N$9</definedName>
    <definedName name="CDCComplianceLevel">Settings!$D$10</definedName>
    <definedName name="contraceptionData">Parameters!$C$30:$H$37</definedName>
    <definedName name="deltaT">Settings!$D$4</definedName>
    <definedName name="effAdjustingFactor">Parameters!$F$15</definedName>
    <definedName name="lastCol">Outcomes!$CU$14</definedName>
    <definedName name="monthlyDrinks_alpha">Parameters!$B$46:$I$50</definedName>
    <definedName name="monthlyDrinks_beta">Parameters!$B$55:$I$60</definedName>
    <definedName name="monthlySexes_alpha">Parameters!$B$74:$I$80</definedName>
    <definedName name="monthlySexes_beta">Parameters!$B$84:$I$90</definedName>
    <definedName name="Nonagespecific_AEPest">Outcomes!$AU$8</definedName>
    <definedName name="percent_contraceptionDecrease">Settings!$D$12</definedName>
    <definedName name="percent_contraceptionIncrease">Settings!$D$11</definedName>
    <definedName name="popAgeDistribution">Parameters!$B$5:$D$11</definedName>
    <definedName name="popSize">Settings!$D$7</definedName>
    <definedName name="ProbHavingAbortion">Parameters!$F$14</definedName>
    <definedName name="probPregnancyAfterSex">Parameters!$I$5:$J$11</definedName>
    <definedName name="probSuccessPregnancy">Parameters!$J$12</definedName>
    <definedName name="projectionPeriod">Settings!$D$6</definedName>
    <definedName name="propMiscarriage">Parameters!$L$5:$M$11</definedName>
    <definedName name="rangeCDCCompliance">Settings!$O$5:$O$9</definedName>
    <definedName name="rangeContraceptiveChange">Settings!$P$5:$P$9</definedName>
    <definedName name="ratioSterile">'Age group transition'!$C$1</definedName>
    <definedName name="replications">Settings!$D$8</definedName>
    <definedName name="sexualBehaviorGroups">Parameters!$C$19:$K$24</definedName>
    <definedName name="sim_AEP1000pop">Outcomes!$BI$14</definedName>
    <definedName name="sim_AEPCause">Outcomes!$BL$14</definedName>
    <definedName name="sim_AEPPrevalence">Outcomes!$BG$14</definedName>
    <definedName name="sim_AEPPrevalenceByAge">Outcomes!$AZ$14</definedName>
    <definedName name="sim_AEPRisk_CDC">Outcomes!$AN$14</definedName>
    <definedName name="sim_AEPRiskTotal_Actual">Outcomes!$AW$14</definedName>
    <definedName name="sim_AEPRiskTotal_CDC">Outcomes!$AU$14</definedName>
    <definedName name="sim_ageSexDistribution">Outcomes!$CW$12</definedName>
    <definedName name="sim_percentageDrankByAge">Outcomes!$CC$14</definedName>
    <definedName name="sim_percentageDrankLastMonth">Outcomes!$BU$14</definedName>
    <definedName name="sim_percentageHadSex">Outcomes!$CM$14</definedName>
    <definedName name="sim_percentagePregnant">Outcomes!$AD$14</definedName>
    <definedName name="sim_proportionInBehaviorGroups">Outcomes!$V$14</definedName>
    <definedName name="sim_totalPregnancies">Outcomes!$BQ$14</definedName>
    <definedName name="simAnnualBirthRates">Outcomes!$B$14</definedName>
    <definedName name="simUnintendedPreg">Outcomes!$K$14</definedName>
    <definedName name="testCell">Support!$R$3</definedName>
    <definedName name="tProb10to14">'Age group transition'!$E$5:$J$10</definedName>
    <definedName name="tProb15to19">'Age group transition'!$E$15:$J$20</definedName>
    <definedName name="tProb20to24">'Age group transition'!$E$25:$J$30</definedName>
    <definedName name="tProb25to29">'Age group transition'!$E$35:$J$40</definedName>
    <definedName name="tProb30to34">'Age group transition'!$E$45:$J$50</definedName>
    <definedName name="tProb35to39">'Age group transition'!$E$55:$J$60</definedName>
    <definedName name="tProb40to44">'Age group transition'!$E$65:$J$70</definedName>
    <definedName name="visAEP1000popAccessDecrease">'Scenario Visualization'!$Q$4</definedName>
    <definedName name="visAEP1000popAccessIncrease">'Scenario Visualization'!$T$4</definedName>
    <definedName name="visAEPRiskAccessActualDecrease">'Scenario Visualization'!$K$4</definedName>
    <definedName name="visAEPRiskAccessActualIncrease">'Scenario Visualization'!$N$4</definedName>
    <definedName name="visAEPRiskComplience_Actual">'Scenario Visualization'!$E$4</definedName>
    <definedName name="visAEPRiskComplience_CDC">'Scenario Visualization'!$B$4</definedName>
    <definedName name="visPercExpCompliance">'Scenario Visualization'!$H$4</definedName>
    <definedName name="warmUpPeriod">Settings!$D$5</definedName>
    <definedName name="weeklyFreqOfSexualActivity">Parameters!#REF!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10" l="1"/>
  <c r="K2" i="10"/>
  <c r="T2" i="10"/>
  <c r="Q2" i="10"/>
  <c r="H2" i="10"/>
  <c r="E2" i="10"/>
  <c r="B2" i="10"/>
  <c r="CV17" i="3" l="1"/>
  <c r="CV16" i="3"/>
  <c r="CV15" i="3"/>
  <c r="CV14" i="3"/>
  <c r="BI10" i="3"/>
  <c r="BI9" i="3"/>
  <c r="BI8" i="3"/>
  <c r="BI11" i="3" l="1"/>
  <c r="BI12" i="3"/>
  <c r="R6" i="4"/>
  <c r="Q6" i="4"/>
  <c r="P6" i="4"/>
  <c r="O6" i="4"/>
  <c r="N6" i="4"/>
  <c r="R5" i="4"/>
  <c r="Q5" i="4"/>
  <c r="P5" i="4"/>
  <c r="O5" i="4"/>
  <c r="N5" i="4"/>
  <c r="R4" i="4"/>
  <c r="Q4" i="4"/>
  <c r="P4" i="4"/>
  <c r="O4" i="4"/>
  <c r="N4" i="4"/>
  <c r="O8" i="4" l="1"/>
  <c r="P8" i="4"/>
  <c r="N8" i="4"/>
  <c r="Q8" i="4"/>
  <c r="R8" i="4"/>
  <c r="N7" i="4"/>
  <c r="O7" i="4"/>
  <c r="P7" i="4"/>
  <c r="Q7" i="4"/>
  <c r="R7" i="4"/>
  <c r="AW10" i="3"/>
  <c r="AW9" i="3"/>
  <c r="AW8" i="3"/>
  <c r="AW11" i="3" l="1"/>
  <c r="AW12" i="3"/>
  <c r="AB6" i="4"/>
  <c r="AA6" i="4"/>
  <c r="Z6" i="4"/>
  <c r="Y6" i="4"/>
  <c r="X6" i="4"/>
  <c r="W6" i="4"/>
  <c r="V6" i="4"/>
  <c r="U6" i="4"/>
  <c r="T6" i="4"/>
  <c r="AB5" i="4"/>
  <c r="AA5" i="4"/>
  <c r="Z5" i="4"/>
  <c r="Y5" i="4"/>
  <c r="X5" i="4"/>
  <c r="W5" i="4"/>
  <c r="V5" i="4"/>
  <c r="U5" i="4"/>
  <c r="T5" i="4"/>
  <c r="AB4" i="4"/>
  <c r="AA4" i="4"/>
  <c r="Z4" i="4"/>
  <c r="Y4" i="4"/>
  <c r="X4" i="4"/>
  <c r="W4" i="4"/>
  <c r="V4" i="4"/>
  <c r="U4" i="4"/>
  <c r="T4" i="4"/>
  <c r="AL6" i="4"/>
  <c r="AK6" i="4"/>
  <c r="AJ6" i="4"/>
  <c r="AI6" i="4"/>
  <c r="AH6" i="4"/>
  <c r="AL5" i="4"/>
  <c r="AK5" i="4"/>
  <c r="AJ5" i="4"/>
  <c r="AI5" i="4"/>
  <c r="AH5" i="4"/>
  <c r="AL4" i="4"/>
  <c r="AK4" i="4"/>
  <c r="AJ4" i="4"/>
  <c r="AI4" i="4"/>
  <c r="AH4" i="4"/>
  <c r="AG6" i="4"/>
  <c r="AF6" i="4"/>
  <c r="AE6" i="4"/>
  <c r="AD6" i="4"/>
  <c r="AG5" i="4"/>
  <c r="AF5" i="4"/>
  <c r="AE5" i="4"/>
  <c r="AD5" i="4"/>
  <c r="AG4" i="4"/>
  <c r="AF4" i="4"/>
  <c r="AE4" i="4"/>
  <c r="AD4" i="4"/>
  <c r="AJ8" i="4" l="1"/>
  <c r="T7" i="4"/>
  <c r="AL8" i="4"/>
  <c r="V7" i="4"/>
  <c r="U7" i="4"/>
  <c r="W7" i="4"/>
  <c r="AL7" i="4"/>
  <c r="X7" i="4"/>
  <c r="V8" i="4"/>
  <c r="U8" i="4"/>
  <c r="AH7" i="4"/>
  <c r="Y7" i="4"/>
  <c r="W8" i="4"/>
  <c r="Z7" i="4"/>
  <c r="X8" i="4"/>
  <c r="AA7" i="4"/>
  <c r="Y8" i="4"/>
  <c r="AB7" i="4"/>
  <c r="Z8" i="4"/>
  <c r="AA8" i="4"/>
  <c r="AH8" i="4"/>
  <c r="AB8" i="4"/>
  <c r="AI8" i="4"/>
  <c r="T8" i="4"/>
  <c r="AI7" i="4"/>
  <c r="AK7" i="4"/>
  <c r="AJ7" i="4"/>
  <c r="AK8" i="4"/>
  <c r="AE7" i="4"/>
  <c r="AE8" i="4"/>
  <c r="AD8" i="4"/>
  <c r="AG8" i="4"/>
  <c r="AD7" i="4"/>
  <c r="AF7" i="4"/>
  <c r="AF8" i="4"/>
  <c r="AG7" i="4"/>
  <c r="L6" i="4"/>
  <c r="K6" i="4"/>
  <c r="J6" i="4"/>
  <c r="I6" i="4"/>
  <c r="H6" i="4"/>
  <c r="L5" i="4"/>
  <c r="K5" i="4"/>
  <c r="J5" i="4"/>
  <c r="I5" i="4"/>
  <c r="H5" i="4"/>
  <c r="F6" i="4"/>
  <c r="E6" i="4"/>
  <c r="D6" i="4"/>
  <c r="C6" i="4"/>
  <c r="F5" i="4"/>
  <c r="E5" i="4"/>
  <c r="D5" i="4"/>
  <c r="C5" i="4"/>
  <c r="B6" i="4"/>
  <c r="B5" i="4"/>
  <c r="D22" i="1"/>
  <c r="D21" i="1"/>
  <c r="L4" i="4"/>
  <c r="K4" i="4"/>
  <c r="J4" i="4"/>
  <c r="I4" i="4"/>
  <c r="H4" i="4"/>
  <c r="F4" i="4"/>
  <c r="E4" i="4"/>
  <c r="D4" i="4"/>
  <c r="C4" i="4"/>
  <c r="B4" i="4"/>
  <c r="J8" i="4" l="1"/>
  <c r="H7" i="4"/>
  <c r="E8" i="4"/>
  <c r="C7" i="4"/>
  <c r="B8" i="4"/>
  <c r="L7" i="4"/>
  <c r="B7" i="4"/>
  <c r="L8" i="4"/>
  <c r="E7" i="4"/>
  <c r="I7" i="4"/>
  <c r="D7" i="4"/>
  <c r="C8" i="4"/>
  <c r="I8" i="4"/>
  <c r="F7" i="4"/>
  <c r="D8" i="4"/>
  <c r="F8" i="4"/>
  <c r="J7" i="4"/>
  <c r="K7" i="4"/>
  <c r="H8" i="4"/>
  <c r="K8" i="4"/>
  <c r="R70" i="8"/>
  <c r="J70" i="8" s="1"/>
  <c r="Q69" i="8"/>
  <c r="I69" i="8" s="1"/>
  <c r="P68" i="8"/>
  <c r="H68" i="8" s="1"/>
  <c r="O67" i="8"/>
  <c r="G67" i="8" s="1"/>
  <c r="N66" i="8"/>
  <c r="F66" i="8" s="1"/>
  <c r="M65" i="8"/>
  <c r="E65" i="8" s="1"/>
  <c r="N56" i="8"/>
  <c r="F56" i="8" s="1"/>
  <c r="O57" i="8"/>
  <c r="G57" i="8" s="1"/>
  <c r="P58" i="8"/>
  <c r="H58" i="8" s="1"/>
  <c r="Q59" i="8"/>
  <c r="I59" i="8" s="1"/>
  <c r="R60" i="8"/>
  <c r="J60" i="8" s="1"/>
  <c r="M55" i="8"/>
  <c r="E55" i="8" s="1"/>
  <c r="R50" i="8"/>
  <c r="J50" i="8" s="1"/>
  <c r="Q49" i="8"/>
  <c r="I49" i="8" s="1"/>
  <c r="P48" i="8"/>
  <c r="H48" i="8" s="1"/>
  <c r="O47" i="8"/>
  <c r="G47" i="8" s="1"/>
  <c r="N46" i="8"/>
  <c r="F46" i="8" s="1"/>
  <c r="M45" i="8"/>
  <c r="E45" i="8" s="1"/>
  <c r="R40" i="8"/>
  <c r="J40" i="8" s="1"/>
  <c r="Q39" i="8"/>
  <c r="I39" i="8" s="1"/>
  <c r="P38" i="8"/>
  <c r="H38" i="8" s="1"/>
  <c r="O37" i="8"/>
  <c r="G37" i="8" s="1"/>
  <c r="N36" i="8"/>
  <c r="F36" i="8" s="1"/>
  <c r="M35" i="8"/>
  <c r="E35" i="8" s="1"/>
  <c r="R30" i="8"/>
  <c r="J30" i="8" s="1"/>
  <c r="Q29" i="8"/>
  <c r="I29" i="8" s="1"/>
  <c r="P28" i="8"/>
  <c r="H28" i="8" s="1"/>
  <c r="O27" i="8"/>
  <c r="G27" i="8" s="1"/>
  <c r="N26" i="8"/>
  <c r="F26" i="8" s="1"/>
  <c r="M25" i="8"/>
  <c r="E25" i="8" s="1"/>
  <c r="E20" i="1"/>
  <c r="R10" i="8"/>
  <c r="J10" i="8" s="1"/>
  <c r="Q9" i="8"/>
  <c r="I9" i="8" s="1"/>
  <c r="P8" i="8"/>
  <c r="H8" i="8" s="1"/>
  <c r="O7" i="8"/>
  <c r="G7" i="8" s="1"/>
  <c r="N6" i="8"/>
  <c r="F6" i="8" s="1"/>
  <c r="M5" i="8"/>
  <c r="R20" i="8"/>
  <c r="J20" i="8" s="1"/>
  <c r="Q19" i="8"/>
  <c r="I19" i="8" s="1"/>
  <c r="P18" i="8"/>
  <c r="H18" i="8" s="1"/>
  <c r="O17" i="8"/>
  <c r="G17" i="8" s="1"/>
  <c r="N16" i="8"/>
  <c r="F16" i="8" s="1"/>
  <c r="M15" i="8"/>
  <c r="E15" i="8" s="1"/>
  <c r="E63" i="8" a="1"/>
  <c r="E63" i="8" s="1"/>
  <c r="M63" i="8" s="1"/>
  <c r="E53" i="8" a="1"/>
  <c r="F53" i="8" s="1"/>
  <c r="E43" i="8" a="1"/>
  <c r="E43" i="8" s="1"/>
  <c r="U43" i="8" s="1"/>
  <c r="E33" i="8" a="1"/>
  <c r="H33" i="8" s="1"/>
  <c r="E23" i="8" a="1"/>
  <c r="J23" i="8" s="1"/>
  <c r="E13" i="8" a="1"/>
  <c r="E13" i="8" s="1"/>
  <c r="M13" i="8" s="1"/>
  <c r="B10" i="8"/>
  <c r="B20" i="8" s="1"/>
  <c r="B30" i="8" s="1"/>
  <c r="B40" i="8" s="1"/>
  <c r="B50" i="8" s="1"/>
  <c r="B60" i="8" s="1"/>
  <c r="B70" i="8" s="1"/>
  <c r="B9" i="8"/>
  <c r="B63" i="8"/>
  <c r="B53" i="8"/>
  <c r="B43" i="8"/>
  <c r="B33" i="8"/>
  <c r="B23" i="8"/>
  <c r="B8" i="8"/>
  <c r="B18" i="8" s="1"/>
  <c r="B28" i="8" s="1"/>
  <c r="B38" i="8" s="1"/>
  <c r="B48" i="8" s="1"/>
  <c r="B58" i="8" s="1"/>
  <c r="B68" i="8" s="1"/>
  <c r="B7" i="8"/>
  <c r="B17" i="8" s="1"/>
  <c r="B27" i="8" s="1"/>
  <c r="B37" i="8" s="1"/>
  <c r="B47" i="8" s="1"/>
  <c r="B57" i="8" s="1"/>
  <c r="B67" i="8" s="1"/>
  <c r="B6" i="8"/>
  <c r="B16" i="8" s="1"/>
  <c r="B26" i="8" s="1"/>
  <c r="B5" i="8"/>
  <c r="B15" i="8" s="1"/>
  <c r="B25" i="8" s="1"/>
  <c r="B35" i="8" s="1"/>
  <c r="B3" i="8"/>
  <c r="B13" i="8"/>
  <c r="G33" i="8" l="1"/>
  <c r="E3" i="8" a="1"/>
  <c r="E3" i="8" s="1"/>
  <c r="U3" i="8" s="1"/>
  <c r="U13" i="8"/>
  <c r="M43" i="8"/>
  <c r="E4" i="8" a="1"/>
  <c r="F4" i="8" s="1"/>
  <c r="B19" i="8"/>
  <c r="B29" i="8" s="1"/>
  <c r="B39" i="8" s="1"/>
  <c r="B49" i="8" s="1"/>
  <c r="B59" i="8" s="1"/>
  <c r="B69" i="8" s="1"/>
  <c r="U63" i="8"/>
  <c r="P63" i="8" s="1"/>
  <c r="O63" i="8"/>
  <c r="Q63" i="8"/>
  <c r="I23" i="8"/>
  <c r="H23" i="8"/>
  <c r="F23" i="8"/>
  <c r="G23" i="8"/>
  <c r="E23" i="8"/>
  <c r="J63" i="8"/>
  <c r="I63" i="8"/>
  <c r="H63" i="8"/>
  <c r="G63" i="8"/>
  <c r="F63" i="8"/>
  <c r="E53" i="8"/>
  <c r="J53" i="8"/>
  <c r="I53" i="8"/>
  <c r="H53" i="8"/>
  <c r="G53" i="8"/>
  <c r="J43" i="8"/>
  <c r="R43" i="8" s="1"/>
  <c r="I43" i="8"/>
  <c r="Q43" i="8" s="1"/>
  <c r="H43" i="8"/>
  <c r="P43" i="8" s="1"/>
  <c r="G43" i="8"/>
  <c r="O43" i="8" s="1"/>
  <c r="F43" i="8"/>
  <c r="N43" i="8" s="1"/>
  <c r="F33" i="8"/>
  <c r="E33" i="8"/>
  <c r="J33" i="8"/>
  <c r="I33" i="8"/>
  <c r="J13" i="8"/>
  <c r="I13" i="8"/>
  <c r="H13" i="8"/>
  <c r="P13" i="8" s="1"/>
  <c r="G13" i="8"/>
  <c r="O13" i="8" s="1"/>
  <c r="F13" i="8"/>
  <c r="N13" i="8" s="1"/>
  <c r="N15" i="8" s="1"/>
  <c r="F15" i="8" s="1"/>
  <c r="I3" i="8"/>
  <c r="H3" i="8"/>
  <c r="G3" i="8"/>
  <c r="F3" i="8"/>
  <c r="B45" i="8"/>
  <c r="B36" i="8"/>
  <c r="B46" i="8" s="1"/>
  <c r="B56" i="8" s="1"/>
  <c r="B66" i="8" s="1"/>
  <c r="E5" i="8"/>
  <c r="E100" i="1"/>
  <c r="E99" i="1"/>
  <c r="E98" i="1"/>
  <c r="E97" i="1"/>
  <c r="E96" i="1"/>
  <c r="E95" i="1"/>
  <c r="CV13" i="3"/>
  <c r="CV12" i="3"/>
  <c r="C4" i="6"/>
  <c r="N63" i="8" l="1"/>
  <c r="M3" i="8"/>
  <c r="N3" i="8"/>
  <c r="R63" i="8"/>
  <c r="S63" i="8" s="1"/>
  <c r="O3" i="8"/>
  <c r="P3" i="8"/>
  <c r="E24" i="8" a="1"/>
  <c r="J24" i="8" s="1"/>
  <c r="R24" i="8" s="1"/>
  <c r="Q3" i="8"/>
  <c r="E14" i="8" a="1"/>
  <c r="J14" i="8" s="1"/>
  <c r="R14" i="8" s="1"/>
  <c r="J3" i="8"/>
  <c r="K3" i="8" s="1"/>
  <c r="M18" i="8"/>
  <c r="E18" i="8" s="1"/>
  <c r="S43" i="8"/>
  <c r="E24" i="8"/>
  <c r="M24" i="8" s="1"/>
  <c r="P16" i="8"/>
  <c r="H16" i="8" s="1"/>
  <c r="E4" i="8"/>
  <c r="M4" i="8" s="1"/>
  <c r="I4" i="8"/>
  <c r="Q4" i="8" s="1"/>
  <c r="G4" i="8"/>
  <c r="O4" i="8" s="1"/>
  <c r="J4" i="8"/>
  <c r="R4" i="8" s="1"/>
  <c r="R13" i="8"/>
  <c r="R15" i="8" s="1"/>
  <c r="J15" i="8" s="1"/>
  <c r="Q13" i="8"/>
  <c r="Q15" i="8" s="1"/>
  <c r="I15" i="8" s="1"/>
  <c r="U23" i="8"/>
  <c r="R23" i="8" s="1"/>
  <c r="M23" i="8"/>
  <c r="U53" i="8"/>
  <c r="M53" i="8"/>
  <c r="H4" i="8"/>
  <c r="P4" i="8" s="1"/>
  <c r="R3" i="8"/>
  <c r="S3" i="8" s="1"/>
  <c r="F24" i="8"/>
  <c r="N24" i="8" s="1"/>
  <c r="U33" i="8"/>
  <c r="M33" i="8"/>
  <c r="N17" i="8"/>
  <c r="F17" i="8" s="1"/>
  <c r="M68" i="8"/>
  <c r="E68" i="8" s="1"/>
  <c r="P67" i="8"/>
  <c r="H67" i="8" s="1"/>
  <c r="P69" i="8"/>
  <c r="H69" i="8" s="1"/>
  <c r="P65" i="8"/>
  <c r="H65" i="8" s="1"/>
  <c r="Q68" i="8"/>
  <c r="I68" i="8" s="1"/>
  <c r="Q67" i="8"/>
  <c r="I67" i="8" s="1"/>
  <c r="Q70" i="8"/>
  <c r="I70" i="8" s="1"/>
  <c r="Q65" i="8"/>
  <c r="I65" i="8" s="1"/>
  <c r="M69" i="8"/>
  <c r="E69" i="8" s="1"/>
  <c r="R69" i="8"/>
  <c r="J69" i="8" s="1"/>
  <c r="N19" i="8"/>
  <c r="F19" i="8" s="1"/>
  <c r="K43" i="8"/>
  <c r="N18" i="8"/>
  <c r="F18" i="8" s="1"/>
  <c r="K13" i="8"/>
  <c r="M47" i="8"/>
  <c r="O49" i="8"/>
  <c r="G49" i="8" s="1"/>
  <c r="O46" i="8"/>
  <c r="G46" i="8" s="1"/>
  <c r="O48" i="8"/>
  <c r="G48" i="8" s="1"/>
  <c r="O45" i="8"/>
  <c r="G45" i="8" s="1"/>
  <c r="O50" i="8"/>
  <c r="G50" i="8" s="1"/>
  <c r="O16" i="8"/>
  <c r="G16" i="8" s="1"/>
  <c r="P49" i="8"/>
  <c r="H49" i="8" s="1"/>
  <c r="P46" i="8"/>
  <c r="H46" i="8" s="1"/>
  <c r="P45" i="8"/>
  <c r="H45" i="8" s="1"/>
  <c r="M48" i="8"/>
  <c r="P50" i="8"/>
  <c r="H50" i="8" s="1"/>
  <c r="P47" i="8"/>
  <c r="H47" i="8" s="1"/>
  <c r="M16" i="8"/>
  <c r="E16" i="8" s="1"/>
  <c r="P70" i="8"/>
  <c r="H70" i="8" s="1"/>
  <c r="R65" i="8"/>
  <c r="J65" i="8" s="1"/>
  <c r="M70" i="8"/>
  <c r="E70" i="8" s="1"/>
  <c r="Q46" i="8"/>
  <c r="I46" i="8" s="1"/>
  <c r="M49" i="8"/>
  <c r="Q48" i="8"/>
  <c r="I48" i="8" s="1"/>
  <c r="Q45" i="8"/>
  <c r="I45" i="8" s="1"/>
  <c r="Q47" i="8"/>
  <c r="I47" i="8" s="1"/>
  <c r="Q50" i="8"/>
  <c r="I50" i="8" s="1"/>
  <c r="R16" i="8"/>
  <c r="J16" i="8" s="1"/>
  <c r="R46" i="8"/>
  <c r="J46" i="8" s="1"/>
  <c r="R48" i="8"/>
  <c r="J48" i="8" s="1"/>
  <c r="R49" i="8"/>
  <c r="J49" i="8" s="1"/>
  <c r="R45" i="8"/>
  <c r="J45" i="8" s="1"/>
  <c r="M50" i="8"/>
  <c r="R47" i="8"/>
  <c r="J47" i="8" s="1"/>
  <c r="R68" i="8"/>
  <c r="J68" i="8" s="1"/>
  <c r="E34" i="8" a="1"/>
  <c r="K33" i="8"/>
  <c r="B55" i="8"/>
  <c r="E54" i="8" s="1" a="1"/>
  <c r="E44" i="8" a="1"/>
  <c r="O20" i="8"/>
  <c r="G20" i="8" s="1"/>
  <c r="O15" i="8"/>
  <c r="G15" i="8" s="1"/>
  <c r="O19" i="8"/>
  <c r="G19" i="8" s="1"/>
  <c r="O18" i="8"/>
  <c r="G18" i="8" s="1"/>
  <c r="P20" i="8"/>
  <c r="H20" i="8" s="1"/>
  <c r="P17" i="8"/>
  <c r="H17" i="8" s="1"/>
  <c r="P15" i="8"/>
  <c r="H15" i="8" s="1"/>
  <c r="K53" i="8"/>
  <c r="K63" i="8"/>
  <c r="P66" i="8"/>
  <c r="H66" i="8" s="1"/>
  <c r="M17" i="8"/>
  <c r="E17" i="8" s="1"/>
  <c r="R17" i="8"/>
  <c r="J17" i="8" s="1"/>
  <c r="R18" i="8"/>
  <c r="J18" i="8" s="1"/>
  <c r="O70" i="8"/>
  <c r="G70" i="8" s="1"/>
  <c r="O68" i="8"/>
  <c r="G68" i="8" s="1"/>
  <c r="M67" i="8"/>
  <c r="E67" i="8" s="1"/>
  <c r="O69" i="8"/>
  <c r="G69" i="8" s="1"/>
  <c r="O65" i="8"/>
  <c r="G65" i="8" s="1"/>
  <c r="R67" i="8"/>
  <c r="J67" i="8" s="1"/>
  <c r="K23" i="8"/>
  <c r="M20" i="8"/>
  <c r="E20" i="8" s="1"/>
  <c r="N4" i="8"/>
  <c r="G14" i="8" l="1"/>
  <c r="O14" i="8" s="1"/>
  <c r="B65" i="8"/>
  <c r="E64" i="8" s="1" a="1"/>
  <c r="I14" i="8"/>
  <c r="Q14" i="8" s="1"/>
  <c r="Q23" i="8"/>
  <c r="I24" i="8"/>
  <c r="Q24" i="8" s="1"/>
  <c r="G24" i="8"/>
  <c r="O24" i="8" s="1"/>
  <c r="N20" i="8"/>
  <c r="F20" i="8" s="1"/>
  <c r="M19" i="8"/>
  <c r="E19" i="8" s="1"/>
  <c r="S13" i="8"/>
  <c r="Q20" i="8"/>
  <c r="I20" i="8" s="1"/>
  <c r="E14" i="8"/>
  <c r="M14" i="8" s="1"/>
  <c r="Q18" i="8"/>
  <c r="I18" i="8" s="1"/>
  <c r="K18" i="8" s="1"/>
  <c r="H14" i="8"/>
  <c r="P14" i="8" s="1"/>
  <c r="Q16" i="8"/>
  <c r="I16" i="8" s="1"/>
  <c r="K16" i="8" s="1"/>
  <c r="H24" i="8"/>
  <c r="P24" i="8" s="1"/>
  <c r="F14" i="8"/>
  <c r="N14" i="8" s="1"/>
  <c r="Q53" i="8"/>
  <c r="N53" i="8"/>
  <c r="N58" i="8" s="1"/>
  <c r="F58" i="8" s="1"/>
  <c r="O23" i="8"/>
  <c r="P53" i="8"/>
  <c r="P23" i="8"/>
  <c r="P30" i="8" s="1"/>
  <c r="H30" i="8" s="1"/>
  <c r="N23" i="8"/>
  <c r="R53" i="8"/>
  <c r="R33" i="8"/>
  <c r="M40" i="8" s="1"/>
  <c r="Q33" i="8"/>
  <c r="M39" i="8" s="1"/>
  <c r="N33" i="8"/>
  <c r="P33" i="8"/>
  <c r="O33" i="8"/>
  <c r="O38" i="8" s="1"/>
  <c r="G38" i="8" s="1"/>
  <c r="R19" i="8"/>
  <c r="J19" i="8" s="1"/>
  <c r="P19" i="8"/>
  <c r="H19" i="8" s="1"/>
  <c r="Q17" i="8"/>
  <c r="I17" i="8" s="1"/>
  <c r="K17" i="8" s="1"/>
  <c r="O53" i="8"/>
  <c r="S15" i="8"/>
  <c r="K15" i="8"/>
  <c r="E49" i="8"/>
  <c r="E47" i="8"/>
  <c r="N65" i="8"/>
  <c r="N68" i="8"/>
  <c r="M66" i="8"/>
  <c r="N70" i="8"/>
  <c r="N67" i="8"/>
  <c r="N69" i="8"/>
  <c r="E50" i="8"/>
  <c r="Q66" i="8"/>
  <c r="I66" i="8" s="1"/>
  <c r="R66" i="8"/>
  <c r="J66" i="8" s="1"/>
  <c r="J44" i="8"/>
  <c r="R44" i="8" s="1"/>
  <c r="F44" i="8"/>
  <c r="N44" i="8" s="1"/>
  <c r="G44" i="8"/>
  <c r="O44" i="8" s="1"/>
  <c r="H44" i="8"/>
  <c r="P44" i="8" s="1"/>
  <c r="I44" i="8"/>
  <c r="Q44" i="8" s="1"/>
  <c r="E44" i="8"/>
  <c r="M44" i="8" s="1"/>
  <c r="E48" i="8"/>
  <c r="N49" i="8"/>
  <c r="F49" i="8" s="1"/>
  <c r="M46" i="8"/>
  <c r="N50" i="8"/>
  <c r="F50" i="8" s="1"/>
  <c r="N48" i="8"/>
  <c r="F48" i="8" s="1"/>
  <c r="N45" i="8"/>
  <c r="N47" i="8"/>
  <c r="F47" i="8" s="1"/>
  <c r="J54" i="8"/>
  <c r="R54" i="8" s="1"/>
  <c r="I54" i="8"/>
  <c r="Q54" i="8" s="1"/>
  <c r="E54" i="8"/>
  <c r="M54" i="8" s="1"/>
  <c r="F54" i="8"/>
  <c r="N54" i="8" s="1"/>
  <c r="H54" i="8"/>
  <c r="P54" i="8" s="1"/>
  <c r="G54" i="8"/>
  <c r="O54" i="8" s="1"/>
  <c r="M30" i="8"/>
  <c r="E30" i="8" s="1"/>
  <c r="O66" i="8"/>
  <c r="G66" i="8" s="1"/>
  <c r="J64" i="8"/>
  <c r="R64" i="8" s="1"/>
  <c r="F64" i="8"/>
  <c r="N64" i="8" s="1"/>
  <c r="G64" i="8"/>
  <c r="O64" i="8" s="1"/>
  <c r="H64" i="8"/>
  <c r="P64" i="8" s="1"/>
  <c r="E64" i="8"/>
  <c r="M64" i="8" s="1"/>
  <c r="I64" i="8"/>
  <c r="Q64" i="8" s="1"/>
  <c r="J34" i="8"/>
  <c r="R34" i="8" s="1"/>
  <c r="G34" i="8"/>
  <c r="O34" i="8" s="1"/>
  <c r="I34" i="8"/>
  <c r="Q34" i="8" s="1"/>
  <c r="F34" i="8"/>
  <c r="N34" i="8" s="1"/>
  <c r="E34" i="8"/>
  <c r="M34" i="8" s="1"/>
  <c r="H34" i="8"/>
  <c r="P34" i="8" s="1"/>
  <c r="R8" i="8"/>
  <c r="J8" i="8" s="1"/>
  <c r="E8" i="7"/>
  <c r="D89" i="1" s="1"/>
  <c r="E27" i="7"/>
  <c r="D55" i="1" s="1"/>
  <c r="E28" i="7"/>
  <c r="E29" i="7"/>
  <c r="E30" i="7"/>
  <c r="E31" i="7"/>
  <c r="D59" i="1" s="1"/>
  <c r="E32" i="7"/>
  <c r="E4" i="7"/>
  <c r="D85" i="1" s="1"/>
  <c r="E5" i="7"/>
  <c r="E6" i="7"/>
  <c r="E7" i="7"/>
  <c r="E9" i="7"/>
  <c r="E47" i="7"/>
  <c r="E43" i="7"/>
  <c r="E37" i="7"/>
  <c r="M28" i="8" l="1"/>
  <c r="E28" i="8" s="1"/>
  <c r="Q38" i="8"/>
  <c r="I38" i="8" s="1"/>
  <c r="K20" i="8"/>
  <c r="O40" i="8"/>
  <c r="G40" i="8" s="1"/>
  <c r="K19" i="8"/>
  <c r="S20" i="8"/>
  <c r="N57" i="8"/>
  <c r="F57" i="8" s="1"/>
  <c r="Q35" i="8"/>
  <c r="I35" i="8" s="1"/>
  <c r="P39" i="8"/>
  <c r="H39" i="8" s="1"/>
  <c r="Q40" i="8"/>
  <c r="I40" i="8" s="1"/>
  <c r="M56" i="8"/>
  <c r="E56" i="8" s="1"/>
  <c r="S23" i="8"/>
  <c r="P56" i="8"/>
  <c r="H56" i="8" s="1"/>
  <c r="S18" i="8"/>
  <c r="S16" i="8"/>
  <c r="N59" i="8"/>
  <c r="F59" i="8" s="1"/>
  <c r="N55" i="8"/>
  <c r="F55" i="8" s="1"/>
  <c r="Q37" i="8"/>
  <c r="I37" i="8" s="1"/>
  <c r="P27" i="8"/>
  <c r="H27" i="8" s="1"/>
  <c r="P25" i="8"/>
  <c r="H25" i="8" s="1"/>
  <c r="P35" i="8"/>
  <c r="H35" i="8" s="1"/>
  <c r="M38" i="8"/>
  <c r="E38" i="8" s="1"/>
  <c r="P37" i="8"/>
  <c r="H37" i="8" s="1"/>
  <c r="S33" i="8"/>
  <c r="O35" i="8"/>
  <c r="G35" i="8" s="1"/>
  <c r="S17" i="8"/>
  <c r="R57" i="8"/>
  <c r="J57" i="8" s="1"/>
  <c r="M60" i="8"/>
  <c r="E60" i="8" s="1"/>
  <c r="R59" i="8"/>
  <c r="J59" i="8" s="1"/>
  <c r="R56" i="8"/>
  <c r="J56" i="8" s="1"/>
  <c r="R55" i="8"/>
  <c r="J55" i="8" s="1"/>
  <c r="R58" i="8"/>
  <c r="J58" i="8" s="1"/>
  <c r="N60" i="8"/>
  <c r="F60" i="8" s="1"/>
  <c r="P60" i="8"/>
  <c r="H60" i="8" s="1"/>
  <c r="P55" i="8"/>
  <c r="H55" i="8" s="1"/>
  <c r="P59" i="8"/>
  <c r="H59" i="8" s="1"/>
  <c r="P57" i="8"/>
  <c r="H57" i="8" s="1"/>
  <c r="O39" i="8"/>
  <c r="G39" i="8" s="1"/>
  <c r="M26" i="8"/>
  <c r="E26" i="8" s="1"/>
  <c r="S19" i="8"/>
  <c r="S53" i="8"/>
  <c r="M37" i="8"/>
  <c r="E37" i="8" s="1"/>
  <c r="Q57" i="8"/>
  <c r="I57" i="8" s="1"/>
  <c r="Q56" i="8"/>
  <c r="I56" i="8" s="1"/>
  <c r="Q60" i="8"/>
  <c r="I60" i="8" s="1"/>
  <c r="Q55" i="8"/>
  <c r="I55" i="8" s="1"/>
  <c r="Q58" i="8"/>
  <c r="I58" i="8" s="1"/>
  <c r="M59" i="8"/>
  <c r="E59" i="8" s="1"/>
  <c r="Q36" i="8"/>
  <c r="I36" i="8" s="1"/>
  <c r="O60" i="8"/>
  <c r="G60" i="8" s="1"/>
  <c r="O55" i="8"/>
  <c r="G55" i="8" s="1"/>
  <c r="O58" i="8"/>
  <c r="G58" i="8" s="1"/>
  <c r="O59" i="8"/>
  <c r="G59" i="8" s="1"/>
  <c r="O56" i="8"/>
  <c r="G56" i="8" s="1"/>
  <c r="M57" i="8"/>
  <c r="E57" i="8" s="1"/>
  <c r="M58" i="8"/>
  <c r="E58" i="8" s="1"/>
  <c r="S49" i="8"/>
  <c r="K49" i="8"/>
  <c r="E40" i="8"/>
  <c r="F70" i="8"/>
  <c r="K70" i="8" s="1"/>
  <c r="S70" i="8"/>
  <c r="E66" i="8"/>
  <c r="K66" i="8" s="1"/>
  <c r="S66" i="8"/>
  <c r="F67" i="8"/>
  <c r="K67" i="8" s="1"/>
  <c r="S67" i="8"/>
  <c r="F68" i="8"/>
  <c r="K68" i="8" s="1"/>
  <c r="S68" i="8"/>
  <c r="F65" i="8"/>
  <c r="K65" i="8" s="1"/>
  <c r="S65" i="8"/>
  <c r="N29" i="8"/>
  <c r="F29" i="8" s="1"/>
  <c r="N25" i="8"/>
  <c r="N30" i="8"/>
  <c r="N27" i="8"/>
  <c r="F27" i="8" s="1"/>
  <c r="N28" i="8"/>
  <c r="Q27" i="8"/>
  <c r="I27" i="8" s="1"/>
  <c r="Q26" i="8"/>
  <c r="I26" i="8" s="1"/>
  <c r="Q25" i="8"/>
  <c r="I25" i="8" s="1"/>
  <c r="Q28" i="8"/>
  <c r="I28" i="8" s="1"/>
  <c r="Q30" i="8"/>
  <c r="I30" i="8" s="1"/>
  <c r="M29" i="8"/>
  <c r="O36" i="8"/>
  <c r="G36" i="8" s="1"/>
  <c r="N38" i="8"/>
  <c r="N35" i="8"/>
  <c r="N37" i="8"/>
  <c r="N39" i="8"/>
  <c r="F39" i="8" s="1"/>
  <c r="N40" i="8"/>
  <c r="F40" i="8" s="1"/>
  <c r="M36" i="8"/>
  <c r="E39" i="8"/>
  <c r="F45" i="8"/>
  <c r="K45" i="8" s="1"/>
  <c r="S45" i="8"/>
  <c r="R35" i="8"/>
  <c r="J35" i="8" s="1"/>
  <c r="R36" i="8"/>
  <c r="J36" i="8" s="1"/>
  <c r="R39" i="8"/>
  <c r="J39" i="8" s="1"/>
  <c r="R37" i="8"/>
  <c r="J37" i="8" s="1"/>
  <c r="R38" i="8"/>
  <c r="J38" i="8" s="1"/>
  <c r="P40" i="8"/>
  <c r="H40" i="8" s="1"/>
  <c r="E46" i="8"/>
  <c r="K46" i="8" s="1"/>
  <c r="S46" i="8"/>
  <c r="S48" i="8"/>
  <c r="S50" i="8"/>
  <c r="P29" i="8"/>
  <c r="H29" i="8" s="1"/>
  <c r="O25" i="8"/>
  <c r="G25" i="8" s="1"/>
  <c r="O28" i="8"/>
  <c r="G28" i="8" s="1"/>
  <c r="O29" i="8"/>
  <c r="G29" i="8" s="1"/>
  <c r="O26" i="8"/>
  <c r="G26" i="8" s="1"/>
  <c r="M27" i="8"/>
  <c r="O30" i="8"/>
  <c r="G30" i="8" s="1"/>
  <c r="P36" i="8"/>
  <c r="H36" i="8" s="1"/>
  <c r="R25" i="8"/>
  <c r="J25" i="8" s="1"/>
  <c r="R26" i="8"/>
  <c r="J26" i="8" s="1"/>
  <c r="R28" i="8"/>
  <c r="J28" i="8" s="1"/>
  <c r="R29" i="8"/>
  <c r="J29" i="8" s="1"/>
  <c r="R27" i="8"/>
  <c r="J27" i="8" s="1"/>
  <c r="K48" i="8"/>
  <c r="K50" i="8"/>
  <c r="S47" i="8"/>
  <c r="F69" i="8"/>
  <c r="K69" i="8" s="1"/>
  <c r="S69" i="8"/>
  <c r="K47" i="8"/>
  <c r="P26" i="8"/>
  <c r="H26" i="8" s="1"/>
  <c r="M6" i="8"/>
  <c r="E6" i="8" s="1"/>
  <c r="M8" i="8"/>
  <c r="E8" i="8" s="1"/>
  <c r="M10" i="8"/>
  <c r="E10" i="8" s="1"/>
  <c r="M7" i="8"/>
  <c r="E7" i="8" s="1"/>
  <c r="M9" i="8"/>
  <c r="N8" i="8"/>
  <c r="F8" i="8" s="1"/>
  <c r="N5" i="8"/>
  <c r="F5" i="8" s="1"/>
  <c r="N10" i="8"/>
  <c r="F10" i="8" s="1"/>
  <c r="N7" i="8"/>
  <c r="F7" i="8" s="1"/>
  <c r="N9" i="8"/>
  <c r="F9" i="8" s="1"/>
  <c r="R6" i="8"/>
  <c r="J6" i="8" s="1"/>
  <c r="Q10" i="8"/>
  <c r="I10" i="8" s="1"/>
  <c r="Q7" i="8"/>
  <c r="I7" i="8" s="1"/>
  <c r="Q6" i="8"/>
  <c r="I6" i="8" s="1"/>
  <c r="Q8" i="8"/>
  <c r="I8" i="8" s="1"/>
  <c r="Q5" i="8"/>
  <c r="I5" i="8" s="1"/>
  <c r="O8" i="8"/>
  <c r="G8" i="8" s="1"/>
  <c r="O5" i="8"/>
  <c r="G5" i="8" s="1"/>
  <c r="O10" i="8"/>
  <c r="G10" i="8" s="1"/>
  <c r="O9" i="8"/>
  <c r="G9" i="8" s="1"/>
  <c r="O6" i="8"/>
  <c r="G6" i="8" s="1"/>
  <c r="R9" i="8"/>
  <c r="J9" i="8" s="1"/>
  <c r="P5" i="8"/>
  <c r="H5" i="8" s="1"/>
  <c r="P10" i="8"/>
  <c r="H10" i="8" s="1"/>
  <c r="P7" i="8"/>
  <c r="H7" i="8" s="1"/>
  <c r="P9" i="8"/>
  <c r="H9" i="8" s="1"/>
  <c r="P6" i="8"/>
  <c r="H6" i="8" s="1"/>
  <c r="R5" i="8"/>
  <c r="J5" i="8" s="1"/>
  <c r="R7" i="8"/>
  <c r="J7" i="8" s="1"/>
  <c r="F32" i="7"/>
  <c r="D50" i="1" s="1"/>
  <c r="D60" i="1"/>
  <c r="F9" i="7"/>
  <c r="D80" i="1" s="1"/>
  <c r="D90" i="1"/>
  <c r="F30" i="7"/>
  <c r="D48" i="1" s="1"/>
  <c r="D58" i="1"/>
  <c r="F31" i="7"/>
  <c r="D49" i="1" s="1"/>
  <c r="D69" i="1" s="1"/>
  <c r="F37" i="7"/>
  <c r="E49" i="1" s="1"/>
  <c r="E59" i="1"/>
  <c r="F7" i="7"/>
  <c r="D78" i="1" s="1"/>
  <c r="D88" i="1"/>
  <c r="F4" i="7"/>
  <c r="D75" i="1" s="1"/>
  <c r="D95" i="1" s="1"/>
  <c r="F29" i="7"/>
  <c r="D47" i="1" s="1"/>
  <c r="D57" i="1"/>
  <c r="F27" i="7"/>
  <c r="D45" i="1" s="1"/>
  <c r="D65" i="1" s="1"/>
  <c r="F6" i="7"/>
  <c r="D77" i="1" s="1"/>
  <c r="D87" i="1"/>
  <c r="F28" i="7"/>
  <c r="D46" i="1" s="1"/>
  <c r="D56" i="1"/>
  <c r="F43" i="7"/>
  <c r="F49" i="1" s="1"/>
  <c r="F59" i="1"/>
  <c r="F47" i="7"/>
  <c r="G47" i="1" s="1"/>
  <c r="G57" i="1"/>
  <c r="F5" i="7"/>
  <c r="D76" i="1" s="1"/>
  <c r="D86" i="1"/>
  <c r="F8" i="7"/>
  <c r="D79" i="1" s="1"/>
  <c r="D99" i="1" s="1"/>
  <c r="C55" i="6"/>
  <c r="C54" i="6"/>
  <c r="C53" i="6"/>
  <c r="C51" i="6"/>
  <c r="C52" i="6"/>
  <c r="C50" i="6"/>
  <c r="C33" i="6"/>
  <c r="C32" i="6"/>
  <c r="C31" i="6"/>
  <c r="C30" i="6"/>
  <c r="C29" i="6"/>
  <c r="C28" i="6"/>
  <c r="C62" i="6"/>
  <c r="C63" i="6"/>
  <c r="C64" i="6"/>
  <c r="C65" i="6"/>
  <c r="C66" i="6"/>
  <c r="C61" i="6"/>
  <c r="D100" i="1" l="1"/>
  <c r="K57" i="8"/>
  <c r="S57" i="8"/>
  <c r="D66" i="1"/>
  <c r="K56" i="8"/>
  <c r="K58" i="8"/>
  <c r="S56" i="8"/>
  <c r="D68" i="1"/>
  <c r="K60" i="8"/>
  <c r="D70" i="1"/>
  <c r="K59" i="8"/>
  <c r="D97" i="1"/>
  <c r="D67" i="1"/>
  <c r="E69" i="1"/>
  <c r="S58" i="8"/>
  <c r="S59" i="8"/>
  <c r="G67" i="1"/>
  <c r="K55" i="8"/>
  <c r="D96" i="1"/>
  <c r="D98" i="1"/>
  <c r="F69" i="1"/>
  <c r="S60" i="8"/>
  <c r="S55" i="8"/>
  <c r="K40" i="8"/>
  <c r="E27" i="8"/>
  <c r="K27" i="8" s="1"/>
  <c r="S27" i="8"/>
  <c r="K39" i="8"/>
  <c r="E29" i="8"/>
  <c r="K29" i="8" s="1"/>
  <c r="S29" i="8"/>
  <c r="F28" i="8"/>
  <c r="K28" i="8" s="1"/>
  <c r="S28" i="8"/>
  <c r="S26" i="8"/>
  <c r="S30" i="8"/>
  <c r="F30" i="8"/>
  <c r="K30" i="8" s="1"/>
  <c r="K26" i="8"/>
  <c r="E36" i="8"/>
  <c r="K36" i="8" s="1"/>
  <c r="S36" i="8"/>
  <c r="F37" i="8"/>
  <c r="K37" i="8" s="1"/>
  <c r="S37" i="8"/>
  <c r="F35" i="8"/>
  <c r="K35" i="8" s="1"/>
  <c r="S35" i="8"/>
  <c r="F25" i="8"/>
  <c r="K25" i="8" s="1"/>
  <c r="S25" i="8"/>
  <c r="S39" i="8"/>
  <c r="F38" i="8"/>
  <c r="K38" i="8" s="1"/>
  <c r="S38" i="8"/>
  <c r="S40" i="8"/>
  <c r="E9" i="8"/>
  <c r="K9" i="8" s="1"/>
  <c r="S9" i="8"/>
  <c r="K10" i="8"/>
  <c r="K8" i="8"/>
  <c r="K7" i="8"/>
  <c r="K6" i="8"/>
  <c r="K5" i="8"/>
  <c r="S10" i="8"/>
  <c r="S7" i="8"/>
  <c r="S6" i="8"/>
  <c r="S8" i="8"/>
  <c r="S5" i="8"/>
  <c r="C9" i="6"/>
  <c r="C8" i="6"/>
  <c r="C7" i="6"/>
  <c r="C6" i="6"/>
  <c r="C5" i="6"/>
  <c r="C21" i="6"/>
  <c r="C20" i="6"/>
  <c r="C19" i="6"/>
  <c r="C18" i="6"/>
  <c r="C17" i="6"/>
  <c r="C16" i="6"/>
  <c r="C44" i="6"/>
  <c r="C43" i="6"/>
  <c r="C42" i="6"/>
  <c r="C41" i="6"/>
  <c r="C40" i="6"/>
  <c r="C39" i="6"/>
  <c r="G12" i="1"/>
  <c r="G39" i="6" l="1"/>
  <c r="H39" i="6" s="1"/>
  <c r="BU3" i="3" a="1"/>
  <c r="E8" i="1"/>
  <c r="E11" i="1"/>
  <c r="D11" i="1" s="1"/>
  <c r="E6" i="1"/>
  <c r="E10" i="1"/>
  <c r="E7" i="1"/>
  <c r="E9" i="1"/>
  <c r="E45" i="6"/>
  <c r="F45" i="6"/>
  <c r="G44" i="6"/>
  <c r="I39" i="1"/>
  <c r="G39" i="1"/>
  <c r="I39" i="6" l="1"/>
  <c r="BU3" i="3"/>
  <c r="BW3" i="3"/>
  <c r="BX3" i="3"/>
  <c r="BY3" i="3"/>
  <c r="BZ3" i="3"/>
  <c r="BV3" i="3"/>
  <c r="F47" i="6"/>
  <c r="H44" i="6"/>
  <c r="I44" i="6"/>
  <c r="DC8" i="3"/>
  <c r="DB8" i="3"/>
  <c r="DA8" i="3"/>
  <c r="CZ8" i="3"/>
  <c r="CY8" i="3"/>
  <c r="CX8" i="3"/>
  <c r="DC7" i="3"/>
  <c r="DB7" i="3"/>
  <c r="DA7" i="3"/>
  <c r="CZ7" i="3"/>
  <c r="CY7" i="3"/>
  <c r="CX7" i="3"/>
  <c r="DC6" i="3"/>
  <c r="DB6" i="3"/>
  <c r="DA6" i="3"/>
  <c r="CZ6" i="3"/>
  <c r="CY6" i="3"/>
  <c r="CX6" i="3"/>
  <c r="DC5" i="3"/>
  <c r="DB5" i="3"/>
  <c r="DA5" i="3"/>
  <c r="CZ5" i="3"/>
  <c r="CY5" i="3"/>
  <c r="CX5" i="3"/>
  <c r="DC4" i="3"/>
  <c r="DB4" i="3"/>
  <c r="DA4" i="3"/>
  <c r="CZ4" i="3"/>
  <c r="CY4" i="3"/>
  <c r="CX4" i="3"/>
  <c r="DC3" i="3"/>
  <c r="DB3" i="3"/>
  <c r="DA3" i="3"/>
  <c r="CZ3" i="3"/>
  <c r="CY3" i="3"/>
  <c r="CX3" i="3"/>
  <c r="CZ9" i="3" l="1"/>
  <c r="DA9" i="3"/>
  <c r="DB9" i="3"/>
  <c r="DC9" i="3"/>
  <c r="CY9" i="3"/>
  <c r="CX9" i="3"/>
  <c r="B44" i="6"/>
  <c r="B43" i="6"/>
  <c r="B42" i="6"/>
  <c r="B41" i="6"/>
  <c r="B40" i="6"/>
  <c r="B39" i="6"/>
  <c r="D6" i="1"/>
  <c r="BZ8" i="3" l="1"/>
  <c r="BZ9" i="3"/>
  <c r="BZ10" i="3"/>
  <c r="BZ12" i="3" l="1"/>
  <c r="BZ11" i="3"/>
  <c r="BU2" i="3" a="1"/>
  <c r="BU2" i="3" s="1"/>
  <c r="BX2" i="3" l="1"/>
  <c r="BW2" i="3"/>
  <c r="BZ2" i="3"/>
  <c r="BV2" i="3"/>
  <c r="BY2" i="3"/>
  <c r="H37" i="1"/>
  <c r="H36" i="1"/>
  <c r="H35" i="1"/>
  <c r="H34" i="1"/>
  <c r="H33" i="1"/>
  <c r="H32" i="1"/>
  <c r="H31" i="1"/>
  <c r="H30" i="1"/>
  <c r="Q2" i="3" a="1"/>
  <c r="Q2" i="3" s="1"/>
  <c r="K2" i="3" a="1"/>
  <c r="P2" i="3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V2" i="3" a="1"/>
  <c r="W2" i="3" s="1"/>
  <c r="C80" i="6"/>
  <c r="D93" i="1" a="1"/>
  <c r="I93" i="1" s="1"/>
  <c r="D83" i="1" a="1"/>
  <c r="I83" i="1" s="1"/>
  <c r="D73" i="1" a="1"/>
  <c r="I73" i="1" s="1"/>
  <c r="D63" i="1" a="1"/>
  <c r="I63" i="1" s="1"/>
  <c r="D53" i="1" a="1"/>
  <c r="I53" i="1" s="1"/>
  <c r="D43" i="1" a="1"/>
  <c r="H43" i="1" s="1"/>
  <c r="D75" i="6" l="1"/>
  <c r="D79" i="6"/>
  <c r="D77" i="6"/>
  <c r="D76" i="6"/>
  <c r="D73" i="6"/>
  <c r="D74" i="6"/>
  <c r="D78" i="6"/>
  <c r="K3" i="3" a="1"/>
  <c r="L3" i="3" s="1"/>
  <c r="R2" i="3"/>
  <c r="K2" i="3"/>
  <c r="M2" i="3"/>
  <c r="O2" i="3"/>
  <c r="N2" i="3"/>
  <c r="L2" i="3"/>
  <c r="D93" i="1"/>
  <c r="V2" i="3"/>
  <c r="AA2" i="3"/>
  <c r="Z2" i="3"/>
  <c r="Y2" i="3"/>
  <c r="X2" i="3"/>
  <c r="E93" i="1"/>
  <c r="F93" i="1"/>
  <c r="G93" i="1"/>
  <c r="H93" i="1"/>
  <c r="D83" i="1"/>
  <c r="E83" i="1"/>
  <c r="F83" i="1"/>
  <c r="G83" i="1"/>
  <c r="H83" i="1"/>
  <c r="F73" i="1"/>
  <c r="D73" i="1"/>
  <c r="E73" i="1"/>
  <c r="G73" i="1"/>
  <c r="H73" i="1"/>
  <c r="D63" i="1"/>
  <c r="F63" i="1"/>
  <c r="G63" i="1"/>
  <c r="H63" i="1"/>
  <c r="E63" i="1"/>
  <c r="D53" i="1"/>
  <c r="E53" i="1"/>
  <c r="F53" i="1"/>
  <c r="G53" i="1"/>
  <c r="H53" i="1"/>
  <c r="E43" i="1"/>
  <c r="D43" i="1"/>
  <c r="G43" i="1"/>
  <c r="F43" i="1"/>
  <c r="I43" i="1"/>
  <c r="D80" i="6" l="1"/>
  <c r="P3" i="3"/>
  <c r="M3" i="3"/>
  <c r="K3" i="3"/>
  <c r="O3" i="3"/>
  <c r="N3" i="3"/>
  <c r="L20" i="1" l="1"/>
  <c r="L19" i="1" l="1"/>
  <c r="L24" i="1"/>
  <c r="L21" i="1"/>
  <c r="L23" i="1"/>
  <c r="AF8" i="3" l="1"/>
  <c r="AG8" i="3"/>
  <c r="AH8" i="3"/>
  <c r="AI8" i="3"/>
  <c r="AJ8" i="3"/>
  <c r="AE8" i="3"/>
  <c r="D4" i="2" l="1"/>
  <c r="D10" i="6"/>
  <c r="E10" i="6"/>
  <c r="J9" i="6"/>
  <c r="J8" i="6"/>
  <c r="G7" i="6"/>
  <c r="J6" i="6"/>
  <c r="J5" i="6"/>
  <c r="J4" i="6"/>
  <c r="J7" i="6" l="1"/>
  <c r="C10" i="6"/>
  <c r="G10" i="6" s="1"/>
  <c r="I10" i="6" s="1"/>
  <c r="H7" i="6"/>
  <c r="G6" i="6"/>
  <c r="I6" i="6" s="1"/>
  <c r="I7" i="6"/>
  <c r="G4" i="6"/>
  <c r="I4" i="6" s="1"/>
  <c r="G8" i="6"/>
  <c r="H8" i="6" s="1"/>
  <c r="G9" i="6"/>
  <c r="H9" i="6" s="1"/>
  <c r="G5" i="6"/>
  <c r="I5" i="6" s="1"/>
  <c r="H10" i="6" l="1"/>
  <c r="H4" i="6"/>
  <c r="H6" i="6"/>
  <c r="I9" i="6"/>
  <c r="I8" i="6"/>
  <c r="H5" i="6"/>
  <c r="G50" i="6" l="1"/>
  <c r="E45" i="7" l="1"/>
  <c r="G55" i="1" s="1"/>
  <c r="E46" i="7"/>
  <c r="E48" i="7"/>
  <c r="E49" i="7"/>
  <c r="E50" i="7"/>
  <c r="E52" i="7"/>
  <c r="E51" i="7"/>
  <c r="F45" i="7"/>
  <c r="G45" i="1" s="1"/>
  <c r="E39" i="7"/>
  <c r="E40" i="7"/>
  <c r="E41" i="7"/>
  <c r="E42" i="7"/>
  <c r="E44" i="7"/>
  <c r="E34" i="7"/>
  <c r="E35" i="7"/>
  <c r="E36" i="7"/>
  <c r="E38" i="7"/>
  <c r="E33" i="7"/>
  <c r="G65" i="1" l="1"/>
  <c r="F42" i="7"/>
  <c r="F48" i="1" s="1"/>
  <c r="F58" i="1"/>
  <c r="F49" i="7"/>
  <c r="G49" i="1" s="1"/>
  <c r="G59" i="1"/>
  <c r="F36" i="7"/>
  <c r="E48" i="1" s="1"/>
  <c r="E58" i="1"/>
  <c r="F35" i="7"/>
  <c r="E47" i="1" s="1"/>
  <c r="E57" i="1"/>
  <c r="F41" i="7"/>
  <c r="F47" i="1" s="1"/>
  <c r="F57" i="1"/>
  <c r="F51" i="7"/>
  <c r="H57" i="1"/>
  <c r="H55" i="1"/>
  <c r="H60" i="1"/>
  <c r="H58" i="1"/>
  <c r="H59" i="1"/>
  <c r="H56" i="1"/>
  <c r="F48" i="7"/>
  <c r="G48" i="1" s="1"/>
  <c r="G58" i="1"/>
  <c r="F33" i="7"/>
  <c r="E45" i="1" s="1"/>
  <c r="E55" i="1"/>
  <c r="F34" i="7"/>
  <c r="E46" i="1" s="1"/>
  <c r="E56" i="1"/>
  <c r="F40" i="7"/>
  <c r="F46" i="1" s="1"/>
  <c r="F56" i="1"/>
  <c r="F52" i="7"/>
  <c r="I59" i="1"/>
  <c r="I56" i="1"/>
  <c r="I60" i="1"/>
  <c r="I58" i="1"/>
  <c r="I57" i="1"/>
  <c r="I55" i="1"/>
  <c r="F46" i="7"/>
  <c r="G46" i="1" s="1"/>
  <c r="G56" i="1"/>
  <c r="F38" i="7"/>
  <c r="E50" i="1" s="1"/>
  <c r="E60" i="1"/>
  <c r="F44" i="7"/>
  <c r="F50" i="1" s="1"/>
  <c r="F60" i="1"/>
  <c r="F39" i="7"/>
  <c r="F45" i="1" s="1"/>
  <c r="F55" i="1"/>
  <c r="F50" i="7"/>
  <c r="G50" i="1" s="1"/>
  <c r="G60" i="1"/>
  <c r="BM8" i="3"/>
  <c r="BN8" i="3"/>
  <c r="BO8" i="3"/>
  <c r="BL8" i="3"/>
  <c r="BM9" i="3"/>
  <c r="BN9" i="3"/>
  <c r="BO9" i="3"/>
  <c r="BM10" i="3"/>
  <c r="BN10" i="3"/>
  <c r="BO10" i="3"/>
  <c r="BL10" i="3"/>
  <c r="BL9" i="3"/>
  <c r="BG2" i="3"/>
  <c r="BF8" i="3"/>
  <c r="BF9" i="3"/>
  <c r="BF10" i="3"/>
  <c r="BG10" i="3"/>
  <c r="BE10" i="3"/>
  <c r="BD10" i="3"/>
  <c r="BC10" i="3"/>
  <c r="BB10" i="3"/>
  <c r="BA10" i="3"/>
  <c r="AZ10" i="3"/>
  <c r="BG9" i="3"/>
  <c r="BE9" i="3"/>
  <c r="BD9" i="3"/>
  <c r="BC9" i="3"/>
  <c r="BB9" i="3"/>
  <c r="BA9" i="3"/>
  <c r="AZ9" i="3"/>
  <c r="BG8" i="3"/>
  <c r="BE8" i="3"/>
  <c r="BD8" i="3"/>
  <c r="BC8" i="3"/>
  <c r="BB8" i="3"/>
  <c r="BA8" i="3"/>
  <c r="AZ8" i="3"/>
  <c r="BQ10" i="3"/>
  <c r="BQ9" i="3"/>
  <c r="BQ8" i="3"/>
  <c r="G70" i="1" l="1"/>
  <c r="E66" i="1"/>
  <c r="G69" i="1"/>
  <c r="F67" i="1"/>
  <c r="F65" i="1"/>
  <c r="F70" i="1"/>
  <c r="G68" i="1"/>
  <c r="F66" i="1"/>
  <c r="E67" i="1"/>
  <c r="E68" i="1"/>
  <c r="E65" i="1"/>
  <c r="E70" i="1"/>
  <c r="G66" i="1"/>
  <c r="F68" i="1"/>
  <c r="H47" i="1"/>
  <c r="H67" i="1" s="1"/>
  <c r="H45" i="1"/>
  <c r="H65" i="1" s="1"/>
  <c r="H46" i="1"/>
  <c r="H66" i="1" s="1"/>
  <c r="H48" i="1"/>
  <c r="H68" i="1" s="1"/>
  <c r="H50" i="1"/>
  <c r="H70" i="1" s="1"/>
  <c r="H49" i="1"/>
  <c r="H69" i="1" s="1"/>
  <c r="I49" i="1"/>
  <c r="I69" i="1" s="1"/>
  <c r="I46" i="1"/>
  <c r="I66" i="1" s="1"/>
  <c r="I50" i="1"/>
  <c r="I70" i="1" s="1"/>
  <c r="I48" i="1"/>
  <c r="I68" i="1" s="1"/>
  <c r="I47" i="1"/>
  <c r="I67" i="1" s="1"/>
  <c r="I45" i="1"/>
  <c r="I65" i="1" s="1"/>
  <c r="BM12" i="3"/>
  <c r="BN12" i="3"/>
  <c r="BO12" i="3"/>
  <c r="BO11" i="3"/>
  <c r="BN11" i="3"/>
  <c r="BM11" i="3"/>
  <c r="BL12" i="3"/>
  <c r="BL11" i="3"/>
  <c r="BA11" i="3"/>
  <c r="BF11" i="3"/>
  <c r="BE11" i="3"/>
  <c r="BD11" i="3"/>
  <c r="BF12" i="3"/>
  <c r="BC11" i="3"/>
  <c r="BQ11" i="3"/>
  <c r="AZ11" i="3"/>
  <c r="BB11" i="3"/>
  <c r="AZ12" i="3"/>
  <c r="BC12" i="3"/>
  <c r="BG11" i="3"/>
  <c r="BA12" i="3"/>
  <c r="BB12" i="3"/>
  <c r="BD12" i="3"/>
  <c r="BE12" i="3"/>
  <c r="BG12" i="3"/>
  <c r="BQ12" i="3"/>
  <c r="AA8" i="3"/>
  <c r="AA9" i="3"/>
  <c r="AA10" i="3"/>
  <c r="Z8" i="3"/>
  <c r="Z9" i="3"/>
  <c r="Z10" i="3"/>
  <c r="Y10" i="3"/>
  <c r="X10" i="3"/>
  <c r="W10" i="3"/>
  <c r="V10" i="3"/>
  <c r="Y9" i="3"/>
  <c r="X9" i="3"/>
  <c r="W9" i="3"/>
  <c r="V9" i="3"/>
  <c r="Y8" i="3"/>
  <c r="X8" i="3"/>
  <c r="W8" i="3"/>
  <c r="V8" i="3"/>
  <c r="E10" i="7"/>
  <c r="F10" i="7" l="1"/>
  <c r="F75" i="1" s="1"/>
  <c r="F85" i="1"/>
  <c r="Z12" i="3"/>
  <c r="Z11" i="3"/>
  <c r="AA11" i="3"/>
  <c r="AA12" i="3"/>
  <c r="W12" i="3"/>
  <c r="X12" i="3"/>
  <c r="Y12" i="3"/>
  <c r="V12" i="3"/>
  <c r="W11" i="3"/>
  <c r="X11" i="3"/>
  <c r="Y11" i="3"/>
  <c r="V11" i="3"/>
  <c r="D45" i="6"/>
  <c r="D22" i="6"/>
  <c r="F67" i="6"/>
  <c r="E67" i="6"/>
  <c r="D67" i="6"/>
  <c r="G61" i="6"/>
  <c r="D34" i="6"/>
  <c r="G55" i="6"/>
  <c r="G54" i="6"/>
  <c r="G53" i="6"/>
  <c r="G52" i="6"/>
  <c r="D56" i="6"/>
  <c r="B55" i="6"/>
  <c r="B66" i="6" s="1"/>
  <c r="B54" i="6"/>
  <c r="B65" i="6" s="1"/>
  <c r="B53" i="6"/>
  <c r="B64" i="6" s="1"/>
  <c r="B52" i="6"/>
  <c r="B63" i="6" s="1"/>
  <c r="B51" i="6"/>
  <c r="B62" i="6" s="1"/>
  <c r="B50" i="6"/>
  <c r="B61" i="6" s="1"/>
  <c r="F56" i="6"/>
  <c r="E56" i="6"/>
  <c r="I50" i="6"/>
  <c r="F95" i="1" l="1"/>
  <c r="C34" i="6"/>
  <c r="E71" i="6"/>
  <c r="V3" i="3" a="1"/>
  <c r="H54" i="6"/>
  <c r="I54" i="6"/>
  <c r="I55" i="6"/>
  <c r="H55" i="6"/>
  <c r="C67" i="6"/>
  <c r="I53" i="6"/>
  <c r="H53" i="6"/>
  <c r="C56" i="6"/>
  <c r="CD3" i="3" s="1" a="1"/>
  <c r="G65" i="6"/>
  <c r="I65" i="6" s="1"/>
  <c r="G51" i="6"/>
  <c r="I51" i="6" s="1"/>
  <c r="H52" i="6"/>
  <c r="G62" i="6"/>
  <c r="H62" i="6" s="1"/>
  <c r="G66" i="6"/>
  <c r="I66" i="6" s="1"/>
  <c r="G63" i="6"/>
  <c r="I63" i="6" s="1"/>
  <c r="G64" i="6"/>
  <c r="H64" i="6" s="1"/>
  <c r="I61" i="6"/>
  <c r="H50" i="6"/>
  <c r="V3" i="3" l="1"/>
  <c r="Z3" i="3"/>
  <c r="X3" i="3"/>
  <c r="Y3" i="3"/>
  <c r="W3" i="3"/>
  <c r="AA3" i="3"/>
  <c r="H51" i="6"/>
  <c r="G56" i="6"/>
  <c r="H56" i="6" s="1"/>
  <c r="I62" i="6"/>
  <c r="G67" i="6"/>
  <c r="H67" i="6" s="1"/>
  <c r="AO3" i="3" a="1"/>
  <c r="CI3" i="3"/>
  <c r="CE3" i="3"/>
  <c r="CD3" i="3"/>
  <c r="CF3" i="3"/>
  <c r="CH3" i="3"/>
  <c r="CG3" i="3"/>
  <c r="CJ3" i="3"/>
  <c r="H65" i="6"/>
  <c r="I64" i="6"/>
  <c r="I52" i="6"/>
  <c r="H66" i="6"/>
  <c r="H61" i="6"/>
  <c r="H63" i="6"/>
  <c r="I56" i="6" l="1"/>
  <c r="CD4" i="3" s="1" a="1"/>
  <c r="I67" i="6"/>
  <c r="AO4" i="3" s="1" a="1"/>
  <c r="AQ3" i="3"/>
  <c r="AT3" i="3"/>
  <c r="AO3" i="3"/>
  <c r="AS3" i="3"/>
  <c r="AR3" i="3"/>
  <c r="AP3" i="3"/>
  <c r="AU3" i="3"/>
  <c r="CF4" i="3" l="1"/>
  <c r="CF6" i="3" s="1"/>
  <c r="CJ4" i="3"/>
  <c r="CH4" i="3"/>
  <c r="CH6" i="3" s="1"/>
  <c r="CF5" i="3"/>
  <c r="CF7" i="3" s="1"/>
  <c r="CH5" i="3"/>
  <c r="CH7" i="3" s="1"/>
  <c r="CI5" i="3"/>
  <c r="CI7" i="3" s="1"/>
  <c r="CG5" i="3"/>
  <c r="CG7" i="3" s="1"/>
  <c r="CD5" i="3"/>
  <c r="CD7" i="3" s="1"/>
  <c r="CI4" i="3"/>
  <c r="CI6" i="3" s="1"/>
  <c r="CG4" i="3"/>
  <c r="CG6" i="3" s="1"/>
  <c r="CE4" i="3"/>
  <c r="CE6" i="3" s="1"/>
  <c r="CD4" i="3"/>
  <c r="CD6" i="3" s="1"/>
  <c r="CJ5" i="3"/>
  <c r="CE5" i="3"/>
  <c r="CE7" i="3" s="1"/>
  <c r="AT4" i="3"/>
  <c r="AT6" i="3" s="1"/>
  <c r="AS4" i="3"/>
  <c r="AS6" i="3" s="1"/>
  <c r="AS5" i="3"/>
  <c r="AS7" i="3" s="1"/>
  <c r="AP5" i="3"/>
  <c r="AP7" i="3" s="1"/>
  <c r="AR4" i="3"/>
  <c r="AR6" i="3" s="1"/>
  <c r="AP4" i="3"/>
  <c r="AP6" i="3" s="1"/>
  <c r="AR5" i="3"/>
  <c r="AR7" i="3" s="1"/>
  <c r="AQ4" i="3"/>
  <c r="AQ6" i="3" s="1"/>
  <c r="AT5" i="3"/>
  <c r="AT7" i="3" s="1"/>
  <c r="AQ5" i="3"/>
  <c r="AQ7" i="3" s="1"/>
  <c r="AO5" i="3"/>
  <c r="AO7" i="3" s="1"/>
  <c r="AO4" i="3"/>
  <c r="AO6" i="3" s="1"/>
  <c r="AU5" i="3"/>
  <c r="AU7" i="3" s="1"/>
  <c r="AU4" i="3"/>
  <c r="AU6" i="3" s="1"/>
  <c r="C45" i="6" l="1"/>
  <c r="G43" i="6"/>
  <c r="I43" i="6" s="1"/>
  <c r="G42" i="6"/>
  <c r="H42" i="6" s="1"/>
  <c r="G41" i="6"/>
  <c r="I41" i="6" s="1"/>
  <c r="G40" i="6"/>
  <c r="I40" i="6" s="1"/>
  <c r="D10" i="1"/>
  <c r="D9" i="1"/>
  <c r="D8" i="1"/>
  <c r="D7" i="1"/>
  <c r="D12" i="1" l="1"/>
  <c r="I42" i="6"/>
  <c r="BU5" i="3" s="1" a="1"/>
  <c r="G45" i="6"/>
  <c r="H45" i="6" s="1"/>
  <c r="H40" i="6"/>
  <c r="H41" i="6"/>
  <c r="H43" i="6"/>
  <c r="CD2" i="3"/>
  <c r="CE2" i="3"/>
  <c r="CF2" i="3"/>
  <c r="CG2" i="3"/>
  <c r="CH2" i="3"/>
  <c r="CI2" i="3"/>
  <c r="CC2" i="3"/>
  <c r="CI10" i="3"/>
  <c r="CH10" i="3"/>
  <c r="CG10" i="3"/>
  <c r="CF10" i="3"/>
  <c r="CE10" i="3"/>
  <c r="CD10" i="3"/>
  <c r="CC10" i="3"/>
  <c r="CI9" i="3"/>
  <c r="CH9" i="3"/>
  <c r="CG9" i="3"/>
  <c r="CF9" i="3"/>
  <c r="CE9" i="3"/>
  <c r="CD9" i="3"/>
  <c r="CC9" i="3"/>
  <c r="CI8" i="3"/>
  <c r="CH8" i="3"/>
  <c r="CG8" i="3"/>
  <c r="CF8" i="3"/>
  <c r="CE8" i="3"/>
  <c r="CD8" i="3"/>
  <c r="CC8" i="3"/>
  <c r="BU5" i="3" l="1"/>
  <c r="BU7" i="3" s="1"/>
  <c r="BX5" i="3"/>
  <c r="BX7" i="3" s="1"/>
  <c r="BW5" i="3"/>
  <c r="BW7" i="3" s="1"/>
  <c r="BZ5" i="3"/>
  <c r="BZ7" i="3" s="1"/>
  <c r="BV5" i="3"/>
  <c r="BV7" i="3" s="1"/>
  <c r="BY5" i="3"/>
  <c r="BY7" i="3" s="1"/>
  <c r="BU4" i="3" a="1"/>
  <c r="I45" i="6"/>
  <c r="CH12" i="3"/>
  <c r="CF11" i="3"/>
  <c r="CD11" i="3"/>
  <c r="CH11" i="3"/>
  <c r="CI11" i="3"/>
  <c r="CE11" i="3"/>
  <c r="CC12" i="3"/>
  <c r="CG12" i="3"/>
  <c r="CD12" i="3"/>
  <c r="CC11" i="3"/>
  <c r="CG11" i="3"/>
  <c r="CE12" i="3"/>
  <c r="CI12" i="3"/>
  <c r="CF12" i="3"/>
  <c r="L22" i="1"/>
  <c r="BU4" i="3" l="1"/>
  <c r="BU6" i="3" s="1"/>
  <c r="BZ4" i="3"/>
  <c r="BZ6" i="3" s="1"/>
  <c r="BX4" i="3"/>
  <c r="BX6" i="3" s="1"/>
  <c r="BY4" i="3"/>
  <c r="BY6" i="3" s="1"/>
  <c r="BW4" i="3"/>
  <c r="BW6" i="3" s="1"/>
  <c r="BV4" i="3"/>
  <c r="BV6" i="3" s="1"/>
  <c r="E11" i="7"/>
  <c r="E12" i="7"/>
  <c r="F87" i="1" s="1"/>
  <c r="E13" i="7"/>
  <c r="F88" i="1" s="1"/>
  <c r="E14" i="7"/>
  <c r="F89" i="1" s="1"/>
  <c r="E15" i="7"/>
  <c r="F90" i="1" s="1"/>
  <c r="E16" i="7"/>
  <c r="G85" i="1" s="1"/>
  <c r="E17" i="7"/>
  <c r="G86" i="1" s="1"/>
  <c r="E18" i="7"/>
  <c r="G87" i="1" s="1"/>
  <c r="E19" i="7"/>
  <c r="G88" i="1" s="1"/>
  <c r="E20" i="7"/>
  <c r="G89" i="1" s="1"/>
  <c r="E21" i="7"/>
  <c r="G90" i="1" s="1"/>
  <c r="E22" i="7"/>
  <c r="E23" i="7"/>
  <c r="H87" i="1" l="1"/>
  <c r="H85" i="1"/>
  <c r="H86" i="1"/>
  <c r="H88" i="1"/>
  <c r="H89" i="1"/>
  <c r="H90" i="1"/>
  <c r="I89" i="1"/>
  <c r="I86" i="1"/>
  <c r="I90" i="1"/>
  <c r="I87" i="1"/>
  <c r="I85" i="1"/>
  <c r="I88" i="1"/>
  <c r="F11" i="7"/>
  <c r="F76" i="1" s="1"/>
  <c r="F86" i="1"/>
  <c r="F22" i="7"/>
  <c r="F23" i="7"/>
  <c r="F16" i="7"/>
  <c r="G75" i="1" s="1"/>
  <c r="G95" i="1" s="1"/>
  <c r="F21" i="7"/>
  <c r="G80" i="1" s="1"/>
  <c r="G100" i="1" s="1"/>
  <c r="F20" i="7"/>
  <c r="G79" i="1" s="1"/>
  <c r="G99" i="1" s="1"/>
  <c r="F19" i="7"/>
  <c r="G78" i="1" s="1"/>
  <c r="G98" i="1" s="1"/>
  <c r="F15" i="7"/>
  <c r="F80" i="1" s="1"/>
  <c r="F100" i="1" s="1"/>
  <c r="F18" i="7"/>
  <c r="G77" i="1" s="1"/>
  <c r="G97" i="1" s="1"/>
  <c r="F17" i="7"/>
  <c r="G76" i="1" s="1"/>
  <c r="G96" i="1" s="1"/>
  <c r="F14" i="7"/>
  <c r="F79" i="1" s="1"/>
  <c r="F99" i="1" s="1"/>
  <c r="F13" i="7"/>
  <c r="F78" i="1" s="1"/>
  <c r="F98" i="1" s="1"/>
  <c r="F12" i="7"/>
  <c r="F77" i="1" s="1"/>
  <c r="F97" i="1" s="1"/>
  <c r="F34" i="6"/>
  <c r="E34" i="6"/>
  <c r="CN3" i="3" a="1"/>
  <c r="CS3" i="3" s="1"/>
  <c r="G33" i="6"/>
  <c r="H33" i="6" s="1"/>
  <c r="G32" i="6"/>
  <c r="H32" i="6" s="1"/>
  <c r="G31" i="6"/>
  <c r="I31" i="6" s="1"/>
  <c r="G30" i="6"/>
  <c r="H30" i="6" s="1"/>
  <c r="G29" i="6"/>
  <c r="H29" i="6" s="1"/>
  <c r="G28" i="6"/>
  <c r="I28" i="6" s="1"/>
  <c r="F96" i="1" l="1"/>
  <c r="I77" i="1"/>
  <c r="I97" i="1" s="1"/>
  <c r="I75" i="1"/>
  <c r="I95" i="1" s="1"/>
  <c r="I80" i="1"/>
  <c r="I100" i="1" s="1"/>
  <c r="I78" i="1"/>
  <c r="I98" i="1" s="1"/>
  <c r="I79" i="1"/>
  <c r="I99" i="1" s="1"/>
  <c r="I76" i="1"/>
  <c r="I96" i="1" s="1"/>
  <c r="H79" i="1"/>
  <c r="H99" i="1" s="1"/>
  <c r="H76" i="1"/>
  <c r="H96" i="1" s="1"/>
  <c r="H80" i="1"/>
  <c r="H100" i="1" s="1"/>
  <c r="H77" i="1"/>
  <c r="H97" i="1" s="1"/>
  <c r="H75" i="1"/>
  <c r="H95" i="1" s="1"/>
  <c r="J95" i="1" s="1"/>
  <c r="H78" i="1"/>
  <c r="H98" i="1" s="1"/>
  <c r="CR3" i="3"/>
  <c r="CQ3" i="3"/>
  <c r="CP3" i="3"/>
  <c r="CO3" i="3"/>
  <c r="CN3" i="3"/>
  <c r="CT3" i="3"/>
  <c r="H28" i="6"/>
  <c r="I33" i="6"/>
  <c r="I29" i="6"/>
  <c r="G34" i="6"/>
  <c r="I34" i="6" s="1"/>
  <c r="I30" i="6"/>
  <c r="H31" i="6"/>
  <c r="I32" i="6"/>
  <c r="BY8" i="3"/>
  <c r="BY9" i="3"/>
  <c r="BY10" i="3"/>
  <c r="J100" i="1" l="1"/>
  <c r="J96" i="1"/>
  <c r="J99" i="1"/>
  <c r="J97" i="1"/>
  <c r="J98" i="1"/>
  <c r="H34" i="6"/>
  <c r="CN4" i="3" s="1" a="1"/>
  <c r="BY12" i="3"/>
  <c r="BY11" i="3"/>
  <c r="CN2" i="3"/>
  <c r="CO2" i="3"/>
  <c r="CP2" i="3"/>
  <c r="CQ2" i="3"/>
  <c r="CR2" i="3"/>
  <c r="CS2" i="3"/>
  <c r="CM2" i="3"/>
  <c r="CS10" i="3"/>
  <c r="CR10" i="3"/>
  <c r="CQ10" i="3"/>
  <c r="CP10" i="3"/>
  <c r="CO10" i="3"/>
  <c r="CN10" i="3"/>
  <c r="CS9" i="3"/>
  <c r="CR9" i="3"/>
  <c r="CQ9" i="3"/>
  <c r="CP9" i="3"/>
  <c r="CO9" i="3"/>
  <c r="CN9" i="3"/>
  <c r="CS8" i="3"/>
  <c r="CR8" i="3"/>
  <c r="CQ8" i="3"/>
  <c r="CP8" i="3"/>
  <c r="CO8" i="3"/>
  <c r="CN8" i="3"/>
  <c r="F22" i="6"/>
  <c r="E22" i="6"/>
  <c r="C22" i="6" s="1"/>
  <c r="AE3" i="3" s="1" a="1"/>
  <c r="AJ3" i="3" s="1"/>
  <c r="G21" i="6"/>
  <c r="I21" i="6" s="1"/>
  <c r="G20" i="6"/>
  <c r="I20" i="6" s="1"/>
  <c r="G19" i="6"/>
  <c r="I19" i="6" s="1"/>
  <c r="G18" i="6"/>
  <c r="I18" i="6" s="1"/>
  <c r="G17" i="6"/>
  <c r="H17" i="6" s="1"/>
  <c r="G16" i="6"/>
  <c r="I16" i="6" s="1"/>
  <c r="AE2" i="3"/>
  <c r="AO2" i="3" s="1"/>
  <c r="BA2" i="3" s="1"/>
  <c r="AF2" i="3"/>
  <c r="AP2" i="3" s="1"/>
  <c r="BB2" i="3" s="1"/>
  <c r="AG2" i="3"/>
  <c r="AQ2" i="3" s="1"/>
  <c r="BC2" i="3" s="1"/>
  <c r="AH2" i="3"/>
  <c r="AR2" i="3" s="1"/>
  <c r="BD2" i="3" s="1"/>
  <c r="AI2" i="3"/>
  <c r="AS2" i="3" s="1"/>
  <c r="BE2" i="3" s="1"/>
  <c r="AJ2" i="3"/>
  <c r="AT2" i="3" s="1"/>
  <c r="BF2" i="3" s="1"/>
  <c r="AD2" i="3"/>
  <c r="AJ10" i="3"/>
  <c r="AI10" i="3"/>
  <c r="AH10" i="3"/>
  <c r="AG10" i="3"/>
  <c r="AF10" i="3"/>
  <c r="AE10" i="3"/>
  <c r="AD10" i="3"/>
  <c r="AJ9" i="3"/>
  <c r="AI9" i="3"/>
  <c r="AH9" i="3"/>
  <c r="AG9" i="3"/>
  <c r="AF9" i="3"/>
  <c r="AE9" i="3"/>
  <c r="AD9" i="3"/>
  <c r="AD8" i="3"/>
  <c r="J101" i="1" l="1"/>
  <c r="H20" i="6"/>
  <c r="H19" i="6"/>
  <c r="G22" i="6"/>
  <c r="H22" i="6" s="1"/>
  <c r="H21" i="6"/>
  <c r="CP4" i="3"/>
  <c r="CP6" i="3" s="1"/>
  <c r="CO4" i="3"/>
  <c r="CO6" i="3" s="1"/>
  <c r="CN4" i="3"/>
  <c r="CN6" i="3" s="1"/>
  <c r="CR4" i="3"/>
  <c r="CR6" i="3" s="1"/>
  <c r="CT5" i="3"/>
  <c r="CP5" i="3"/>
  <c r="CP7" i="3" s="1"/>
  <c r="CO5" i="3"/>
  <c r="CO7" i="3" s="1"/>
  <c r="CN5" i="3"/>
  <c r="CN7" i="3" s="1"/>
  <c r="CS4" i="3"/>
  <c r="CS6" i="3" s="1"/>
  <c r="CQ4" i="3"/>
  <c r="CQ6" i="3" s="1"/>
  <c r="CS5" i="3"/>
  <c r="CS7" i="3" s="1"/>
  <c r="CR5" i="3"/>
  <c r="CR7" i="3" s="1"/>
  <c r="CQ5" i="3"/>
  <c r="CQ7" i="3" s="1"/>
  <c r="CT4" i="3"/>
  <c r="H16" i="6"/>
  <c r="I17" i="6"/>
  <c r="H18" i="6"/>
  <c r="CR12" i="3"/>
  <c r="CP12" i="3"/>
  <c r="CO12" i="3"/>
  <c r="CQ12" i="3"/>
  <c r="CN12" i="3"/>
  <c r="CP11" i="3"/>
  <c r="CQ11" i="3"/>
  <c r="CS12" i="3"/>
  <c r="CO11" i="3"/>
  <c r="CR11" i="3"/>
  <c r="CS11" i="3"/>
  <c r="CN11" i="3"/>
  <c r="AH11" i="3"/>
  <c r="AF11" i="3"/>
  <c r="AJ11" i="3"/>
  <c r="AI3" i="3"/>
  <c r="AG3" i="3"/>
  <c r="AH3" i="3"/>
  <c r="AF3" i="3"/>
  <c r="AE3" i="3"/>
  <c r="AK3" i="3"/>
  <c r="AI11" i="3"/>
  <c r="AG11" i="3"/>
  <c r="AE11" i="3"/>
  <c r="AD11" i="3"/>
  <c r="AD12" i="3"/>
  <c r="AE12" i="3"/>
  <c r="AF12" i="3"/>
  <c r="AG12" i="3"/>
  <c r="AH12" i="3"/>
  <c r="AI12" i="3"/>
  <c r="AJ12" i="3"/>
  <c r="BU10" i="3"/>
  <c r="BU9" i="3"/>
  <c r="BU8" i="3"/>
  <c r="I22" i="6" l="1"/>
  <c r="AE4" i="3" s="1" a="1"/>
  <c r="AF4" i="3" s="1"/>
  <c r="AF6" i="3" s="1"/>
  <c r="BU11" i="3"/>
  <c r="BU12" i="3"/>
  <c r="BX10" i="3"/>
  <c r="BW10" i="3"/>
  <c r="BV10" i="3"/>
  <c r="BX9" i="3"/>
  <c r="BW9" i="3"/>
  <c r="BV9" i="3"/>
  <c r="BX8" i="3"/>
  <c r="BW8" i="3"/>
  <c r="BV8" i="3"/>
  <c r="AF5" i="3" l="1"/>
  <c r="AF7" i="3" s="1"/>
  <c r="AI5" i="3"/>
  <c r="AI7" i="3" s="1"/>
  <c r="AG5" i="3"/>
  <c r="AG7" i="3" s="1"/>
  <c r="AK4" i="3"/>
  <c r="AK6" i="3" s="1"/>
  <c r="AE4" i="3"/>
  <c r="AE6" i="3" s="1"/>
  <c r="AJ4" i="3"/>
  <c r="AJ6" i="3" s="1"/>
  <c r="AJ5" i="3"/>
  <c r="AJ7" i="3" s="1"/>
  <c r="AI4" i="3"/>
  <c r="AI6" i="3" s="1"/>
  <c r="AK5" i="3"/>
  <c r="AK7" i="3" s="1"/>
  <c r="AE5" i="3"/>
  <c r="AE7" i="3" s="1"/>
  <c r="AH4" i="3"/>
  <c r="AH6" i="3" s="1"/>
  <c r="AH5" i="3"/>
  <c r="AH7" i="3" s="1"/>
  <c r="AG4" i="3"/>
  <c r="AG6" i="3" s="1"/>
  <c r="BX12" i="3"/>
  <c r="BW11" i="3"/>
  <c r="BV11" i="3"/>
  <c r="BV12" i="3"/>
  <c r="BW12" i="3"/>
  <c r="BX11" i="3"/>
  <c r="AU10" i="3" l="1"/>
  <c r="AU9" i="3"/>
  <c r="AU8" i="3"/>
  <c r="K25" i="1"/>
  <c r="AU11" i="3" l="1"/>
  <c r="AU12" i="3"/>
  <c r="D37" i="1" l="1"/>
  <c r="D36" i="1"/>
  <c r="Q3" i="3" s="1" a="1"/>
  <c r="R3" i="3" l="1"/>
  <c r="Q3" i="3"/>
  <c r="AN10" i="3" l="1"/>
  <c r="AN9" i="3"/>
  <c r="AN8" i="3"/>
  <c r="AN11" i="3" l="1"/>
  <c r="AN12" i="3"/>
  <c r="AO10" i="3"/>
  <c r="AP10" i="3"/>
  <c r="AQ10" i="3"/>
  <c r="AR10" i="3"/>
  <c r="AS10" i="3"/>
  <c r="AT10" i="3"/>
  <c r="AO9" i="3"/>
  <c r="AP9" i="3"/>
  <c r="AQ9" i="3"/>
  <c r="AR9" i="3"/>
  <c r="AS9" i="3"/>
  <c r="AT9" i="3"/>
  <c r="AO8" i="3"/>
  <c r="AP8" i="3"/>
  <c r="AQ8" i="3"/>
  <c r="AR8" i="3"/>
  <c r="AS8" i="3"/>
  <c r="AT8" i="3"/>
  <c r="K10" i="3"/>
  <c r="K9" i="3"/>
  <c r="K8" i="3"/>
  <c r="L10" i="3"/>
  <c r="M10" i="3"/>
  <c r="N10" i="3"/>
  <c r="O10" i="3"/>
  <c r="P10" i="3"/>
  <c r="Q10" i="3"/>
  <c r="R10" i="3"/>
  <c r="L9" i="3"/>
  <c r="M9" i="3"/>
  <c r="N9" i="3"/>
  <c r="O9" i="3"/>
  <c r="P9" i="3"/>
  <c r="Q9" i="3"/>
  <c r="R9" i="3"/>
  <c r="L8" i="3"/>
  <c r="M8" i="3"/>
  <c r="N8" i="3"/>
  <c r="O8" i="3"/>
  <c r="P8" i="3"/>
  <c r="Q8" i="3"/>
  <c r="R8" i="3"/>
  <c r="B10" i="3"/>
  <c r="B9" i="3"/>
  <c r="B8" i="3"/>
  <c r="R11" i="3" l="1"/>
  <c r="K12" i="3"/>
  <c r="L11" i="3"/>
  <c r="M11" i="3"/>
  <c r="N12" i="3"/>
  <c r="M12" i="3"/>
  <c r="AS11" i="3"/>
  <c r="AO11" i="3"/>
  <c r="AR11" i="3"/>
  <c r="AQ12" i="3"/>
  <c r="P11" i="3"/>
  <c r="AT12" i="3"/>
  <c r="AP12" i="3"/>
  <c r="B11" i="3"/>
  <c r="Q11" i="3"/>
  <c r="O11" i="3"/>
  <c r="R12" i="3"/>
  <c r="P12" i="3"/>
  <c r="L12" i="3"/>
  <c r="AQ11" i="3"/>
  <c r="AS12" i="3"/>
  <c r="AO12" i="3"/>
  <c r="B12" i="3"/>
  <c r="N11" i="3"/>
  <c r="Q12" i="3"/>
  <c r="O12" i="3"/>
  <c r="K11" i="3"/>
  <c r="AT11" i="3"/>
  <c r="AP11" i="3"/>
  <c r="AR12" i="3"/>
  <c r="F25" i="1"/>
  <c r="G25" i="1"/>
  <c r="H25" i="1"/>
  <c r="I25" i="1"/>
  <c r="J25" i="1"/>
  <c r="E25" i="1"/>
  <c r="C9" i="3" l="1"/>
  <c r="D9" i="3"/>
  <c r="E9" i="3"/>
  <c r="F9" i="3"/>
  <c r="G9" i="3"/>
  <c r="H9" i="3"/>
  <c r="C10" i="3"/>
  <c r="D10" i="3"/>
  <c r="E10" i="3"/>
  <c r="F10" i="3"/>
  <c r="G10" i="3"/>
  <c r="H10" i="3"/>
  <c r="C8" i="3"/>
  <c r="D8" i="3"/>
  <c r="E8" i="3"/>
  <c r="F8" i="3"/>
  <c r="G8" i="3"/>
  <c r="H8" i="3"/>
  <c r="H12" i="3" l="1"/>
  <c r="D12" i="3"/>
  <c r="F11" i="3"/>
  <c r="E11" i="3"/>
  <c r="F12" i="3"/>
  <c r="H11" i="3"/>
  <c r="D11" i="3"/>
  <c r="G12" i="3"/>
  <c r="C12" i="3"/>
  <c r="E12" i="3"/>
  <c r="G11" i="3"/>
  <c r="C11" i="3"/>
  <c r="E37" i="1"/>
  <c r="E36" i="1"/>
  <c r="J12" i="1"/>
  <c r="F30" i="1" s="1"/>
  <c r="F31" i="1" l="1"/>
  <c r="F33" i="1"/>
  <c r="F32" i="1"/>
  <c r="F34" i="1"/>
  <c r="F35" i="1"/>
  <c r="F37" i="1"/>
  <c r="F36" i="1"/>
  <c r="H39" i="1"/>
</calcChain>
</file>

<file path=xl/sharedStrings.xml><?xml version="1.0" encoding="utf-8"?>
<sst xmlns="http://schemas.openxmlformats.org/spreadsheetml/2006/main" count="462" uniqueCount="144">
  <si>
    <t>Warm-up period</t>
  </si>
  <si>
    <t>Time steps</t>
  </si>
  <si>
    <t>Projection period</t>
  </si>
  <si>
    <t>Age LB</t>
  </si>
  <si>
    <t>Frequency</t>
  </si>
  <si>
    <t>Population age distribution</t>
  </si>
  <si>
    <t>Sum</t>
  </si>
  <si>
    <t>Year</t>
  </si>
  <si>
    <t>Years</t>
  </si>
  <si>
    <t>Population size</t>
  </si>
  <si>
    <t>Replications</t>
  </si>
  <si>
    <t>Sexually Inactive</t>
  </si>
  <si>
    <t>Careful sex</t>
  </si>
  <si>
    <t>Seeking Pregnancy</t>
  </si>
  <si>
    <t>Index</t>
  </si>
  <si>
    <t>Annual Birth Rates</t>
  </si>
  <si>
    <t>15-19</t>
  </si>
  <si>
    <t>20-24</t>
  </si>
  <si>
    <t>25-29</t>
  </si>
  <si>
    <t>35-39</t>
  </si>
  <si>
    <t>40-44</t>
  </si>
  <si>
    <t>Prob</t>
  </si>
  <si>
    <t>Population Ave.</t>
  </si>
  <si>
    <t>Calculating the effectivenes of contraceptive methods in each sexual encounter</t>
  </si>
  <si>
    <t>Method</t>
  </si>
  <si>
    <t>Pr{Failure after 1 year of use}</t>
  </si>
  <si>
    <t>ln(1-prob.)</t>
  </si>
  <si>
    <t>Effectiveness in each sexual encounter</t>
  </si>
  <si>
    <t>Hormonal Implant</t>
  </si>
  <si>
    <t>Depo-Provera</t>
  </si>
  <si>
    <t>Birth Control Pill</t>
  </si>
  <si>
    <t>Vaginal Ring</t>
  </si>
  <si>
    <t>IUD, coil, or loop</t>
  </si>
  <si>
    <t>Partner's Condom Use</t>
  </si>
  <si>
    <t>Withdrawal</t>
  </si>
  <si>
    <t>Other Method</t>
  </si>
  <si>
    <t>CDC</t>
  </si>
  <si>
    <t>Median</t>
  </si>
  <si>
    <t>95% L</t>
  </si>
  <si>
    <t>95% U</t>
  </si>
  <si>
    <t>Significance level</t>
  </si>
  <si>
    <t>30-34</t>
  </si>
  <si>
    <t>Pr{contraception}</t>
  </si>
  <si>
    <t>10-14</t>
  </si>
  <si>
    <t>L-Err</t>
  </si>
  <si>
    <t>U-Err</t>
  </si>
  <si>
    <t>Unintended Pregnancies</t>
  </si>
  <si>
    <t>Probability of sucessful pregnancy after a sexual encounter</t>
  </si>
  <si>
    <t>Proportion of People Experiencing Miscarriage</t>
  </si>
  <si>
    <t>Alpha- Modeling Number of Drinks Per Month</t>
  </si>
  <si>
    <t>Beta- Modeling Number of Drinks Per Month</t>
  </si>
  <si>
    <t>Careful Sex</t>
  </si>
  <si>
    <t>Unsafe Sex</t>
  </si>
  <si>
    <t>Proportion of Unintended Pregnancies that are Aborted</t>
  </si>
  <si>
    <t>Unknown</t>
  </si>
  <si>
    <t>Compliance with CDC Recommendations</t>
  </si>
  <si>
    <t>Probability of being in each sexual-behavior category by age</t>
  </si>
  <si>
    <t>Total</t>
  </si>
  <si>
    <t>Pregnant</t>
  </si>
  <si>
    <t>Location</t>
  </si>
  <si>
    <t>Overdispersion</t>
  </si>
  <si>
    <t>Beta</t>
  </si>
  <si>
    <t>Alpha</t>
  </si>
  <si>
    <t>Mean Number of Drinks Per Month</t>
  </si>
  <si>
    <t>% At Risk for Alcohol Exposed Pregnancies</t>
  </si>
  <si>
    <t>L</t>
  </si>
  <si>
    <t>U</t>
  </si>
  <si>
    <t>Mean</t>
  </si>
  <si>
    <t>CDC-L</t>
  </si>
  <si>
    <t>CDC_U</t>
  </si>
  <si>
    <t>Age Group</t>
  </si>
  <si>
    <t>Percentage of People in This Age Group that Are Pregnant</t>
  </si>
  <si>
    <t>Number of People in This Age Group That Declined to Answer Question</t>
  </si>
  <si>
    <t>20- 24</t>
  </si>
  <si>
    <t>25- 29</t>
  </si>
  <si>
    <t>30 - 34</t>
  </si>
  <si>
    <t>35- 39</t>
  </si>
  <si>
    <t>40 - 44</t>
  </si>
  <si>
    <t>Half-Width</t>
  </si>
  <si>
    <t>Prevalence of pregnancy by age group</t>
  </si>
  <si>
    <t>% nonpregnant, nonsterile, not using contraception who had sex last month</t>
  </si>
  <si>
    <t>10</t>
  </si>
  <si>
    <t>Mean monthly number of sexual encounters</t>
  </si>
  <si>
    <t>Alpha- Modeling Monthly Frequency of Sexual Activity</t>
  </si>
  <si>
    <t>Beta- Modeling Monthly Frequency of Sexual Activity</t>
  </si>
  <si>
    <t>Contraception Failure</t>
  </si>
  <si>
    <t>US Pop</t>
  </si>
  <si>
    <t>Survey</t>
  </si>
  <si>
    <t>N</t>
  </si>
  <si>
    <t>%</t>
  </si>
  <si>
    <t>CDC-L-Err</t>
  </si>
  <si>
    <t>CDC-U-Err</t>
  </si>
  <si>
    <t>n</t>
  </si>
  <si>
    <t>% at risk of AEP</t>
  </si>
  <si>
    <t>Number of People in Each Sexual Activity Group</t>
  </si>
  <si>
    <t>Group</t>
  </si>
  <si>
    <t>Sterile</t>
  </si>
  <si>
    <t>Ppl that Provided So Little Information We Weren't Able to Sort Them</t>
  </si>
  <si>
    <t>Total Pregnancies</t>
  </si>
  <si>
    <t>% of pregnancies exposed to alcohol</t>
  </si>
  <si>
    <t>StDev</t>
  </si>
  <si>
    <t>Drinking while Aware of Pregnancy</t>
  </si>
  <si>
    <t>Sexual Activity</t>
  </si>
  <si>
    <t>Drinking Patterns</t>
  </si>
  <si>
    <t>Weighted weekly</t>
  </si>
  <si>
    <t>% of the women that gave birth in the last year</t>
  </si>
  <si>
    <t>Per 1000</t>
  </si>
  <si>
    <t>Adjusting factor for contraceptive effectiveness</t>
  </si>
  <si>
    <t>Inactive</t>
  </si>
  <si>
    <t>% Drank last month</t>
  </si>
  <si>
    <t>Model</t>
  </si>
  <si>
    <t>Consumption (Data)- Survey</t>
  </si>
  <si>
    <t>Data Brief URL: https://www.cdc.gov/nchs/data/databriefs/db173_table.pdf#1</t>
  </si>
  <si>
    <t>No method, sterile, or pregnant</t>
  </si>
  <si>
    <t>Consumption (Excl. Pregnant, No Contraception and Sterilization)</t>
  </si>
  <si>
    <t>Consumption Data- CDC Data Brief (No groups excluded)</t>
  </si>
  <si>
    <t>Proportion of women who drank last 4 weeks in each sexual behavior groups</t>
  </si>
  <si>
    <t>Sexual Behavior Grouping</t>
  </si>
  <si>
    <t xml:space="preserve">Proportion of nonsterile, nonpregnant women who drank last 4 weeks </t>
  </si>
  <si>
    <t xml:space="preserve">Proportion of nonsterile, nonpregnant women who are not using contraception and had sex in the last 4 weeks </t>
  </si>
  <si>
    <t>Prob Stay</t>
  </si>
  <si>
    <t>Proportion:</t>
  </si>
  <si>
    <t>Ratio (prob staying sterile to prevalence)</t>
  </si>
  <si>
    <t>Seeking 
Pregnancy</t>
  </si>
  <si>
    <t>No 
Contraception</t>
  </si>
  <si>
    <t>Distribution in risk-behavior groups (at the end of the projection period)</t>
  </si>
  <si>
    <t>AEP Risk (CDC Definition)</t>
  </si>
  <si>
    <t>Survey (n)</t>
  </si>
  <si>
    <t>Survey (%)</t>
  </si>
  <si>
    <t>CDC Compliance Level</t>
  </si>
  <si>
    <t xml:space="preserve">% increase in contraceptive use among "Unsafe Sex" </t>
  </si>
  <si>
    <t>% decrease in contraceptive use among "Careful Sex"</t>
  </si>
  <si>
    <t xml:space="preserve">% Change in contraceptive use </t>
  </si>
  <si>
    <t>Increase</t>
  </si>
  <si>
    <t>Decrease</t>
  </si>
  <si>
    <t>Compliance with CDC Recommendation</t>
  </si>
  <si>
    <t>% Pregnant (aware)</t>
  </si>
  <si>
    <t>Actual AEP Risk</t>
  </si>
  <si>
    <t>AEP Risk (Actual)</t>
  </si>
  <si>
    <t>% Unaware Pregancies Exposed to Alcohol</t>
  </si>
  <si>
    <t>AEP per 1,000 nonsteril nonpregnant-aware women</t>
  </si>
  <si>
    <t>AEP per 1,000 nonpregnant-aware, nonsteril women</t>
  </si>
  <si>
    <t>Compliance</t>
  </si>
  <si>
    <t>Y-Value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</si>
</sst>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0"/>
    <numFmt numFmtId="165" formatCode="0.0%"/>
    <numFmt numFmtId="166" formatCode="0.000"/>
    <numFmt numFmtId="167" formatCode="0.0"/>
    <numFmt numFmtId="168" formatCode="0.0000%"/>
    <numFmt numFmtId="169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2" fillId="0" borderId="0" xfId="0" applyFont="1"/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0" fontId="0" fillId="0" borderId="0" xfId="0" applyFill="1" applyBorder="1"/>
    <xf numFmtId="0" fontId="0" fillId="0" borderId="2" xfId="0" applyFont="1" applyBorder="1" applyAlignment="1">
      <alignment horizontal="center"/>
    </xf>
    <xf numFmtId="0" fontId="0" fillId="0" borderId="0" xfId="0" applyFont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0" xfId="0" applyFont="1"/>
    <xf numFmtId="0" fontId="1" fillId="0" borderId="1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2" fillId="0" borderId="0" xfId="0" applyNumberFormat="1" applyFont="1" applyBorder="1" applyAlignment="1">
      <alignment horizontal="left" wrapText="1"/>
    </xf>
    <xf numFmtId="0" fontId="2" fillId="0" borderId="2" xfId="0" applyFont="1" applyBorder="1"/>
    <xf numFmtId="0" fontId="2" fillId="0" borderId="0" xfId="0" applyNumberFormat="1" applyFont="1" applyBorder="1" applyAlignment="1">
      <alignment horizontal="center" wrapText="1"/>
    </xf>
    <xf numFmtId="0" fontId="2" fillId="0" borderId="1" xfId="0" applyNumberFormat="1" applyFont="1" applyBorder="1" applyAlignment="1">
      <alignment horizontal="center" wrapText="1"/>
    </xf>
    <xf numFmtId="9" fontId="2" fillId="0" borderId="0" xfId="0" applyNumberFormat="1" applyFont="1" applyAlignment="1">
      <alignment horizontal="center"/>
    </xf>
    <xf numFmtId="9" fontId="2" fillId="0" borderId="0" xfId="0" applyNumberFormat="1" applyFont="1" applyBorder="1" applyAlignment="1">
      <alignment horizontal="center" wrapText="1"/>
    </xf>
    <xf numFmtId="9" fontId="2" fillId="0" borderId="1" xfId="0" applyNumberFormat="1" applyFont="1" applyBorder="1" applyAlignment="1">
      <alignment horizontal="center" wrapText="1"/>
    </xf>
    <xf numFmtId="9" fontId="2" fillId="2" borderId="0" xfId="0" applyNumberFormat="1" applyFont="1" applyFill="1" applyBorder="1" applyAlignment="1">
      <alignment horizontal="center" wrapText="1"/>
    </xf>
    <xf numFmtId="0" fontId="1" fillId="4" borderId="0" xfId="0" applyFont="1" applyFill="1"/>
    <xf numFmtId="0" fontId="2" fillId="4" borderId="0" xfId="0" applyFont="1" applyFill="1"/>
    <xf numFmtId="0" fontId="1" fillId="4" borderId="1" xfId="0" applyFont="1" applyFill="1" applyBorder="1"/>
    <xf numFmtId="0" fontId="0" fillId="4" borderId="1" xfId="0" applyFill="1" applyBorder="1"/>
    <xf numFmtId="0" fontId="2" fillId="4" borderId="1" xfId="0" applyFont="1" applyFill="1" applyBorder="1"/>
    <xf numFmtId="0" fontId="0" fillId="0" borderId="2" xfId="0" applyFont="1" applyFill="1" applyBorder="1" applyAlignment="1">
      <alignment horizontal="center"/>
    </xf>
    <xf numFmtId="0" fontId="0" fillId="0" borderId="1" xfId="0" applyNumberFormat="1" applyFont="1" applyBorder="1" applyAlignment="1">
      <alignment horizontal="left" wrapText="1"/>
    </xf>
    <xf numFmtId="0" fontId="1" fillId="5" borderId="0" xfId="0" applyFont="1" applyFill="1"/>
    <xf numFmtId="0" fontId="2" fillId="5" borderId="0" xfId="0" applyFont="1" applyFill="1"/>
    <xf numFmtId="0" fontId="1" fillId="0" borderId="0" xfId="0" applyFont="1"/>
    <xf numFmtId="9" fontId="2" fillId="0" borderId="0" xfId="1" applyFont="1"/>
    <xf numFmtId="0" fontId="0" fillId="0" borderId="0" xfId="0" applyFill="1"/>
    <xf numFmtId="0" fontId="0" fillId="0" borderId="1" xfId="0" applyFill="1" applyBorder="1"/>
    <xf numFmtId="166" fontId="0" fillId="0" borderId="0" xfId="0" applyNumberFormat="1" applyBorder="1" applyAlignment="1">
      <alignment horizontal="center"/>
    </xf>
    <xf numFmtId="0" fontId="0" fillId="0" borderId="1" xfId="0" applyFont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Fill="1" applyAlignment="1">
      <alignment horizontal="center"/>
    </xf>
    <xf numFmtId="167" fontId="1" fillId="3" borderId="0" xfId="0" applyNumberFormat="1" applyFont="1" applyFill="1" applyAlignment="1">
      <alignment horizontal="center"/>
    </xf>
    <xf numFmtId="167" fontId="1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center"/>
    </xf>
    <xf numFmtId="0" fontId="0" fillId="0" borderId="0" xfId="0" applyFont="1" applyAlignment="1">
      <alignment wrapText="1"/>
    </xf>
    <xf numFmtId="0" fontId="0" fillId="0" borderId="0" xfId="0" applyFont="1" applyAlignment="1">
      <alignment horizontal="center" wrapText="1"/>
    </xf>
    <xf numFmtId="165" fontId="1" fillId="3" borderId="0" xfId="0" applyNumberFormat="1" applyFon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Font="1" applyBorder="1"/>
    <xf numFmtId="9" fontId="0" fillId="0" borderId="1" xfId="0" applyNumberFormat="1" applyFont="1" applyBorder="1" applyAlignment="1">
      <alignment horizontal="center"/>
    </xf>
    <xf numFmtId="9" fontId="0" fillId="0" borderId="2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Font="1" applyAlignment="1">
      <alignment horizontal="left"/>
    </xf>
    <xf numFmtId="49" fontId="0" fillId="0" borderId="2" xfId="0" applyNumberFormat="1" applyFont="1" applyBorder="1" applyAlignment="1">
      <alignment horizontal="center"/>
    </xf>
    <xf numFmtId="0" fontId="0" fillId="0" borderId="1" xfId="0" applyFont="1" applyBorder="1" applyAlignment="1">
      <alignment wrapText="1"/>
    </xf>
    <xf numFmtId="0" fontId="0" fillId="0" borderId="0" xfId="0" applyFont="1" applyFill="1"/>
    <xf numFmtId="49" fontId="0" fillId="0" borderId="2" xfId="0" applyNumberFormat="1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4" fillId="0" borderId="0" xfId="0" applyFont="1" applyFill="1" applyAlignment="1">
      <alignment horizontal="right"/>
    </xf>
    <xf numFmtId="1" fontId="0" fillId="0" borderId="0" xfId="0" applyNumberFormat="1" applyFont="1" applyBorder="1" applyAlignment="1">
      <alignment horizontal="center"/>
    </xf>
    <xf numFmtId="167" fontId="0" fillId="0" borderId="0" xfId="0" applyNumberFormat="1" applyFont="1" applyFill="1" applyAlignment="1">
      <alignment horizontal="center"/>
    </xf>
    <xf numFmtId="165" fontId="0" fillId="0" borderId="0" xfId="0" applyNumberFormat="1" applyFont="1" applyFill="1" applyAlignment="1">
      <alignment horizontal="center"/>
    </xf>
    <xf numFmtId="0" fontId="0" fillId="0" borderId="1" xfId="0" applyFont="1" applyFill="1" applyBorder="1"/>
    <xf numFmtId="0" fontId="0" fillId="0" borderId="1" xfId="0" applyNumberFormat="1" applyFont="1" applyBorder="1" applyAlignment="1">
      <alignment horizontal="center"/>
    </xf>
    <xf numFmtId="1" fontId="0" fillId="0" borderId="1" xfId="0" applyNumberFormat="1" applyFont="1" applyBorder="1" applyAlignment="1">
      <alignment horizontal="center"/>
    </xf>
    <xf numFmtId="167" fontId="0" fillId="0" borderId="1" xfId="0" applyNumberFormat="1" applyFont="1" applyFill="1" applyBorder="1" applyAlignment="1">
      <alignment horizontal="center"/>
    </xf>
    <xf numFmtId="165" fontId="0" fillId="0" borderId="1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>
      <alignment wrapText="1"/>
    </xf>
    <xf numFmtId="2" fontId="4" fillId="0" borderId="0" xfId="0" applyNumberFormat="1" applyFont="1" applyFill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wrapText="1"/>
    </xf>
    <xf numFmtId="165" fontId="5" fillId="0" borderId="0" xfId="0" applyNumberFormat="1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Font="1" applyAlignment="1">
      <alignment horizontal="center"/>
    </xf>
    <xf numFmtId="49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11" xfId="0" applyBorder="1"/>
    <xf numFmtId="0" fontId="0" fillId="0" borderId="2" xfId="0" applyFont="1" applyBorder="1"/>
    <xf numFmtId="0" fontId="3" fillId="0" borderId="2" xfId="0" applyFont="1" applyBorder="1"/>
    <xf numFmtId="0" fontId="0" fillId="0" borderId="2" xfId="0" applyBorder="1"/>
    <xf numFmtId="2" fontId="2" fillId="0" borderId="0" xfId="0" applyNumberFormat="1" applyFont="1" applyAlignment="1">
      <alignment horizontal="center"/>
    </xf>
    <xf numFmtId="0" fontId="2" fillId="0" borderId="0" xfId="0" applyFont="1" applyFill="1"/>
    <xf numFmtId="0" fontId="0" fillId="0" borderId="1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1" fillId="0" borderId="1" xfId="0" applyFont="1" applyBorder="1" applyAlignment="1"/>
    <xf numFmtId="2" fontId="2" fillId="0" borderId="0" xfId="0" applyNumberFormat="1" applyFont="1"/>
    <xf numFmtId="0" fontId="0" fillId="0" borderId="0" xfId="0"/>
    <xf numFmtId="1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65" fontId="4" fillId="0" borderId="0" xfId="0" applyNumberFormat="1" applyFont="1" applyFill="1" applyAlignment="1">
      <alignment horizontal="center"/>
    </xf>
    <xf numFmtId="165" fontId="0" fillId="0" borderId="0" xfId="0" applyNumberFormat="1" applyFont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1" xfId="0" applyFont="1" applyFill="1" applyBorder="1" applyAlignment="1">
      <alignment wrapText="1"/>
    </xf>
    <xf numFmtId="0" fontId="0" fillId="0" borderId="1" xfId="0" applyFont="1" applyFill="1" applyBorder="1" applyAlignment="1">
      <alignment horizontal="center" wrapText="1"/>
    </xf>
    <xf numFmtId="49" fontId="4" fillId="0" borderId="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0" fontId="2" fillId="2" borderId="0" xfId="0" applyNumberFormat="1" applyFont="1" applyFill="1" applyAlignment="1">
      <alignment horizontal="center"/>
    </xf>
    <xf numFmtId="10" fontId="2" fillId="2" borderId="1" xfId="0" applyNumberFormat="1" applyFont="1" applyFill="1" applyBorder="1" applyAlignment="1">
      <alignment horizontal="center"/>
    </xf>
    <xf numFmtId="10" fontId="2" fillId="0" borderId="0" xfId="0" applyNumberFormat="1" applyFont="1" applyAlignment="1">
      <alignment horizontal="center"/>
    </xf>
    <xf numFmtId="1" fontId="6" fillId="0" borderId="1" xfId="0" applyNumberFormat="1" applyFont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1" fillId="8" borderId="1" xfId="0" applyFont="1" applyFill="1" applyBorder="1"/>
    <xf numFmtId="0" fontId="2" fillId="8" borderId="1" xfId="0" applyFont="1" applyFill="1" applyBorder="1"/>
    <xf numFmtId="0" fontId="0" fillId="0" borderId="11" xfId="0" applyFill="1" applyBorder="1"/>
    <xf numFmtId="0" fontId="0" fillId="0" borderId="0" xfId="0" applyFont="1" applyFill="1" applyAlignment="1">
      <alignment horizontal="center" wrapText="1"/>
    </xf>
    <xf numFmtId="167" fontId="2" fillId="0" borderId="0" xfId="0" applyNumberFormat="1" applyFont="1" applyFill="1"/>
    <xf numFmtId="0" fontId="2" fillId="0" borderId="0" xfId="0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167" fontId="0" fillId="0" borderId="0" xfId="0" applyNumberFormat="1"/>
    <xf numFmtId="165" fontId="2" fillId="2" borderId="0" xfId="0" applyNumberFormat="1" applyFont="1" applyFill="1" applyAlignment="1">
      <alignment horizontal="center"/>
    </xf>
    <xf numFmtId="167" fontId="2" fillId="2" borderId="0" xfId="0" applyNumberFormat="1" applyFont="1" applyFill="1" applyAlignment="1">
      <alignment horizontal="center"/>
    </xf>
    <xf numFmtId="0" fontId="4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left" wrapText="1"/>
    </xf>
    <xf numFmtId="0" fontId="1" fillId="7" borderId="1" xfId="0" applyFont="1" applyFill="1" applyBorder="1"/>
    <xf numFmtId="0" fontId="2" fillId="7" borderId="1" xfId="0" applyFont="1" applyFill="1" applyBorder="1"/>
    <xf numFmtId="168" fontId="2" fillId="0" borderId="0" xfId="0" applyNumberFormat="1" applyFont="1"/>
    <xf numFmtId="0" fontId="4" fillId="0" borderId="0" xfId="0" applyFont="1" applyFill="1" applyAlignment="1">
      <alignment horizontal="center"/>
    </xf>
    <xf numFmtId="0" fontId="0" fillId="0" borderId="0" xfId="0" applyBorder="1" applyAlignment="1">
      <alignment horizontal="left"/>
    </xf>
    <xf numFmtId="1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wrapText="1"/>
    </xf>
    <xf numFmtId="0" fontId="8" fillId="0" borderId="1" xfId="0" applyFont="1" applyBorder="1" applyAlignment="1">
      <alignment wrapText="1"/>
    </xf>
    <xf numFmtId="0" fontId="1" fillId="0" borderId="2" xfId="0" applyFont="1" applyBorder="1"/>
    <xf numFmtId="0" fontId="0" fillId="0" borderId="0" xfId="0" applyFill="1" applyAlignment="1">
      <alignment horizontal="center"/>
    </xf>
    <xf numFmtId="9" fontId="0" fillId="0" borderId="0" xfId="1" applyFont="1" applyAlignment="1">
      <alignment horizontal="center"/>
    </xf>
    <xf numFmtId="10" fontId="2" fillId="0" borderId="1" xfId="0" applyNumberFormat="1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 wrapText="1"/>
    </xf>
    <xf numFmtId="10" fontId="0" fillId="0" borderId="0" xfId="0" applyNumberFormat="1" applyFont="1" applyAlignment="1">
      <alignment horizontal="center"/>
    </xf>
    <xf numFmtId="10" fontId="2" fillId="0" borderId="0" xfId="1" applyNumberFormat="1" applyFont="1" applyAlignment="1">
      <alignment horizontal="center"/>
    </xf>
    <xf numFmtId="10" fontId="2" fillId="0" borderId="11" xfId="0" applyNumberFormat="1" applyFont="1" applyBorder="1" applyAlignment="1">
      <alignment horizontal="center"/>
    </xf>
    <xf numFmtId="0" fontId="2" fillId="0" borderId="0" xfId="0" applyNumberFormat="1" applyFont="1" applyBorder="1"/>
    <xf numFmtId="0" fontId="9" fillId="0" borderId="0" xfId="0" applyNumberFormat="1" applyFont="1" applyBorder="1"/>
    <xf numFmtId="0" fontId="9" fillId="0" borderId="0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0" xfId="0" applyFont="1" applyFill="1"/>
    <xf numFmtId="0" fontId="0" fillId="0" borderId="11" xfId="0" applyFill="1" applyBorder="1" applyAlignment="1">
      <alignment horizontal="center"/>
    </xf>
    <xf numFmtId="0" fontId="0" fillId="0" borderId="2" xfId="0" applyFont="1" applyFill="1" applyBorder="1"/>
    <xf numFmtId="0" fontId="0" fillId="0" borderId="2" xfId="0" applyFill="1" applyBorder="1"/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NumberFormat="1" applyFont="1" applyFill="1" applyBorder="1" applyAlignment="1">
      <alignment wrapText="1"/>
    </xf>
    <xf numFmtId="0" fontId="1" fillId="4" borderId="0" xfId="0" applyNumberFormat="1" applyFont="1" applyFill="1"/>
    <xf numFmtId="165" fontId="0" fillId="9" borderId="0" xfId="0" applyNumberFormat="1" applyFont="1" applyFill="1" applyBorder="1" applyAlignment="1">
      <alignment horizontal="center" wrapText="1"/>
    </xf>
    <xf numFmtId="165" fontId="2" fillId="9" borderId="0" xfId="0" applyNumberFormat="1" applyFont="1" applyFill="1" applyBorder="1" applyAlignment="1">
      <alignment horizontal="center" wrapText="1"/>
    </xf>
    <xf numFmtId="0" fontId="0" fillId="4" borderId="0" xfId="0" applyFont="1" applyFill="1"/>
    <xf numFmtId="165" fontId="2" fillId="4" borderId="0" xfId="0" applyNumberFormat="1" applyFont="1" applyFill="1" applyAlignment="1">
      <alignment horizontal="center"/>
    </xf>
    <xf numFmtId="0" fontId="1" fillId="0" borderId="2" xfId="0" applyFont="1" applyFill="1" applyBorder="1" applyAlignment="1">
      <alignment horizontal="center" wrapText="1"/>
    </xf>
    <xf numFmtId="49" fontId="1" fillId="0" borderId="2" xfId="0" applyNumberFormat="1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166" fontId="0" fillId="0" borderId="0" xfId="0" applyNumberFormat="1"/>
    <xf numFmtId="165" fontId="2" fillId="4" borderId="0" xfId="0" applyNumberFormat="1" applyFont="1" applyFill="1"/>
    <xf numFmtId="165" fontId="2" fillId="0" borderId="0" xfId="0" applyNumberFormat="1" applyFont="1" applyFill="1" applyBorder="1" applyAlignment="1">
      <alignment horizontal="center" wrapText="1"/>
    </xf>
    <xf numFmtId="165" fontId="10" fillId="0" borderId="0" xfId="0" applyNumberFormat="1" applyFont="1" applyFill="1" applyBorder="1" applyAlignment="1">
      <alignment horizontal="center" wrapText="1"/>
    </xf>
    <xf numFmtId="10" fontId="0" fillId="7" borderId="0" xfId="1" applyNumberFormat="1" applyFont="1" applyFill="1" applyAlignment="1">
      <alignment horizontal="center"/>
    </xf>
    <xf numFmtId="10" fontId="0" fillId="7" borderId="1" xfId="1" applyNumberFormat="1" applyFont="1" applyFill="1" applyBorder="1" applyAlignment="1">
      <alignment horizontal="center"/>
    </xf>
    <xf numFmtId="165" fontId="0" fillId="7" borderId="0" xfId="1" applyNumberFormat="1" applyFont="1" applyFill="1" applyAlignment="1">
      <alignment horizontal="center"/>
    </xf>
    <xf numFmtId="165" fontId="2" fillId="7" borderId="0" xfId="1" applyNumberFormat="1" applyFont="1" applyFill="1" applyAlignment="1">
      <alignment horizontal="center"/>
    </xf>
    <xf numFmtId="165" fontId="0" fillId="7" borderId="1" xfId="1" applyNumberFormat="1" applyFont="1" applyFill="1" applyBorder="1" applyAlignment="1">
      <alignment horizontal="center"/>
    </xf>
    <xf numFmtId="165" fontId="2" fillId="7" borderId="1" xfId="1" applyNumberFormat="1" applyFont="1" applyFill="1" applyBorder="1" applyAlignment="1">
      <alignment horizontal="center"/>
    </xf>
    <xf numFmtId="10" fontId="2" fillId="7" borderId="0" xfId="1" applyNumberFormat="1" applyFont="1" applyFill="1" applyAlignment="1">
      <alignment horizontal="center"/>
    </xf>
    <xf numFmtId="10" fontId="2" fillId="7" borderId="0" xfId="1" applyNumberFormat="1" applyFont="1" applyFill="1" applyBorder="1" applyAlignment="1">
      <alignment horizontal="center"/>
    </xf>
    <xf numFmtId="10" fontId="0" fillId="7" borderId="0" xfId="1" applyNumberFormat="1" applyFont="1" applyFill="1" applyBorder="1" applyAlignment="1">
      <alignment horizontal="center"/>
    </xf>
    <xf numFmtId="10" fontId="7" fillId="7" borderId="1" xfId="1" applyNumberFormat="1" applyFont="1" applyFill="1" applyBorder="1" applyAlignment="1">
      <alignment horizontal="center"/>
    </xf>
    <xf numFmtId="10" fontId="2" fillId="7" borderId="0" xfId="0" applyNumberFormat="1" applyFont="1" applyFill="1" applyAlignment="1">
      <alignment horizontal="center"/>
    </xf>
    <xf numFmtId="166" fontId="0" fillId="7" borderId="0" xfId="0" applyNumberFormat="1" applyFont="1" applyFill="1" applyBorder="1" applyAlignment="1">
      <alignment horizontal="center"/>
    </xf>
    <xf numFmtId="167" fontId="0" fillId="7" borderId="0" xfId="0" applyNumberFormat="1" applyFill="1" applyAlignment="1">
      <alignment horizontal="center"/>
    </xf>
    <xf numFmtId="9" fontId="2" fillId="0" borderId="0" xfId="1" applyFont="1" applyAlignment="1">
      <alignment horizontal="center"/>
    </xf>
    <xf numFmtId="167" fontId="0" fillId="7" borderId="0" xfId="0" applyNumberFormat="1" applyFill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167" fontId="0" fillId="7" borderId="1" xfId="0" applyNumberFormat="1" applyFill="1" applyBorder="1" applyAlignment="1">
      <alignment horizontal="center"/>
    </xf>
    <xf numFmtId="166" fontId="0" fillId="7" borderId="1" xfId="0" applyNumberFormat="1" applyFont="1" applyFill="1" applyBorder="1" applyAlignment="1">
      <alignment horizontal="center"/>
    </xf>
    <xf numFmtId="0" fontId="0" fillId="6" borderId="0" xfId="0" applyFill="1" applyBorder="1" applyAlignment="1">
      <alignment wrapText="1"/>
    </xf>
    <xf numFmtId="9" fontId="0" fillId="6" borderId="0" xfId="0" applyNumberFormat="1" applyFill="1" applyBorder="1" applyAlignment="1">
      <alignment horizontal="center" vertical="top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10" borderId="0" xfId="0" applyFill="1" applyBorder="1" applyAlignment="1">
      <alignment wrapText="1"/>
    </xf>
    <xf numFmtId="165" fontId="0" fillId="10" borderId="0" xfId="0" applyNumberFormat="1" applyFill="1" applyBorder="1" applyAlignment="1">
      <alignment horizontal="center" vertical="top"/>
    </xf>
    <xf numFmtId="0" fontId="0" fillId="11" borderId="0" xfId="0" applyFill="1" applyBorder="1" applyAlignment="1">
      <alignment wrapText="1"/>
    </xf>
    <xf numFmtId="165" fontId="0" fillId="11" borderId="0" xfId="0" applyNumberFormat="1" applyFill="1" applyBorder="1" applyAlignment="1">
      <alignment horizontal="center" vertical="top"/>
    </xf>
    <xf numFmtId="9" fontId="0" fillId="6" borderId="0" xfId="1" applyFont="1" applyFill="1" applyAlignment="1">
      <alignment horizontal="center"/>
    </xf>
    <xf numFmtId="0" fontId="0" fillId="6" borderId="0" xfId="0" applyFill="1" applyAlignment="1">
      <alignment horizontal="center"/>
    </xf>
    <xf numFmtId="9" fontId="0" fillId="6" borderId="1" xfId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9" fontId="0" fillId="6" borderId="11" xfId="1" applyFont="1" applyFill="1" applyBorder="1" applyAlignment="1">
      <alignment horizontal="center"/>
    </xf>
    <xf numFmtId="0" fontId="0" fillId="6" borderId="11" xfId="0" applyFill="1" applyBorder="1"/>
    <xf numFmtId="0" fontId="0" fillId="6" borderId="0" xfId="0" applyFill="1" applyBorder="1" applyAlignment="1">
      <alignment horizontal="center"/>
    </xf>
    <xf numFmtId="9" fontId="0" fillId="6" borderId="0" xfId="1" applyFont="1" applyFill="1" applyBorder="1" applyAlignment="1">
      <alignment horizontal="center"/>
    </xf>
    <xf numFmtId="0" fontId="0" fillId="6" borderId="0" xfId="0" applyFill="1" applyBorder="1"/>
    <xf numFmtId="0" fontId="0" fillId="6" borderId="1" xfId="0" applyFill="1" applyBorder="1"/>
    <xf numFmtId="0" fontId="1" fillId="0" borderId="2" xfId="0" applyFont="1" applyFill="1" applyBorder="1" applyAlignment="1"/>
    <xf numFmtId="169" fontId="1" fillId="3" borderId="0" xfId="0" applyNumberFormat="1" applyFont="1" applyFill="1" applyAlignment="1">
      <alignment horizontal="center"/>
    </xf>
    <xf numFmtId="169" fontId="0" fillId="0" borderId="0" xfId="0" applyNumberFormat="1" applyFill="1" applyAlignment="1">
      <alignment horizontal="center"/>
    </xf>
    <xf numFmtId="169" fontId="0" fillId="0" borderId="0" xfId="0" applyNumberFormat="1" applyFill="1" applyBorder="1" applyAlignment="1">
      <alignment horizontal="center"/>
    </xf>
    <xf numFmtId="169" fontId="0" fillId="0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" fillId="6" borderId="1" xfId="0" applyFont="1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1" fillId="4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12" borderId="0" xfId="0" applyFont="1" applyFill="1" applyAlignment="1">
      <alignment horizontal="center" wrapText="1"/>
    </xf>
    <xf numFmtId="0" fontId="1" fillId="0" borderId="1" xfId="0" applyFont="1" applyBorder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Annual</a:t>
            </a:r>
            <a:r>
              <a:rPr lang="en-US" baseline="0"/>
              <a:t> Birth Rate (Per 1,000 Women)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val>
            <c:numRef>
              <c:f>Outcomes!$C$3:$H$3</c:f>
              <c:numCache>
                <c:formatCode>General</c:formatCode>
                <c:ptCount val="6"/>
                <c:pt idx="0">
                  <c:v>24</c:v>
                </c:pt>
                <c:pt idx="1">
                  <c:v>90</c:v>
                </c:pt>
                <c:pt idx="2">
                  <c:v>108.3</c:v>
                </c:pt>
                <c:pt idx="3">
                  <c:v>96.5</c:v>
                </c:pt>
                <c:pt idx="4">
                  <c:v>45.9</c:v>
                </c:pt>
                <c:pt idx="5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8A-4224-B5E4-71E327DE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Outcomes!$C$12:$H$12</c:f>
                <c:numCache>
                  <c:formatCode>General</c:formatCode>
                  <c:ptCount val="6"/>
                  <c:pt idx="0">
                    <c:v>85.03371628371616</c:v>
                  </c:pt>
                  <c:pt idx="1">
                    <c:v>94.19866783922869</c:v>
                  </c:pt>
                  <c:pt idx="2">
                    <c:v>65</c:v>
                  </c:pt>
                  <c:pt idx="3">
                    <c:v>59.13978494623656</c:v>
                  </c:pt>
                  <c:pt idx="4">
                    <c:v>71.901889384200814</c:v>
                  </c:pt>
                  <c:pt idx="5">
                    <c:v>51.01674641148319</c:v>
                  </c:pt>
                </c:numCache>
              </c:numRef>
            </c:plus>
            <c:minus>
              <c:numRef>
                <c:f>Outcomes!$C$11:$H$11</c:f>
                <c:numCache>
                  <c:formatCode>General</c:formatCode>
                  <c:ptCount val="6"/>
                  <c:pt idx="0">
                    <c:v>22.352647352647352</c:v>
                  </c:pt>
                  <c:pt idx="1">
                    <c:v>47.765617875057004</c:v>
                  </c:pt>
                  <c:pt idx="2">
                    <c:v>60</c:v>
                  </c:pt>
                  <c:pt idx="3">
                    <c:v>53.763440860215056</c:v>
                  </c:pt>
                  <c:pt idx="4">
                    <c:v>18.362533692722373</c:v>
                  </c:pt>
                  <c:pt idx="5">
                    <c:v>0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Outcomes!$C$2:$H$2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Outcomes!$C$8:$H$8</c:f>
              <c:numCache>
                <c:formatCode>0</c:formatCode>
                <c:ptCount val="6"/>
                <c:pt idx="0">
                  <c:v>22.352647352647352</c:v>
                </c:pt>
                <c:pt idx="1">
                  <c:v>47.765617875057004</c:v>
                </c:pt>
                <c:pt idx="2">
                  <c:v>60</c:v>
                </c:pt>
                <c:pt idx="3">
                  <c:v>53.763440860215056</c:v>
                </c:pt>
                <c:pt idx="4">
                  <c:v>18.362533692722373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A-4224-B5E4-71E327DE7A77}"/>
            </c:ext>
          </c:extLst>
        </c:ser>
        <c:ser>
          <c:idx val="2"/>
          <c:order val="2"/>
          <c:tx>
            <c:v>Survey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Support!$J$4:$J$9</c:f>
              <c:numCache>
                <c:formatCode>0.0</c:formatCode>
                <c:ptCount val="6"/>
                <c:pt idx="0">
                  <c:v>23.762376237623762</c:v>
                </c:pt>
                <c:pt idx="1">
                  <c:v>103.37552742616033</c:v>
                </c:pt>
                <c:pt idx="2">
                  <c:v>117.64705882352941</c:v>
                </c:pt>
                <c:pt idx="3">
                  <c:v>94.357976653696497</c:v>
                </c:pt>
                <c:pt idx="4">
                  <c:v>59.838895281933254</c:v>
                </c:pt>
                <c:pt idx="5">
                  <c:v>14.120667522464698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32-4378-A4C5-13ADC8333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Annual Unintended Pregnancies </a:t>
            </a:r>
          </a:p>
          <a:p>
            <a:pPr>
              <a:defRPr/>
            </a:pPr>
            <a:r>
              <a:rPr lang="en-US" sz="1400" b="0" i="0" baseline="0">
                <a:effectLst/>
              </a:rPr>
              <a:t>(Per 100 Women)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cat>
            <c:strRef>
              <c:f>Outcomes!$K$2:$R$2</c:f>
              <c:strCache>
                <c:ptCount val="8"/>
                <c:pt idx="0">
                  <c:v>Hormonal Implant</c:v>
                </c:pt>
                <c:pt idx="1">
                  <c:v>Depo-Provera</c:v>
                </c:pt>
                <c:pt idx="2">
                  <c:v>Birth Control Pill</c:v>
                </c:pt>
                <c:pt idx="3">
                  <c:v>Vaginal Ring</c:v>
                </c:pt>
                <c:pt idx="4">
                  <c:v>IUD, coil, or loop</c:v>
                </c:pt>
                <c:pt idx="5">
                  <c:v>Partner's Condom Use</c:v>
                </c:pt>
                <c:pt idx="6">
                  <c:v>Withdrawal</c:v>
                </c:pt>
                <c:pt idx="7">
                  <c:v>Other Method</c:v>
                </c:pt>
              </c:strCache>
            </c:strRef>
          </c:cat>
          <c:val>
            <c:numRef>
              <c:f>Outcomes!$K$3:$R$3</c:f>
              <c:numCache>
                <c:formatCode>General</c:formatCode>
                <c:ptCount val="8"/>
                <c:pt idx="0">
                  <c:v>0.05</c:v>
                </c:pt>
                <c:pt idx="1">
                  <c:v>6</c:v>
                </c:pt>
                <c:pt idx="2">
                  <c:v>9</c:v>
                </c:pt>
                <c:pt idx="3">
                  <c:v>9</c:v>
                </c:pt>
                <c:pt idx="4">
                  <c:v>0.05</c:v>
                </c:pt>
                <c:pt idx="5">
                  <c:v>18</c:v>
                </c:pt>
                <c:pt idx="6">
                  <c:v>22</c:v>
                </c:pt>
                <c:pt idx="7">
                  <c:v>18.670000000000002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A7-4FDB-909E-528E32400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 - Median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Outcomes!$K$12:$R$12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26.874999999999968</c:v>
                  </c:pt>
                  <c:pt idx="2">
                    <c:v>13.795788770053473</c:v>
                  </c:pt>
                  <c:pt idx="3">
                    <c:v>50</c:v>
                  </c:pt>
                  <c:pt idx="4">
                    <c:v>0</c:v>
                  </c:pt>
                  <c:pt idx="5">
                    <c:v>25.113357843137237</c:v>
                  </c:pt>
                  <c:pt idx="6">
                    <c:v>30</c:v>
                  </c:pt>
                  <c:pt idx="7">
                    <c:v>47.499999999999901</c:v>
                  </c:pt>
                </c:numCache>
              </c:numRef>
            </c:plus>
            <c:minus>
              <c:numRef>
                <c:f>Outcomes!$K$11:$R$11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0</c:v>
                  </c:pt>
                  <c:pt idx="2">
                    <c:v>6.5775739011479217</c:v>
                  </c:pt>
                  <c:pt idx="3">
                    <c:v>0</c:v>
                  </c:pt>
                  <c:pt idx="4">
                    <c:v>0</c:v>
                  </c:pt>
                  <c:pt idx="5">
                    <c:v>13.205359218786331</c:v>
                  </c:pt>
                  <c:pt idx="6">
                    <c:v>20</c:v>
                  </c:pt>
                  <c:pt idx="7">
                    <c:v>12.5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Outcomes!$K$2:$R$2</c:f>
              <c:strCache>
                <c:ptCount val="8"/>
                <c:pt idx="0">
                  <c:v>Hormonal Implant</c:v>
                </c:pt>
                <c:pt idx="1">
                  <c:v>Depo-Provera</c:v>
                </c:pt>
                <c:pt idx="2">
                  <c:v>Birth Control Pill</c:v>
                </c:pt>
                <c:pt idx="3">
                  <c:v>Vaginal Ring</c:v>
                </c:pt>
                <c:pt idx="4">
                  <c:v>IUD, coil, or loop</c:v>
                </c:pt>
                <c:pt idx="5">
                  <c:v>Partner's Condom Use</c:v>
                </c:pt>
                <c:pt idx="6">
                  <c:v>Withdrawal</c:v>
                </c:pt>
                <c:pt idx="7">
                  <c:v>Other Method</c:v>
                </c:pt>
              </c:strCache>
            </c:strRef>
          </c:cat>
          <c:val>
            <c:numRef>
              <c:f>Outcomes!$K$8:$R$8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8.8235294117647065</c:v>
                </c:pt>
                <c:pt idx="3">
                  <c:v>0</c:v>
                </c:pt>
                <c:pt idx="4">
                  <c:v>0</c:v>
                </c:pt>
                <c:pt idx="5">
                  <c:v>17.647058823529413</c:v>
                </c:pt>
                <c:pt idx="6">
                  <c:v>20</c:v>
                </c:pt>
                <c:pt idx="7">
                  <c:v>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A7-4FDB-909E-528E32400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% at Risk of AEP (as defined by CDC)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Outcomes!$AO$7:$AU$7</c:f>
                <c:numCache>
                  <c:formatCode>General</c:formatCode>
                  <c:ptCount val="7"/>
                  <c:pt idx="0">
                    <c:v>7.7808516461419612E-3</c:v>
                  </c:pt>
                  <c:pt idx="1">
                    <c:v>1.4860065287659839E-2</c:v>
                  </c:pt>
                  <c:pt idx="2">
                    <c:v>1.8382815850732384E-2</c:v>
                  </c:pt>
                  <c:pt idx="3">
                    <c:v>2.359370190597436E-2</c:v>
                  </c:pt>
                  <c:pt idx="4">
                    <c:v>2.5734716091490265E-2</c:v>
                  </c:pt>
                  <c:pt idx="5">
                    <c:v>3.4322718360082966E-2</c:v>
                  </c:pt>
                  <c:pt idx="6">
                    <c:v>7.821003089968151E-3</c:v>
                  </c:pt>
                </c:numCache>
              </c:numRef>
            </c:plus>
            <c:minus>
              <c:numRef>
                <c:f>Outcomes!$AO$6:$AU$6</c:f>
                <c:numCache>
                  <c:formatCode>General</c:formatCode>
                  <c:ptCount val="7"/>
                  <c:pt idx="0">
                    <c:v>7.7808516461419595E-3</c:v>
                  </c:pt>
                  <c:pt idx="1">
                    <c:v>1.4860065287659839E-2</c:v>
                  </c:pt>
                  <c:pt idx="2">
                    <c:v>1.8382815850732384E-2</c:v>
                  </c:pt>
                  <c:pt idx="3">
                    <c:v>2.3593701905974346E-2</c:v>
                  </c:pt>
                  <c:pt idx="4">
                    <c:v>2.5734716091490265E-2</c:v>
                  </c:pt>
                  <c:pt idx="5">
                    <c:v>3.4322718360082966E-2</c:v>
                  </c:pt>
                  <c:pt idx="6">
                    <c:v>7.821003089968151E-3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2"/>
                </a:solidFill>
                <a:round/>
              </a:ln>
              <a:effectLst/>
            </c:spPr>
          </c:errBars>
          <c:cat>
            <c:strRef>
              <c:f>Outcomes!$AO$2:$AU$2</c:f>
              <c:strCache>
                <c:ptCount val="7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  <c:pt idx="6">
                  <c:v>Total</c:v>
                </c:pt>
              </c:strCache>
            </c:strRef>
          </c:cat>
          <c:val>
            <c:numRef>
              <c:f>Outcomes!$AO$3:$AU$3</c:f>
              <c:numCache>
                <c:formatCode>0.0%</c:formatCode>
                <c:ptCount val="7"/>
                <c:pt idx="0">
                  <c:v>1.5495867768595042E-2</c:v>
                </c:pt>
                <c:pt idx="1">
                  <c:v>5.1643192488262914E-2</c:v>
                </c:pt>
                <c:pt idx="2">
                  <c:v>8.0664294187425864E-2</c:v>
                </c:pt>
                <c:pt idx="3">
                  <c:v>0.11966987620357634</c:v>
                </c:pt>
                <c:pt idx="4">
                  <c:v>0.10280373831775701</c:v>
                </c:pt>
                <c:pt idx="5">
                  <c:v>0.13008130081300814</c:v>
                </c:pt>
                <c:pt idx="6">
                  <c:v>7.3823940381928271E-2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9-4DA8-B51F-2FE30CFEE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 - Median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Outcomes!$AO$12:$AU$12</c:f>
                <c:numCache>
                  <c:formatCode>General</c:formatCode>
                  <c:ptCount val="7"/>
                  <c:pt idx="0">
                    <c:v>4.674603174603173E-2</c:v>
                  </c:pt>
                  <c:pt idx="1">
                    <c:v>6.3040771864301237E-2</c:v>
                  </c:pt>
                  <c:pt idx="2">
                    <c:v>9.0139524535977567E-2</c:v>
                  </c:pt>
                  <c:pt idx="3">
                    <c:v>9.9999999999999992E-2</c:v>
                  </c:pt>
                  <c:pt idx="4">
                    <c:v>0.1359222133119487</c:v>
                  </c:pt>
                  <c:pt idx="5">
                    <c:v>0.26431159420289829</c:v>
                  </c:pt>
                  <c:pt idx="6">
                    <c:v>3.2841427943203404E-2</c:v>
                  </c:pt>
                </c:numCache>
              </c:numRef>
            </c:plus>
            <c:minus>
              <c:numRef>
                <c:f>Outcomes!$AO$11:$AU$11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2.8571428571428571E-2</c:v>
                  </c:pt>
                  <c:pt idx="2">
                    <c:v>4.6739130434782609E-2</c:v>
                  </c:pt>
                  <c:pt idx="3">
                    <c:v>6.6666666666666666E-2</c:v>
                  </c:pt>
                  <c:pt idx="4">
                    <c:v>6.9767441860465115E-2</c:v>
                  </c:pt>
                  <c:pt idx="5">
                    <c:v>6.25E-2</c:v>
                  </c:pt>
                  <c:pt idx="6">
                    <c:v>2.6449677317834212E-2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Outcomes!$AO$2:$AU$2</c:f>
              <c:strCache>
                <c:ptCount val="7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  <c:pt idx="6">
                  <c:v>Total</c:v>
                </c:pt>
              </c:strCache>
            </c:strRef>
          </c:cat>
          <c:val>
            <c:numRef>
              <c:f>Outcomes!$AO$8:$AU$8</c:f>
              <c:numCache>
                <c:formatCode>0.0%</c:formatCode>
                <c:ptCount val="7"/>
                <c:pt idx="0">
                  <c:v>0</c:v>
                </c:pt>
                <c:pt idx="1">
                  <c:v>2.8571428571428571E-2</c:v>
                </c:pt>
                <c:pt idx="2">
                  <c:v>4.6739130434782609E-2</c:v>
                </c:pt>
                <c:pt idx="3">
                  <c:v>6.6666666666666666E-2</c:v>
                </c:pt>
                <c:pt idx="4">
                  <c:v>6.9767441860465115E-2</c:v>
                </c:pt>
                <c:pt idx="5">
                  <c:v>6.25E-2</c:v>
                </c:pt>
                <c:pt idx="6" formatCode="0.0">
                  <c:v>4.7827743902439025E-2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9-4DA8-B51F-2FE30CFEE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Outcomes!$BQ$12</c:f>
                <c:numCache>
                  <c:formatCode>General</c:formatCode>
                  <c:ptCount val="1"/>
                  <c:pt idx="0">
                    <c:v>8.5249999999999915</c:v>
                  </c:pt>
                </c:numCache>
              </c:numRef>
            </c:plus>
            <c:minus>
              <c:numRef>
                <c:f>Outcomes!$BQ$11</c:f>
                <c:numCache>
                  <c:formatCode>General</c:formatCode>
                  <c:ptCount val="1"/>
                  <c:pt idx="0">
                    <c:v>4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Outcomes!$BQ$2</c:f>
              <c:strCache>
                <c:ptCount val="1"/>
                <c:pt idx="0">
                  <c:v>Total Pregnancies</c:v>
                </c:pt>
              </c:strCache>
            </c:strRef>
          </c:cat>
          <c:val>
            <c:numRef>
              <c:f>Outcomes!$BQ$8</c:f>
              <c:numCache>
                <c:formatCode>0.0</c:formatCode>
                <c:ptCount val="1"/>
                <c:pt idx="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1-4AEF-80AA-C210798AB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Percentage Drank Last Month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Survey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Outcomes!$BU$6:$BZ$6</c:f>
                <c:numCache>
                  <c:formatCode>General</c:formatCode>
                  <c:ptCount val="6"/>
                  <c:pt idx="0">
                    <c:v>2.8688907789015672E-2</c:v>
                  </c:pt>
                  <c:pt idx="1">
                    <c:v>2.78224207465676E-2</c:v>
                  </c:pt>
                  <c:pt idx="2">
                    <c:v>1.944343754987421E-2</c:v>
                  </c:pt>
                  <c:pt idx="3">
                    <c:v>3.6639150770192863E-2</c:v>
                  </c:pt>
                  <c:pt idx="4">
                    <c:v>6.078684160141834E-2</c:v>
                  </c:pt>
                  <c:pt idx="5">
                    <c:v>4.2429363593343178E-2</c:v>
                  </c:pt>
                </c:numCache>
              </c:numRef>
            </c:plus>
            <c:minus>
              <c:numRef>
                <c:f>Outcomes!$BU$6:$BZ$6</c:f>
                <c:numCache>
                  <c:formatCode>General</c:formatCode>
                  <c:ptCount val="6"/>
                  <c:pt idx="0">
                    <c:v>2.8688907789015672E-2</c:v>
                  </c:pt>
                  <c:pt idx="1">
                    <c:v>2.78224207465676E-2</c:v>
                  </c:pt>
                  <c:pt idx="2">
                    <c:v>1.944343754987421E-2</c:v>
                  </c:pt>
                  <c:pt idx="3">
                    <c:v>3.6639150770192863E-2</c:v>
                  </c:pt>
                  <c:pt idx="4">
                    <c:v>6.078684160141834E-2</c:v>
                  </c:pt>
                  <c:pt idx="5">
                    <c:v>4.2429363593343178E-2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Outcomes!$BU$2:$BZ$2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Outcomes!$BU$3:$BZ$3</c:f>
              <c:numCache>
                <c:formatCode>0.0%</c:formatCode>
                <c:ptCount val="6"/>
                <c:pt idx="0">
                  <c:v>0.60538116591928248</c:v>
                </c:pt>
                <c:pt idx="1">
                  <c:v>0.37735849056603776</c:v>
                </c:pt>
                <c:pt idx="2">
                  <c:v>0.69142066420664205</c:v>
                </c:pt>
                <c:pt idx="3">
                  <c:v>0.59420289855072461</c:v>
                </c:pt>
                <c:pt idx="4">
                  <c:v>0.63485477178423233</c:v>
                </c:pt>
                <c:pt idx="5">
                  <c:v>0.13360323886639677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11-45C3-97D3-19D921017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Outcomes!$BU$12:$BZ$12</c:f>
                <c:numCache>
                  <c:formatCode>General</c:formatCode>
                  <c:ptCount val="6"/>
                  <c:pt idx="0">
                    <c:v>0.11548850574712644</c:v>
                  </c:pt>
                  <c:pt idx="1">
                    <c:v>0.19127407550077036</c:v>
                  </c:pt>
                  <c:pt idx="2">
                    <c:v>8.3078198366584477E-2</c:v>
                  </c:pt>
                  <c:pt idx="3">
                    <c:v>0.13361945072471382</c:v>
                  </c:pt>
                  <c:pt idx="4">
                    <c:v>0.33333333333333337</c:v>
                  </c:pt>
                  <c:pt idx="5">
                    <c:v>0.21190476190476168</c:v>
                  </c:pt>
                </c:numCache>
              </c:numRef>
            </c:plus>
            <c:minus>
              <c:numRef>
                <c:f>Outcomes!$BU$11:$BZ$11</c:f>
                <c:numCache>
                  <c:formatCode>General</c:formatCode>
                  <c:ptCount val="6"/>
                  <c:pt idx="0">
                    <c:v>0.1402503606496347</c:v>
                  </c:pt>
                  <c:pt idx="1">
                    <c:v>0.13812302045882552</c:v>
                  </c:pt>
                  <c:pt idx="2">
                    <c:v>0.10158699534185578</c:v>
                  </c:pt>
                  <c:pt idx="3">
                    <c:v>0.1947626879699248</c:v>
                  </c:pt>
                  <c:pt idx="4">
                    <c:v>0.35083333333333333</c:v>
                  </c:pt>
                  <c:pt idx="5">
                    <c:v>0.13392857142857142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Outcomes!$BU$2:$BZ$2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Outcomes!$BU$8:$BZ$8</c:f>
              <c:numCache>
                <c:formatCode>0.0%</c:formatCode>
                <c:ptCount val="6"/>
                <c:pt idx="0">
                  <c:v>0.6203448275862069</c:v>
                </c:pt>
                <c:pt idx="1">
                  <c:v>0.50878274268104773</c:v>
                </c:pt>
                <c:pt idx="2">
                  <c:v>0.72345510413110281</c:v>
                </c:pt>
                <c:pt idx="3">
                  <c:v>0.63007518796992479</c:v>
                </c:pt>
                <c:pt idx="4">
                  <c:v>0.66666666666666663</c:v>
                </c:pt>
                <c:pt idx="5">
                  <c:v>0.13392857142857142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11-45C3-97D3-19D921017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Age-Distribution of Suscesuful Pregnancies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Outcomes!$AE$7:$AJ$7</c:f>
                <c:numCache>
                  <c:formatCode>General</c:formatCode>
                  <c:ptCount val="6"/>
                  <c:pt idx="0">
                    <c:v>1.0125134241585895E-2</c:v>
                  </c:pt>
                  <c:pt idx="1">
                    <c:v>1.5737954692737005E-2</c:v>
                  </c:pt>
                  <c:pt idx="2">
                    <c:v>1.5569687770296659E-2</c:v>
                  </c:pt>
                  <c:pt idx="3">
                    <c:v>1.3756127228974298E-2</c:v>
                  </c:pt>
                  <c:pt idx="4">
                    <c:v>9.9698188954174816E-3</c:v>
                  </c:pt>
                  <c:pt idx="5">
                    <c:v>5.0190642063635254E-3</c:v>
                  </c:pt>
                </c:numCache>
              </c:numRef>
            </c:plus>
            <c:minus>
              <c:numRef>
                <c:f>Outcomes!$AE$6:$AJ$6</c:f>
                <c:numCache>
                  <c:formatCode>General</c:formatCode>
                  <c:ptCount val="6"/>
                  <c:pt idx="0">
                    <c:v>1.0125134241585891E-2</c:v>
                  </c:pt>
                  <c:pt idx="1">
                    <c:v>1.5737954692737005E-2</c:v>
                  </c:pt>
                  <c:pt idx="2">
                    <c:v>1.5569687770296659E-2</c:v>
                  </c:pt>
                  <c:pt idx="3">
                    <c:v>1.3756127228974298E-2</c:v>
                  </c:pt>
                  <c:pt idx="4">
                    <c:v>9.9698188954174798E-3</c:v>
                  </c:pt>
                  <c:pt idx="5">
                    <c:v>5.0190642063635254E-3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Outcomes!$AE$2:$AJ$2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Outcomes!$AE$3:$AJ$3</c:f>
              <c:numCache>
                <c:formatCode>0.0%</c:formatCode>
                <c:ptCount val="6"/>
                <c:pt idx="0">
                  <c:v>2.7722772277227723E-2</c:v>
                </c:pt>
                <c:pt idx="1">
                  <c:v>6.5400843881856546E-2</c:v>
                </c:pt>
                <c:pt idx="2">
                  <c:v>7.0395371263259399E-2</c:v>
                </c:pt>
                <c:pt idx="3">
                  <c:v>5.3501945525291826E-2</c:v>
                </c:pt>
                <c:pt idx="4">
                  <c:v>2.3014959723820484E-2</c:v>
                </c:pt>
                <c:pt idx="5">
                  <c:v>5.1347881899871627E-3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30-491C-B29A-DECECE2EA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Model-Median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Outcomes!$AE$12:$AK$12</c:f>
                <c:numCache>
                  <c:formatCode>General</c:formatCode>
                  <c:ptCount val="7"/>
                  <c:pt idx="0">
                    <c:v>6.2303788503012464E-2</c:v>
                  </c:pt>
                  <c:pt idx="1">
                    <c:v>0.12191309842402595</c:v>
                  </c:pt>
                  <c:pt idx="2">
                    <c:v>0.11731697269303198</c:v>
                  </c:pt>
                  <c:pt idx="3">
                    <c:v>7.4612010796221317E-2</c:v>
                  </c:pt>
                  <c:pt idx="4">
                    <c:v>5.7692307692307696E-2</c:v>
                  </c:pt>
                  <c:pt idx="5">
                    <c:v>3.8541666666666544E-2</c:v>
                  </c:pt>
                </c:numCache>
              </c:numRef>
            </c:plus>
            <c:minus>
              <c:numRef>
                <c:f>Outcomes!$AE$11:$AK$11</c:f>
                <c:numCache>
                  <c:formatCode>General</c:formatCode>
                  <c:ptCount val="7"/>
                  <c:pt idx="0">
                    <c:v>3.3438897168405368E-2</c:v>
                  </c:pt>
                  <c:pt idx="1">
                    <c:v>6.5148305084745756E-2</c:v>
                  </c:pt>
                  <c:pt idx="2">
                    <c:v>6.8620527306967993E-2</c:v>
                  </c:pt>
                  <c:pt idx="3">
                    <c:v>5.2631578947368418E-2</c:v>
                  </c:pt>
                  <c:pt idx="4">
                    <c:v>1.9230769230769232E-2</c:v>
                  </c:pt>
                  <c:pt idx="5">
                    <c:v>0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Outcomes!$AE$2:$AJ$2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Outcomes!$AE$8:$AJ$8</c:f>
              <c:numCache>
                <c:formatCode>0.0%</c:formatCode>
                <c:ptCount val="6"/>
                <c:pt idx="0">
                  <c:v>3.3438897168405368E-2</c:v>
                </c:pt>
                <c:pt idx="1">
                  <c:v>6.5148305084745756E-2</c:v>
                </c:pt>
                <c:pt idx="2">
                  <c:v>6.8620527306967993E-2</c:v>
                </c:pt>
                <c:pt idx="3">
                  <c:v>5.2631578947368418E-2</c:v>
                </c:pt>
                <c:pt idx="4">
                  <c:v>1.9230769230769232E-2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30-491C-B29A-DECECE2EA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Precentage Had Sex Last Month </a:t>
            </a:r>
            <a:br>
              <a:rPr lang="en-US" sz="1400" b="0" i="0" baseline="0">
                <a:effectLst/>
              </a:rPr>
            </a:br>
            <a:r>
              <a:rPr lang="en-US" sz="1400" b="0" i="0" baseline="0">
                <a:effectLst/>
              </a:rPr>
              <a:t>(Nonpregnant, Nonsterile, No Contraception)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Outcomes!$CN$7:$CS$7</c:f>
                <c:numCache>
                  <c:formatCode>General</c:formatCode>
                  <c:ptCount val="6"/>
                  <c:pt idx="0">
                    <c:v>1.4828581548244624E-2</c:v>
                  </c:pt>
                  <c:pt idx="1">
                    <c:v>4.9488806274939512E-2</c:v>
                  </c:pt>
                  <c:pt idx="2">
                    <c:v>5.4684953349349252E-2</c:v>
                  </c:pt>
                  <c:pt idx="3">
                    <c:v>5.9100340722220979E-2</c:v>
                  </c:pt>
                  <c:pt idx="4">
                    <c:v>6.4412729965457161E-2</c:v>
                  </c:pt>
                  <c:pt idx="5">
                    <c:v>7.1620603700779939E-2</c:v>
                  </c:pt>
                </c:numCache>
              </c:numRef>
            </c:plus>
            <c:minus>
              <c:numRef>
                <c:f>Outcomes!$CN$6:$CS$6</c:f>
                <c:numCache>
                  <c:formatCode>General</c:formatCode>
                  <c:ptCount val="6"/>
                  <c:pt idx="0">
                    <c:v>1.4828581548244624E-2</c:v>
                  </c:pt>
                  <c:pt idx="1">
                    <c:v>4.948880627493954E-2</c:v>
                  </c:pt>
                  <c:pt idx="2">
                    <c:v>5.4684953349349252E-2</c:v>
                  </c:pt>
                  <c:pt idx="3">
                    <c:v>5.9100340722220979E-2</c:v>
                  </c:pt>
                  <c:pt idx="4">
                    <c:v>6.4412729965457161E-2</c:v>
                  </c:pt>
                  <c:pt idx="5">
                    <c:v>7.1620603700779939E-2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Outcomes!$CN$2:$CS$2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Outcomes!$CN$3:$CS$3</c:f>
              <c:numCache>
                <c:formatCode>0.0%</c:formatCode>
                <c:ptCount val="6"/>
                <c:pt idx="0">
                  <c:v>3.8580246913580245E-2</c:v>
                </c:pt>
                <c:pt idx="1">
                  <c:v>0.25503355704697989</c:v>
                </c:pt>
                <c:pt idx="2">
                  <c:v>0.36577181208053694</c:v>
                </c:pt>
                <c:pt idx="3">
                  <c:v>0.45787545787545786</c:v>
                </c:pt>
                <c:pt idx="4">
                  <c:v>0.39366515837104071</c:v>
                </c:pt>
                <c:pt idx="5">
                  <c:v>0.40883977900552487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0C-416F-BA31-9CC70A9A3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Outcomes!$CN$12:$CS$12</c:f>
                <c:numCache>
                  <c:formatCode>General</c:formatCode>
                  <c:ptCount val="6"/>
                  <c:pt idx="0">
                    <c:v>0.10142565590135921</c:v>
                  </c:pt>
                  <c:pt idx="1">
                    <c:v>0.22380952380952368</c:v>
                  </c:pt>
                  <c:pt idx="2">
                    <c:v>0.37554112554112473</c:v>
                  </c:pt>
                  <c:pt idx="3">
                    <c:v>0.39166666666666689</c:v>
                  </c:pt>
                  <c:pt idx="4">
                    <c:v>0.60535714285714137</c:v>
                  </c:pt>
                  <c:pt idx="5">
                    <c:v>0.51250000000000029</c:v>
                  </c:pt>
                </c:numCache>
              </c:numRef>
            </c:plus>
            <c:minus>
              <c:numRef>
                <c:f>Outcomes!$CN$11:$CS$11</c:f>
                <c:numCache>
                  <c:formatCode>General</c:formatCode>
                  <c:ptCount val="6"/>
                  <c:pt idx="0">
                    <c:v>1.880607315389924E-2</c:v>
                  </c:pt>
                  <c:pt idx="1">
                    <c:v>0.14285714285714285</c:v>
                  </c:pt>
                  <c:pt idx="2">
                    <c:v>0.26969696969696966</c:v>
                  </c:pt>
                  <c:pt idx="3">
                    <c:v>0.33333333333333331</c:v>
                  </c:pt>
                  <c:pt idx="4">
                    <c:v>0.34464285714285714</c:v>
                  </c:pt>
                  <c:pt idx="5">
                    <c:v>0.30625000000000002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Outcomes!$CN$2:$CS$2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Outcomes!$CN$8:$CS$8</c:f>
              <c:numCache>
                <c:formatCode>0.0%</c:formatCode>
                <c:ptCount val="6"/>
                <c:pt idx="0">
                  <c:v>1.880607315389924E-2</c:v>
                </c:pt>
                <c:pt idx="1">
                  <c:v>0.14285714285714285</c:v>
                </c:pt>
                <c:pt idx="2">
                  <c:v>0.26969696969696966</c:v>
                </c:pt>
                <c:pt idx="3">
                  <c:v>0.33333333333333331</c:v>
                </c:pt>
                <c:pt idx="4">
                  <c:v>0.35714285714285715</c:v>
                </c:pt>
                <c:pt idx="5">
                  <c:v>0.30625000000000002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0C-416F-BA31-9CC70A9A3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Precentage Drank Last Month </a:t>
            </a:r>
            <a:br>
              <a:rPr lang="en-US" sz="1400" b="0" i="0" baseline="0">
                <a:effectLst/>
              </a:rPr>
            </a:br>
            <a:r>
              <a:rPr lang="en-US" sz="1400" b="0" i="0" baseline="0">
                <a:effectLst/>
              </a:rPr>
              <a:t>(Nonpregnant, Nonsterile)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Outcomes!$CD$6:$CI$6</c:f>
                <c:numCache>
                  <c:formatCode>General</c:formatCode>
                  <c:ptCount val="6"/>
                  <c:pt idx="0">
                    <c:v>3.0087777248906655E-2</c:v>
                  </c:pt>
                  <c:pt idx="1">
                    <c:v>3.137151223547352E-2</c:v>
                  </c:pt>
                  <c:pt idx="2">
                    <c:v>3.1789916183487477E-2</c:v>
                  </c:pt>
                  <c:pt idx="3">
                    <c:v>3.4502546999134021E-2</c:v>
                  </c:pt>
                  <c:pt idx="4">
                    <c:v>4.1535622197082733E-2</c:v>
                  </c:pt>
                  <c:pt idx="5">
                    <c:v>4.9721794197592706E-2</c:v>
                  </c:pt>
                </c:numCache>
              </c:numRef>
            </c:plus>
            <c:minus>
              <c:numRef>
                <c:f>Outcomes!$CD$7:$CI$7</c:f>
                <c:numCache>
                  <c:formatCode>General</c:formatCode>
                  <c:ptCount val="6"/>
                  <c:pt idx="0">
                    <c:v>3.0087777248906655E-2</c:v>
                  </c:pt>
                  <c:pt idx="1">
                    <c:v>3.137151223547352E-2</c:v>
                  </c:pt>
                  <c:pt idx="2">
                    <c:v>3.1789916183487477E-2</c:v>
                  </c:pt>
                  <c:pt idx="3">
                    <c:v>3.4502546999134021E-2</c:v>
                  </c:pt>
                  <c:pt idx="4">
                    <c:v>4.1535622197082733E-2</c:v>
                  </c:pt>
                  <c:pt idx="5">
                    <c:v>4.9721794197592706E-2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Outcomes!$CD$2:$CI$2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Outcomes!$CD$3:$CI$3</c:f>
              <c:numCache>
                <c:formatCode>0.0%</c:formatCode>
                <c:ptCount val="6"/>
                <c:pt idx="0">
                  <c:v>0.34583333333333333</c:v>
                </c:pt>
                <c:pt idx="1">
                  <c:v>0.68446026097271651</c:v>
                </c:pt>
                <c:pt idx="2">
                  <c:v>0.67264038231780165</c:v>
                </c:pt>
                <c:pt idx="3">
                  <c:v>0.66204986149584488</c:v>
                </c:pt>
                <c:pt idx="4">
                  <c:v>0.60943396226415092</c:v>
                </c:pt>
                <c:pt idx="5">
                  <c:v>0.6202185792349727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6-4A65-8D0C-4C2333F80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Outcomes!$CD$12:$CI$12</c:f>
                <c:numCache>
                  <c:formatCode>General</c:formatCode>
                  <c:ptCount val="6"/>
                  <c:pt idx="0">
                    <c:v>0.15647840023311721</c:v>
                  </c:pt>
                  <c:pt idx="1">
                    <c:v>0.1240550488488078</c:v>
                  </c:pt>
                  <c:pt idx="2">
                    <c:v>0.11969442108214179</c:v>
                  </c:pt>
                  <c:pt idx="3">
                    <c:v>0.14494047619047623</c:v>
                  </c:pt>
                  <c:pt idx="4">
                    <c:v>0.19379699248120308</c:v>
                  </c:pt>
                  <c:pt idx="5">
                    <c:v>0.34333735909822749</c:v>
                  </c:pt>
                </c:numCache>
              </c:numRef>
            </c:plus>
            <c:minus>
              <c:numRef>
                <c:f>Outcomes!$CD$11:$CI$11</c:f>
                <c:numCache>
                  <c:formatCode>General</c:formatCode>
                  <c:ptCount val="6"/>
                  <c:pt idx="0">
                    <c:v>0.18937616862145168</c:v>
                  </c:pt>
                  <c:pt idx="1">
                    <c:v>0.23797226207556188</c:v>
                  </c:pt>
                  <c:pt idx="2">
                    <c:v>0.15028662941428172</c:v>
                  </c:pt>
                  <c:pt idx="3">
                    <c:v>0.14035087719298245</c:v>
                  </c:pt>
                  <c:pt idx="4">
                    <c:v>0.19899712516585577</c:v>
                  </c:pt>
                  <c:pt idx="5">
                    <c:v>0.27196722123192718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Outcomes!$CD$2:$CI$2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Outcomes!$CD$8:$CI$8</c:f>
              <c:numCache>
                <c:formatCode>0.0%</c:formatCode>
                <c:ptCount val="6"/>
                <c:pt idx="0">
                  <c:v>0.52766445690973995</c:v>
                </c:pt>
                <c:pt idx="1">
                  <c:v>0.70659971305595404</c:v>
                </c:pt>
                <c:pt idx="2">
                  <c:v>0.70731707317073167</c:v>
                </c:pt>
                <c:pt idx="3">
                  <c:v>0.66666666666666663</c:v>
                </c:pt>
                <c:pt idx="4">
                  <c:v>0.60620300751879697</c:v>
                </c:pt>
                <c:pt idx="5">
                  <c:v>0.62731481481481488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06-4A65-8D0C-4C2333F80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Distribution in Risk-Behavior Groups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Survey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Outcomes!$V$7:$AA$7</c:f>
                <c:numCache>
                  <c:formatCode>General</c:formatCode>
                  <c:ptCount val="6"/>
                </c:numCache>
              </c:numRef>
            </c:plus>
            <c:minus>
              <c:numRef>
                <c:f>Outcomes!$V$6:$AA$6</c:f>
                <c:numCache>
                  <c:formatCode>General</c:formatCode>
                  <c:ptCount val="6"/>
                </c:numCache>
              </c:numRef>
            </c:minus>
            <c:spPr>
              <a:noFill/>
              <a:ln w="25400" cap="flat" cmpd="sng" algn="ctr">
                <a:solidFill>
                  <a:schemeClr val="accent2"/>
                </a:solidFill>
                <a:round/>
              </a:ln>
              <a:effectLst/>
            </c:spPr>
          </c:errBars>
          <c:cat>
            <c:strRef>
              <c:f>Outcomes!$V$2:$AA$2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Outcomes!$V$3:$AA$3</c:f>
              <c:numCache>
                <c:formatCode>0.0%</c:formatCode>
                <c:ptCount val="6"/>
                <c:pt idx="0">
                  <c:v>0.19652570626425689</c:v>
                </c:pt>
                <c:pt idx="1">
                  <c:v>0.20635199157746972</c:v>
                </c:pt>
                <c:pt idx="2">
                  <c:v>0.38340059659589404</c:v>
                </c:pt>
                <c:pt idx="3">
                  <c:v>0.12282856641516056</c:v>
                </c:pt>
                <c:pt idx="4">
                  <c:v>4.228812072293385E-2</c:v>
                </c:pt>
                <c:pt idx="5">
                  <c:v>4.3691875767678537E-2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0F-4631-A10F-DAE60CAB5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Outcomes!$V$12:$AA$12</c:f>
                <c:numCache>
                  <c:formatCode>General</c:formatCode>
                  <c:ptCount val="6"/>
                  <c:pt idx="0">
                    <c:v>0.10599999999999998</c:v>
                  </c:pt>
                  <c:pt idx="1">
                    <c:v>0.1061</c:v>
                  </c:pt>
                  <c:pt idx="2">
                    <c:v>9.600000000000003E-2</c:v>
                  </c:pt>
                  <c:pt idx="3">
                    <c:v>4.8299999999999899E-2</c:v>
                  </c:pt>
                  <c:pt idx="4">
                    <c:v>2.6099999999999967E-2</c:v>
                  </c:pt>
                  <c:pt idx="5">
                    <c:v>3.6000000000000004E-2</c:v>
                  </c:pt>
                </c:numCache>
              </c:numRef>
            </c:plus>
            <c:minus>
              <c:numRef>
                <c:f>Outcomes!$V$11:$AA$11</c:f>
                <c:numCache>
                  <c:formatCode>General</c:formatCode>
                  <c:ptCount val="6"/>
                  <c:pt idx="0">
                    <c:v>0.10220000000000001</c:v>
                  </c:pt>
                  <c:pt idx="1">
                    <c:v>0.108</c:v>
                  </c:pt>
                  <c:pt idx="2">
                    <c:v>8.4000000000000019E-2</c:v>
                  </c:pt>
                  <c:pt idx="3">
                    <c:v>3.8000000000000006E-2</c:v>
                  </c:pt>
                  <c:pt idx="4">
                    <c:v>1.6E-2</c:v>
                  </c:pt>
                  <c:pt idx="5">
                    <c:v>2.6099999999999998E-2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Outcomes!$V$2:$AA$2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Outcomes!$V$8:$AA$8</c:f>
              <c:numCache>
                <c:formatCode>0.0%</c:formatCode>
                <c:ptCount val="6"/>
                <c:pt idx="0">
                  <c:v>0.19400000000000001</c:v>
                </c:pt>
                <c:pt idx="1">
                  <c:v>0.216</c:v>
                </c:pt>
                <c:pt idx="2">
                  <c:v>0.372</c:v>
                </c:pt>
                <c:pt idx="3">
                  <c:v>0.13400000000000001</c:v>
                </c:pt>
                <c:pt idx="4">
                  <c:v>2.8000000000000001E-2</c:v>
                </c:pt>
                <c:pt idx="5">
                  <c:v>4.3999999999999997E-2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0F-4631-A10F-DAE60CAB5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Percentage Pregnancies Exposed to Alcohol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errBars>
                  <c:errBarType val="both"/>
                  <c:errValType val="cust"/>
                  <c:noEndCap val="0"/>
                  <c:plus>
                    <c:numRef>
                      <c:extLst>
                        <c:ext uri="{02D57815-91ED-43cb-92C2-25804820EDAC}">
                          <c15:formulaRef>
                            <c15:sqref>Outcomes!$AO$7:$AU$7</c15:sqref>
                          </c15:formulaRef>
                        </c:ext>
                      </c:extLst>
                      <c:numCache>
                        <c:formatCode>General</c:formatCode>
                        <c:ptCount val="7"/>
                        <c:pt idx="0">
                          <c:v>7.7808516461419612E-3</c:v>
                        </c:pt>
                        <c:pt idx="1">
                          <c:v>1.4860065287659839E-2</c:v>
                        </c:pt>
                        <c:pt idx="2">
                          <c:v>1.8382815850732384E-2</c:v>
                        </c:pt>
                        <c:pt idx="3">
                          <c:v>2.359370190597436E-2</c:v>
                        </c:pt>
                        <c:pt idx="4">
                          <c:v>2.5734716091490265E-2</c:v>
                        </c:pt>
                        <c:pt idx="5">
                          <c:v>3.4322718360082966E-2</c:v>
                        </c:pt>
                        <c:pt idx="6">
                          <c:v>7.821003089968151E-3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Outcomes!$AO$6:$AU$6</c15:sqref>
                          </c15:formulaRef>
                        </c:ext>
                      </c:extLst>
                      <c:numCache>
                        <c:formatCode>General</c:formatCode>
                        <c:ptCount val="7"/>
                        <c:pt idx="0">
                          <c:v>7.7808516461419595E-3</c:v>
                        </c:pt>
                        <c:pt idx="1">
                          <c:v>1.4860065287659839E-2</c:v>
                        </c:pt>
                        <c:pt idx="2">
                          <c:v>1.8382815850732384E-2</c:v>
                        </c:pt>
                        <c:pt idx="3">
                          <c:v>2.3593701905974346E-2</c:v>
                        </c:pt>
                        <c:pt idx="4">
                          <c:v>2.5734716091490265E-2</c:v>
                        </c:pt>
                        <c:pt idx="5">
                          <c:v>3.4322718360082966E-2</c:v>
                        </c:pt>
                        <c:pt idx="6">
                          <c:v>7.821003089968151E-3</c:v>
                        </c:pt>
                      </c:numCache>
                    </c:numRef>
                  </c:minus>
                  <c:spPr>
                    <a:noFill/>
                    <a:ln w="25400" cap="flat" cmpd="sng" algn="ctr">
                      <a:solidFill>
                        <a:schemeClr val="accent2"/>
                      </a:solidFill>
                      <a:round/>
                    </a:ln>
                    <a:effectLst/>
                  </c:spPr>
                </c:errBars>
                <c:cat>
                  <c:strRef>
                    <c:extLst>
                      <c:ext uri="{02D57815-91ED-43cb-92C2-25804820EDAC}">
                        <c15:formulaRef>
                          <c15:sqref>Outcomes!$BA$2:$BG$2</c15:sqref>
                        </c15:formulaRef>
                      </c:ext>
                    </c:extLst>
                    <c:strCache>
                      <c:ptCount val="7"/>
                      <c:pt idx="0">
                        <c:v>15-19</c:v>
                      </c:pt>
                      <c:pt idx="1">
                        <c:v>20-24</c:v>
                      </c:pt>
                      <c:pt idx="2">
                        <c:v>25-29</c:v>
                      </c:pt>
                      <c:pt idx="3">
                        <c:v>30-34</c:v>
                      </c:pt>
                      <c:pt idx="4">
                        <c:v>35-39</c:v>
                      </c:pt>
                      <c:pt idx="5">
                        <c:v>40-44</c:v>
                      </c:pt>
                      <c:pt idx="6">
                        <c:v>Total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Outcomes!$BA$3:$BG$3</c15:sqref>
                        </c15:formulaRef>
                      </c:ext>
                    </c:extLst>
                    <c:numCache>
                      <c:formatCode>0.0%</c:formatCode>
                      <c:ptCount val="7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BF87-46A0-B234-67E799A6F71B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Outcomes!$BA$12:$BG$12</c:f>
                <c:numCache>
                  <c:formatCode>General</c:formatCode>
                  <c:ptCount val="7"/>
                  <c:pt idx="0">
                    <c:v>0.5</c:v>
                  </c:pt>
                  <c:pt idx="1">
                    <c:v>0.33333333333333337</c:v>
                  </c:pt>
                  <c:pt idx="2">
                    <c:v>0.33333333333333337</c:v>
                  </c:pt>
                  <c:pt idx="3">
                    <c:v>0.33333333333333337</c:v>
                  </c:pt>
                  <c:pt idx="4">
                    <c:v>0.5</c:v>
                  </c:pt>
                  <c:pt idx="5">
                    <c:v>0</c:v>
                  </c:pt>
                  <c:pt idx="6">
                    <c:v>0.4</c:v>
                  </c:pt>
                </c:numCache>
              </c:numRef>
            </c:plus>
            <c:minus>
              <c:numRef>
                <c:f>Outcomes!$BA$11:$BG$11</c:f>
                <c:numCache>
                  <c:formatCode>General</c:formatCode>
                  <c:ptCount val="7"/>
                  <c:pt idx="0">
                    <c:v>0.5</c:v>
                  </c:pt>
                  <c:pt idx="1">
                    <c:v>0.66666666666666663</c:v>
                  </c:pt>
                  <c:pt idx="2">
                    <c:v>0.66666666666666663</c:v>
                  </c:pt>
                  <c:pt idx="3">
                    <c:v>0.66666666666666663</c:v>
                  </c:pt>
                  <c:pt idx="4">
                    <c:v>0.5</c:v>
                  </c:pt>
                  <c:pt idx="5">
                    <c:v>1</c:v>
                  </c:pt>
                  <c:pt idx="6">
                    <c:v>0.34761904761904761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Outcomes!$BA$2:$BG$2</c:f>
              <c:strCache>
                <c:ptCount val="7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  <c:pt idx="6">
                  <c:v>Total</c:v>
                </c:pt>
              </c:strCache>
            </c:strRef>
          </c:cat>
          <c:val>
            <c:numRef>
              <c:f>Outcomes!$BA$8:$BG$8</c:f>
              <c:numCache>
                <c:formatCode>0.0%</c:formatCode>
                <c:ptCount val="7"/>
                <c:pt idx="0">
                  <c:v>0.5</c:v>
                </c:pt>
                <c:pt idx="1">
                  <c:v>0.66666666666666663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0.5</c:v>
                </c:pt>
                <c:pt idx="5">
                  <c:v>1</c:v>
                </c:pt>
                <c:pt idx="6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87-46A0-B234-67E799A6F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Pathways to an Alcohol-Exposed Pregnancy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Outcomes!$BL$12:$BO$12</c:f>
                <c:numCache>
                  <c:formatCode>General</c:formatCode>
                  <c:ptCount val="4"/>
                  <c:pt idx="0">
                    <c:v>0.49178571428571416</c:v>
                  </c:pt>
                  <c:pt idx="1">
                    <c:v>0.5</c:v>
                  </c:pt>
                  <c:pt idx="2">
                    <c:v>0.4285714285714286</c:v>
                  </c:pt>
                  <c:pt idx="3">
                    <c:v>0</c:v>
                  </c:pt>
                </c:numCache>
              </c:numRef>
            </c:plus>
            <c:minus>
              <c:numRef>
                <c:f>Outcomes!$BL$11:$BO$11</c:f>
                <c:numCache>
                  <c:formatCode>General</c:formatCode>
                  <c:ptCount val="4"/>
                  <c:pt idx="0">
                    <c:v>0.2857142857142857</c:v>
                  </c:pt>
                  <c:pt idx="1">
                    <c:v>0</c:v>
                  </c:pt>
                  <c:pt idx="2">
                    <c:v>0.38976190476190475</c:v>
                  </c:pt>
                  <c:pt idx="3">
                    <c:v>0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Outcomes!$BL$2:$BN$2</c:f>
              <c:strCache>
                <c:ptCount val="3"/>
                <c:pt idx="0">
                  <c:v>Seeking 
Pregnancy</c:v>
                </c:pt>
                <c:pt idx="1">
                  <c:v>No 
Contraception</c:v>
                </c:pt>
                <c:pt idx="2">
                  <c:v>Contraception Failure</c:v>
                </c:pt>
              </c:strCache>
            </c:strRef>
          </c:cat>
          <c:val>
            <c:numRef>
              <c:f>Outcomes!$BL$8:$BN$8</c:f>
              <c:numCache>
                <c:formatCode>0.0%</c:formatCode>
                <c:ptCount val="3"/>
                <c:pt idx="0">
                  <c:v>0.2857142857142857</c:v>
                </c:pt>
                <c:pt idx="1">
                  <c:v>0</c:v>
                </c:pt>
                <c:pt idx="2">
                  <c:v>0.5714285714285714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B-48B6-A9DA-DE38BFE63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  <c:max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Age-Distribution of Suscesuful Pregnancies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Outcomes!$AE$7:$AJ$7</c:f>
                <c:numCache>
                  <c:formatCode>General</c:formatCode>
                  <c:ptCount val="6"/>
                  <c:pt idx="0">
                    <c:v>1.0125134241585895E-2</c:v>
                  </c:pt>
                  <c:pt idx="1">
                    <c:v>1.5737954692737005E-2</c:v>
                  </c:pt>
                  <c:pt idx="2">
                    <c:v>1.5569687770296659E-2</c:v>
                  </c:pt>
                  <c:pt idx="3">
                    <c:v>1.3756127228974298E-2</c:v>
                  </c:pt>
                  <c:pt idx="4">
                    <c:v>9.9698188954174816E-3</c:v>
                  </c:pt>
                  <c:pt idx="5">
                    <c:v>5.0190642063635254E-3</c:v>
                  </c:pt>
                </c:numCache>
              </c:numRef>
            </c:plus>
            <c:minus>
              <c:numRef>
                <c:f>Outcomes!$AE$6:$AJ$6</c:f>
                <c:numCache>
                  <c:formatCode>General</c:formatCode>
                  <c:ptCount val="6"/>
                  <c:pt idx="0">
                    <c:v>1.0125134241585891E-2</c:v>
                  </c:pt>
                  <c:pt idx="1">
                    <c:v>1.5737954692737005E-2</c:v>
                  </c:pt>
                  <c:pt idx="2">
                    <c:v>1.5569687770296659E-2</c:v>
                  </c:pt>
                  <c:pt idx="3">
                    <c:v>1.3756127228974298E-2</c:v>
                  </c:pt>
                  <c:pt idx="4">
                    <c:v>9.9698188954174798E-3</c:v>
                  </c:pt>
                  <c:pt idx="5">
                    <c:v>5.0190642063635254E-3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Outcomes!$AE$2:$AJ$2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Outcomes!$AE$3:$AJ$3</c:f>
              <c:numCache>
                <c:formatCode>0.0%</c:formatCode>
                <c:ptCount val="6"/>
                <c:pt idx="0">
                  <c:v>2.7722772277227723E-2</c:v>
                </c:pt>
                <c:pt idx="1">
                  <c:v>6.5400843881856546E-2</c:v>
                </c:pt>
                <c:pt idx="2">
                  <c:v>7.0395371263259399E-2</c:v>
                </c:pt>
                <c:pt idx="3">
                  <c:v>5.3501945525291826E-2</c:v>
                </c:pt>
                <c:pt idx="4">
                  <c:v>2.3014959723820484E-2</c:v>
                </c:pt>
                <c:pt idx="5">
                  <c:v>5.1347881899871627E-3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D-43FC-989C-A0A46CC08F5D}"/>
            </c:ext>
          </c:extLst>
        </c:ser>
        <c:ser>
          <c:idx val="0"/>
          <c:order val="0"/>
          <c:tx>
            <c:v>Model-Median</c:v>
          </c:tx>
          <c:spPr>
            <a:solidFill>
              <a:schemeClr val="accent1">
                <a:lumMod val="20000"/>
                <a:lumOff val="80000"/>
              </a:schemeClr>
            </a:solidFill>
            <a:ln w="25400"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Outcomes!$AE$12:$AK$12</c:f>
                <c:numCache>
                  <c:formatCode>General</c:formatCode>
                  <c:ptCount val="7"/>
                  <c:pt idx="0">
                    <c:v>6.2303788503012464E-2</c:v>
                  </c:pt>
                  <c:pt idx="1">
                    <c:v>0.12191309842402595</c:v>
                  </c:pt>
                  <c:pt idx="2">
                    <c:v>0.11731697269303198</c:v>
                  </c:pt>
                  <c:pt idx="3">
                    <c:v>7.4612010796221317E-2</c:v>
                  </c:pt>
                  <c:pt idx="4">
                    <c:v>5.7692307692307696E-2</c:v>
                  </c:pt>
                  <c:pt idx="5">
                    <c:v>3.8541666666666544E-2</c:v>
                  </c:pt>
                </c:numCache>
              </c:numRef>
            </c:plus>
            <c:minus>
              <c:numRef>
                <c:f>Outcomes!$AE$11:$AK$11</c:f>
                <c:numCache>
                  <c:formatCode>General</c:formatCode>
                  <c:ptCount val="7"/>
                  <c:pt idx="0">
                    <c:v>3.3438897168405368E-2</c:v>
                  </c:pt>
                  <c:pt idx="1">
                    <c:v>6.5148305084745756E-2</c:v>
                  </c:pt>
                  <c:pt idx="2">
                    <c:v>6.8620527306967993E-2</c:v>
                  </c:pt>
                  <c:pt idx="3">
                    <c:v>5.2631578947368418E-2</c:v>
                  </c:pt>
                  <c:pt idx="4">
                    <c:v>1.9230769230769232E-2</c:v>
                  </c:pt>
                  <c:pt idx="5">
                    <c:v>0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Outcomes!$AE$2:$AJ$2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Outcomes!$AE$8:$AJ$8</c:f>
              <c:numCache>
                <c:formatCode>0.0%</c:formatCode>
                <c:ptCount val="6"/>
                <c:pt idx="0">
                  <c:v>3.3438897168405368E-2</c:v>
                </c:pt>
                <c:pt idx="1">
                  <c:v>6.5148305084745756E-2</c:v>
                </c:pt>
                <c:pt idx="2">
                  <c:v>6.8620527306967993E-2</c:v>
                </c:pt>
                <c:pt idx="3">
                  <c:v>5.2631578947368418E-2</c:v>
                </c:pt>
                <c:pt idx="4">
                  <c:v>1.9230769230769232E-2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D-43FC-989C-A0A46CC08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255888"/>
        <c:axId val="525256544"/>
      </c:bar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15-20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Outcomes!$CV$2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Outcomes!$CV$3:$CV$8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Outcomes!$CX$3:$CX$8</c:f>
              <c:numCache>
                <c:formatCode>0.0%</c:formatCode>
                <c:ptCount val="6"/>
                <c:pt idx="0">
                  <c:v>1.1900000000000001E-2</c:v>
                </c:pt>
                <c:pt idx="1">
                  <c:v>0.6139</c:v>
                </c:pt>
                <c:pt idx="2">
                  <c:v>0.2366</c:v>
                </c:pt>
                <c:pt idx="3">
                  <c:v>0.1089</c:v>
                </c:pt>
                <c:pt idx="4">
                  <c:v>1E-3</c:v>
                </c:pt>
                <c:pt idx="5">
                  <c:v>2.7699999999999999E-2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4-4958-909E-6593F4615682}"/>
            </c:ext>
          </c:extLst>
        </c:ser>
        <c:ser>
          <c:idx val="1"/>
          <c:order val="1"/>
          <c:tx>
            <c:strRef>
              <c:f>Outcomes!$CV$11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Outcomes!$CV$3:$CV$8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Outcomes!$CX$12:$CX$17</c:f>
              <c:numCache>
                <c:formatCode>0.0%</c:formatCode>
                <c:ptCount val="6"/>
                <c:pt idx="0">
                  <c:v>1.2533665847525225E-2</c:v>
                </c:pt>
                <c:pt idx="1">
                  <c:v>0.61360230708319907</c:v>
                </c:pt>
                <c:pt idx="2">
                  <c:v>0.20508595369332769</c:v>
                </c:pt>
                <c:pt idx="3">
                  <c:v>0.13069270944334679</c:v>
                </c:pt>
                <c:pt idx="4">
                  <c:v>6.6285642562288088E-4</c:v>
                </c:pt>
                <c:pt idx="5">
                  <c:v>3.7422507506978196E-2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84-4958-909E-6593F4615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27448248"/>
        <c:axId val="627446608"/>
      </c:barChart>
      <c:catAx>
        <c:axId val="627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6608"/>
        <c:crosses val="autoZero"/>
        <c:auto val="1"/>
        <c:lblAlgn val="ctr"/>
        <c:lblOffset val="100"/>
        <c:noMultiLvlLbl val="0"/>
      </c:catAx>
      <c:valAx>
        <c:axId val="627446608"/>
        <c:scaling>
          <c:orientation val="minMax"/>
          <c:max val="0.6200000000000001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82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20-24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Outcomes!$CV$2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Outcomes!$CV$3:$CV$8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Outcomes!$CY$3:$CY$8</c:f>
              <c:numCache>
                <c:formatCode>0.0%</c:formatCode>
                <c:ptCount val="6"/>
                <c:pt idx="0">
                  <c:v>3.27E-2</c:v>
                </c:pt>
                <c:pt idx="1">
                  <c:v>0.1888</c:v>
                </c:pt>
                <c:pt idx="2">
                  <c:v>0.54320000000000002</c:v>
                </c:pt>
                <c:pt idx="3">
                  <c:v>0.1424</c:v>
                </c:pt>
                <c:pt idx="4">
                  <c:v>2.64E-2</c:v>
                </c:pt>
                <c:pt idx="5">
                  <c:v>6.6500000000000004E-2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55-4C81-92A5-A3BDF7CFBF4C}"/>
            </c:ext>
          </c:extLst>
        </c:ser>
        <c:ser>
          <c:idx val="1"/>
          <c:order val="1"/>
          <c:tx>
            <c:strRef>
              <c:f>Outcomes!$CV$11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Outcomes!$CV$3:$CV$8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Outcomes!$CY$12:$CY$17</c:f>
              <c:numCache>
                <c:formatCode>0.0%</c:formatCode>
                <c:ptCount val="6"/>
                <c:pt idx="0">
                  <c:v>3.7229407862637343E-2</c:v>
                </c:pt>
                <c:pt idx="1">
                  <c:v>0.21329357336635377</c:v>
                </c:pt>
                <c:pt idx="2">
                  <c:v>0.51630039902308289</c:v>
                </c:pt>
                <c:pt idx="3">
                  <c:v>0.1534838273526053</c:v>
                </c:pt>
                <c:pt idx="4">
                  <c:v>1.1668044895511868E-2</c:v>
                </c:pt>
                <c:pt idx="5">
                  <c:v>6.8024747499808774E-2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55-4C81-92A5-A3BDF7CFB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27448248"/>
        <c:axId val="627446608"/>
      </c:barChart>
      <c:catAx>
        <c:axId val="627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6608"/>
        <c:crosses val="autoZero"/>
        <c:auto val="1"/>
        <c:lblAlgn val="ctr"/>
        <c:lblOffset val="100"/>
        <c:noMultiLvlLbl val="0"/>
      </c:catAx>
      <c:valAx>
        <c:axId val="627446608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82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25-29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Outcomes!$CV$2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Outcomes!$CV$3:$CV$8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Outcomes!$CZ$3:$CZ$8</c:f>
              <c:numCache>
                <c:formatCode>0.0%</c:formatCode>
                <c:ptCount val="6"/>
                <c:pt idx="0">
                  <c:v>0.1119</c:v>
                </c:pt>
                <c:pt idx="1">
                  <c:v>0.1273</c:v>
                </c:pt>
                <c:pt idx="2">
                  <c:v>0.50529999999999997</c:v>
                </c:pt>
                <c:pt idx="3">
                  <c:v>0.12920000000000001</c:v>
                </c:pt>
                <c:pt idx="4">
                  <c:v>5.2999999999999999E-2</c:v>
                </c:pt>
                <c:pt idx="5">
                  <c:v>7.3300000000000004E-2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03-435B-842F-A7776176CD22}"/>
            </c:ext>
          </c:extLst>
        </c:ser>
        <c:ser>
          <c:idx val="1"/>
          <c:order val="1"/>
          <c:tx>
            <c:strRef>
              <c:f>Outcomes!$CV$11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Outcomes!$CV$3:$CV$8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Outcomes!$CZ$12:$CZ$17</c:f>
              <c:numCache>
                <c:formatCode>0.0%</c:formatCode>
                <c:ptCount val="6"/>
                <c:pt idx="0">
                  <c:v>0.11826541543655142</c:v>
                </c:pt>
                <c:pt idx="1">
                  <c:v>0.12194516767885236</c:v>
                </c:pt>
                <c:pt idx="2">
                  <c:v>0.49672791266816224</c:v>
                </c:pt>
                <c:pt idx="3">
                  <c:v>0.15228005706040457</c:v>
                </c:pt>
                <c:pt idx="4">
                  <c:v>3.792930643617809E-2</c:v>
                </c:pt>
                <c:pt idx="5">
                  <c:v>7.2852140719851563E-2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03-435B-842F-A7776176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27448248"/>
        <c:axId val="627446608"/>
      </c:barChart>
      <c:catAx>
        <c:axId val="627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6608"/>
        <c:crosses val="autoZero"/>
        <c:auto val="1"/>
        <c:lblAlgn val="ctr"/>
        <c:lblOffset val="100"/>
        <c:noMultiLvlLbl val="0"/>
      </c:catAx>
      <c:valAx>
        <c:axId val="627446608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82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30-34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Outcomes!$CV$2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Outcomes!$CV$3:$CV$8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Outcomes!$DA$3:$DA$8</c:f>
              <c:numCache>
                <c:formatCode>0.0%</c:formatCode>
                <c:ptCount val="6"/>
                <c:pt idx="0">
                  <c:v>0.2364</c:v>
                </c:pt>
                <c:pt idx="1">
                  <c:v>7.7799999999999994E-2</c:v>
                </c:pt>
                <c:pt idx="2">
                  <c:v>0.42120000000000002</c:v>
                </c:pt>
                <c:pt idx="3">
                  <c:v>0.14199999999999999</c:v>
                </c:pt>
                <c:pt idx="4">
                  <c:v>6.7100000000000007E-2</c:v>
                </c:pt>
                <c:pt idx="5">
                  <c:v>5.5500000000000001E-2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7-4B7F-A71C-770D21261DBD}"/>
            </c:ext>
          </c:extLst>
        </c:ser>
        <c:ser>
          <c:idx val="1"/>
          <c:order val="1"/>
          <c:tx>
            <c:strRef>
              <c:f>Outcomes!$CV$11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Outcomes!$CV$3:$CV$8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Outcomes!$DA$12:$DA$17</c:f>
              <c:numCache>
                <c:formatCode>0.0%</c:formatCode>
                <c:ptCount val="6"/>
                <c:pt idx="0">
                  <c:v>0.23150840228833378</c:v>
                </c:pt>
                <c:pt idx="1">
                  <c:v>8.5114715221303372E-2</c:v>
                </c:pt>
                <c:pt idx="2">
                  <c:v>0.42086155253697222</c:v>
                </c:pt>
                <c:pt idx="3">
                  <c:v>0.16002885159791688</c:v>
                </c:pt>
                <c:pt idx="4">
                  <c:v>4.9639062659826601E-2</c:v>
                </c:pt>
                <c:pt idx="5">
                  <c:v>5.284741569564709E-2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17-4B7F-A71C-770D21261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27448248"/>
        <c:axId val="627446608"/>
      </c:barChart>
      <c:catAx>
        <c:axId val="627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6608"/>
        <c:crosses val="autoZero"/>
        <c:auto val="1"/>
        <c:lblAlgn val="ctr"/>
        <c:lblOffset val="100"/>
        <c:noMultiLvlLbl val="0"/>
      </c:catAx>
      <c:valAx>
        <c:axId val="627446608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82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35-39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Outcomes!$CV$2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Outcomes!$CV$3:$CV$8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Outcomes!$DB$3:$DB$8</c:f>
              <c:numCache>
                <c:formatCode>0.0%</c:formatCode>
                <c:ptCount val="6"/>
                <c:pt idx="0">
                  <c:v>0.36130000000000001</c:v>
                </c:pt>
                <c:pt idx="1">
                  <c:v>9.9000000000000005E-2</c:v>
                </c:pt>
                <c:pt idx="2">
                  <c:v>0.34289999999999998</c:v>
                </c:pt>
                <c:pt idx="3">
                  <c:v>0.1197</c:v>
                </c:pt>
                <c:pt idx="4">
                  <c:v>5.4100000000000002E-2</c:v>
                </c:pt>
                <c:pt idx="5">
                  <c:v>2.3E-2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C-4C36-B050-61CE3CD9066C}"/>
            </c:ext>
          </c:extLst>
        </c:ser>
        <c:ser>
          <c:idx val="1"/>
          <c:order val="1"/>
          <c:tx>
            <c:strRef>
              <c:f>Outcomes!$CV$11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Outcomes!$CV$3:$CV$8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Outcomes!$DB$12:$DB$17</c:f>
              <c:numCache>
                <c:formatCode>0.0%</c:formatCode>
                <c:ptCount val="6"/>
                <c:pt idx="0">
                  <c:v>0.32211385078905841</c:v>
                </c:pt>
                <c:pt idx="1">
                  <c:v>0.10723117979166678</c:v>
                </c:pt>
                <c:pt idx="2">
                  <c:v>0.37058240858567359</c:v>
                </c:pt>
                <c:pt idx="3">
                  <c:v>0.11586132535600263</c:v>
                </c:pt>
                <c:pt idx="4">
                  <c:v>6.1817233825828724E-2</c:v>
                </c:pt>
                <c:pt idx="5">
                  <c:v>2.2394001651769677E-2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0C-4C36-B050-61CE3CD90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27448248"/>
        <c:axId val="627446608"/>
      </c:barChart>
      <c:catAx>
        <c:axId val="627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6608"/>
        <c:crosses val="autoZero"/>
        <c:auto val="1"/>
        <c:lblAlgn val="ctr"/>
        <c:lblOffset val="100"/>
        <c:noMultiLvlLbl val="0"/>
      </c:catAx>
      <c:valAx>
        <c:axId val="627446608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82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40-44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Outcomes!$CV$2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Outcomes!$CV$3:$CV$8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Outcomes!$DC$3:$DC$8</c:f>
              <c:numCache>
                <c:formatCode>0.0%</c:formatCode>
                <c:ptCount val="6"/>
                <c:pt idx="0">
                  <c:v>0.51859999999999995</c:v>
                </c:pt>
                <c:pt idx="1">
                  <c:v>0.1014</c:v>
                </c:pt>
                <c:pt idx="2">
                  <c:v>0.22589999999999999</c:v>
                </c:pt>
                <c:pt idx="3">
                  <c:v>9.11E-2</c:v>
                </c:pt>
                <c:pt idx="4">
                  <c:v>5.6500000000000002E-2</c:v>
                </c:pt>
                <c:pt idx="5">
                  <c:v>6.4999999999999997E-3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B-4027-A6B9-91F2DBE7E0AD}"/>
            </c:ext>
          </c:extLst>
        </c:ser>
        <c:ser>
          <c:idx val="1"/>
          <c:order val="1"/>
          <c:tx>
            <c:strRef>
              <c:f>Outcomes!$CV$11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Outcomes!$CV$3:$CV$8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Outcomes!$DC$12:$DC$17</c:f>
              <c:numCache>
                <c:formatCode>0.0%</c:formatCode>
                <c:ptCount val="6"/>
                <c:pt idx="0">
                  <c:v>0.54195732320279955</c:v>
                </c:pt>
                <c:pt idx="1">
                  <c:v>0.10219426562184873</c:v>
                </c:pt>
                <c:pt idx="2">
                  <c:v>0.22761110197978937</c:v>
                </c:pt>
                <c:pt idx="3">
                  <c:v>9.2903662909985335E-2</c:v>
                </c:pt>
                <c:pt idx="4">
                  <c:v>3.1513237057621407E-2</c:v>
                </c:pt>
                <c:pt idx="5">
                  <c:v>3.8204092279557093E-3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BB-4027-A6B9-91F2DBE7E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27448248"/>
        <c:axId val="627446608"/>
      </c:barChart>
      <c:catAx>
        <c:axId val="627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6608"/>
        <c:crosses val="autoZero"/>
        <c:auto val="1"/>
        <c:lblAlgn val="ctr"/>
        <c:lblOffset val="100"/>
        <c:noMultiLvlLbl val="0"/>
      </c:catAx>
      <c:valAx>
        <c:axId val="62744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82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Outcomes!$AW$12</c:f>
                <c:numCache>
                  <c:formatCode>General</c:formatCode>
                  <c:ptCount val="1"/>
                  <c:pt idx="0">
                    <c:v>3.0243326962475177E-2</c:v>
                  </c:pt>
                </c:numCache>
              </c:numRef>
            </c:plus>
            <c:minus>
              <c:numRef>
                <c:f>Outcomes!$AW$11</c:f>
                <c:numCache>
                  <c:formatCode>General</c:formatCode>
                  <c:ptCount val="1"/>
                  <c:pt idx="0">
                    <c:v>1.9015993072028628E-2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Outcomes!$AW$2</c:f>
              <c:strCache>
                <c:ptCount val="1"/>
                <c:pt idx="0">
                  <c:v>Actual AEP Risk</c:v>
                </c:pt>
              </c:strCache>
            </c:strRef>
          </c:cat>
          <c:val>
            <c:numRef>
              <c:f>Outcomes!$AW$8</c:f>
              <c:numCache>
                <c:formatCode>0.0</c:formatCode>
                <c:ptCount val="1"/>
                <c:pt idx="0">
                  <c:v>3.183225443287363E-2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D9-429C-8718-A1C8CAE1F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'Scenario Analysis'!$B$1</c:f>
              <c:strCache>
                <c:ptCount val="1"/>
                <c:pt idx="0">
                  <c:v>AEP Risk (CDC Definition)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'Scenario Analysis'!$B$8:$F$8</c:f>
                <c:numCache>
                  <c:formatCode>General</c:formatCode>
                  <c:ptCount val="5"/>
                  <c:pt idx="0">
                    <c:v>3.4489379833774078E-2</c:v>
                  </c:pt>
                  <c:pt idx="1">
                    <c:v>2.5529874807474935E-2</c:v>
                  </c:pt>
                  <c:pt idx="2">
                    <c:v>2.3220000677915964E-2</c:v>
                  </c:pt>
                  <c:pt idx="3">
                    <c:v>1.4922578706004958E-2</c:v>
                  </c:pt>
                  <c:pt idx="4">
                    <c:v>4.847997288224614E-3</c:v>
                  </c:pt>
                </c:numCache>
              </c:numRef>
            </c:plus>
            <c:minus>
              <c:numRef>
                <c:f>'Scenario Analysis'!$B$7:$F$7</c:f>
                <c:numCache>
                  <c:formatCode>General</c:formatCode>
                  <c:ptCount val="5"/>
                  <c:pt idx="0">
                    <c:v>2.7351867345048061E-2</c:v>
                  </c:pt>
                  <c:pt idx="1">
                    <c:v>2.1509839085516968E-2</c:v>
                  </c:pt>
                  <c:pt idx="2">
                    <c:v>1.9294846564204993E-2</c:v>
                  </c:pt>
                  <c:pt idx="3">
                    <c:v>1.7012905164962778E-2</c:v>
                  </c:pt>
                  <c:pt idx="4">
                    <c:v>2.6162907399645185E-4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accent2"/>
                </a:solidFill>
                <a:round/>
              </a:ln>
              <a:effectLst/>
            </c:spPr>
          </c:errBars>
          <c:cat>
            <c:numRef>
              <c:f>'Scenario Analysis'!$H$3:$L$3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cat>
          <c:val>
            <c:numRef>
              <c:f>'Scenario Analysis'!$B$4:$F$4</c:f>
              <c:numCache>
                <c:formatCode>0.0%</c:formatCode>
                <c:ptCount val="5"/>
                <c:pt idx="0">
                  <c:v>6.663965242429043E-2</c:v>
                </c:pt>
                <c:pt idx="1">
                  <c:v>5.1093075032694717E-2</c:v>
                </c:pt>
                <c:pt idx="2">
                  <c:v>3.4173980170237227E-2</c:v>
                </c:pt>
                <c:pt idx="3">
                  <c:v>1.7012905164962778E-2</c:v>
                </c:pt>
                <c:pt idx="4">
                  <c:v>2.6162907399645185E-4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BD-4452-9934-F3036E58E2A7}"/>
            </c:ext>
          </c:extLst>
        </c:ser>
        <c:ser>
          <c:idx val="1"/>
          <c:order val="1"/>
          <c:tx>
            <c:strRef>
              <c:f>'Scenario Analysis'!$H$1</c:f>
              <c:strCache>
                <c:ptCount val="1"/>
                <c:pt idx="0">
                  <c:v>AEP Risk (Actual)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6735904845168985E-2"/>
                  <c:y val="-0.138448875997987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'Scenario Analysis'!$H$8:$L$8</c:f>
                <c:numCache>
                  <c:formatCode>General</c:formatCode>
                  <c:ptCount val="5"/>
                  <c:pt idx="0">
                    <c:v>2.9815552944932842E-2</c:v>
                  </c:pt>
                  <c:pt idx="1">
                    <c:v>2.6720463981900033E-2</c:v>
                  </c:pt>
                  <c:pt idx="2">
                    <c:v>2.2804732524640221E-2</c:v>
                  </c:pt>
                  <c:pt idx="3">
                    <c:v>2.2190594481865798E-2</c:v>
                  </c:pt>
                  <c:pt idx="4">
                    <c:v>2.1044049507413058E-2</c:v>
                  </c:pt>
                </c:numCache>
              </c:numRef>
            </c:plus>
            <c:minus>
              <c:numRef>
                <c:f>'Scenario Analysis'!$H$7:$L$7</c:f>
                <c:numCache>
                  <c:formatCode>General</c:formatCode>
                  <c:ptCount val="5"/>
                  <c:pt idx="0">
                    <c:v>2.1119131852124592E-2</c:v>
                  </c:pt>
                  <c:pt idx="1">
                    <c:v>1.951575250070315E-2</c:v>
                  </c:pt>
                  <c:pt idx="2">
                    <c:v>1.698857771903764E-2</c:v>
                  </c:pt>
                  <c:pt idx="3">
                    <c:v>1.7362732708613667E-2</c:v>
                  </c:pt>
                  <c:pt idx="4">
                    <c:v>1.6866645887193211E-2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accent1"/>
                </a:solidFill>
                <a:round/>
              </a:ln>
              <a:effectLst/>
            </c:spPr>
          </c:errBars>
          <c:cat>
            <c:numRef>
              <c:f>'Scenario Analysis'!$H$3:$L$3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cat>
          <c:val>
            <c:numRef>
              <c:f>'Scenario Analysis'!$H$4:$L$4</c:f>
              <c:numCache>
                <c:formatCode>0.0%</c:formatCode>
                <c:ptCount val="5"/>
                <c:pt idx="0">
                  <c:v>3.4074744553376828E-2</c:v>
                </c:pt>
                <c:pt idx="1">
                  <c:v>3.0714683990332316E-2</c:v>
                </c:pt>
                <c:pt idx="2">
                  <c:v>2.7823331200849948E-2</c:v>
                </c:pt>
                <c:pt idx="3">
                  <c:v>2.5133922871108175E-2</c:v>
                </c:pt>
                <c:pt idx="4">
                  <c:v>2.2545271520932351E-2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BD-4452-9934-F3036E58E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41696"/>
        <c:axId val="677839072"/>
      </c:lineChart>
      <c:catAx>
        <c:axId val="67784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Compliance with CDC Recommendation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39072"/>
        <c:crosses val="autoZero"/>
        <c:auto val="1"/>
        <c:lblAlgn val="ctr"/>
        <c:lblOffset val="100"/>
        <c:noMultiLvlLbl val="0"/>
      </c:catAx>
      <c:valAx>
        <c:axId val="677839072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41696"/>
        <c:crosses val="autoZero"/>
        <c:crossBetween val="between"/>
        <c:majorUnit val="2.5000000000000005E-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'Scenario Analysis'!$T$1</c:f>
              <c:strCache>
                <c:ptCount val="1"/>
                <c:pt idx="0">
                  <c:v>AEP Risk (Actual)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5435831743714064E-2"/>
                  <c:y val="-0.360655890808530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'Scenario Analysis'!$T$8:$X$8</c:f>
                <c:numCache>
                  <c:formatCode>General</c:formatCode>
                  <c:ptCount val="5"/>
                  <c:pt idx="0">
                    <c:v>3.9970402945015457E-2</c:v>
                  </c:pt>
                  <c:pt idx="1">
                    <c:v>3.1732789109581994E-2</c:v>
                  </c:pt>
                  <c:pt idx="2">
                    <c:v>3.0642772943234697E-2</c:v>
                  </c:pt>
                  <c:pt idx="3">
                    <c:v>2.9351067201526103E-2</c:v>
                  </c:pt>
                  <c:pt idx="4">
                    <c:v>2.9815552944932842E-2</c:v>
                  </c:pt>
                </c:numCache>
              </c:numRef>
            </c:plus>
            <c:minus>
              <c:numRef>
                <c:f>'Scenario Analysis'!$T$7:$X$7</c:f>
                <c:numCache>
                  <c:formatCode>General</c:formatCode>
                  <c:ptCount val="5"/>
                  <c:pt idx="0">
                    <c:v>3.5547314856692797E-2</c:v>
                  </c:pt>
                  <c:pt idx="1">
                    <c:v>2.7067302772130417E-2</c:v>
                  </c:pt>
                  <c:pt idx="2">
                    <c:v>2.5437845142360235E-2</c:v>
                  </c:pt>
                  <c:pt idx="3">
                    <c:v>2.0957098373953847E-2</c:v>
                  </c:pt>
                  <c:pt idx="4">
                    <c:v>2.1119131852124592E-2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accent1"/>
                </a:solidFill>
                <a:round/>
              </a:ln>
              <a:effectLst/>
            </c:spPr>
          </c:errBars>
          <c:cat>
            <c:numRef>
              <c:f>'Scenario Analysis'!$AD$3:$AH$3</c:f>
              <c:numCache>
                <c:formatCode>0%</c:formatCode>
                <c:ptCount val="5"/>
                <c:pt idx="0">
                  <c:v>-0.4</c:v>
                </c:pt>
                <c:pt idx="1">
                  <c:v>-0.3</c:v>
                </c:pt>
                <c:pt idx="2">
                  <c:v>-0.2</c:v>
                </c:pt>
                <c:pt idx="3">
                  <c:v>-0.1</c:v>
                </c:pt>
                <c:pt idx="4">
                  <c:v>0</c:v>
                </c:pt>
              </c:numCache>
            </c:numRef>
          </c:cat>
          <c:val>
            <c:numRef>
              <c:f>'Scenario Analysis'!$T$4:$X$4</c:f>
              <c:numCache>
                <c:formatCode>0.0%</c:formatCode>
                <c:ptCount val="5"/>
                <c:pt idx="0">
                  <c:v>4.7777974739978746E-2</c:v>
                </c:pt>
                <c:pt idx="1">
                  <c:v>4.4763961317205253E-2</c:v>
                </c:pt>
                <c:pt idx="2">
                  <c:v>4.2100396455672373E-2</c:v>
                </c:pt>
                <c:pt idx="3">
                  <c:v>3.7521431218528627E-2</c:v>
                </c:pt>
                <c:pt idx="4">
                  <c:v>3.4074744553376828E-2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41-4918-B883-0CC0C4072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41696"/>
        <c:axId val="6778390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'Scenario Analysis'!$AD$1</c15:sqref>
                        </c15:formulaRef>
                      </c:ext>
                    </c:extLst>
                    <c:strCache>
                      <c:ptCount val="1"/>
                      <c:pt idx="0">
                        <c:v>AEP per 1,000 nonpregnant-aware, nonsteril women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errBars>
                  <c:errDir val="y"/>
                  <c:errBarType val="both"/>
                  <c:errValType val="cust"/>
                  <c:noEndCap val="0"/>
                  <c:plus>
                    <c:numRef>
                      <c:extLst>
                        <c:ext uri="{02D57815-91ED-43cb-92C2-25804820EDAC}">
                          <c15:formulaRef>
                            <c15:sqref>'Scenario Analysis'!$AD$8:$AL$8</c15:sqref>
                          </c15:formulaRef>
                        </c:ext>
                      </c:extLst>
                      <c:numCache>
                        <c:formatCode>General</c:formatCode>
                        <c:ptCount val="9"/>
                        <c:pt idx="0">
                          <c:v>35.040790595852719</c:v>
                        </c:pt>
                        <c:pt idx="1">
                          <c:v>38.933643015906739</c:v>
                        </c:pt>
                        <c:pt idx="2">
                          <c:v>30.876674983236114</c:v>
                        </c:pt>
                        <c:pt idx="3">
                          <c:v>24.769008397099601</c:v>
                        </c:pt>
                        <c:pt idx="4">
                          <c:v>27.156020694860782</c:v>
                        </c:pt>
                        <c:pt idx="5">
                          <c:v>25.357432735277072</c:v>
                        </c:pt>
                        <c:pt idx="6">
                          <c:v>27.904769776068004</c:v>
                        </c:pt>
                        <c:pt idx="7">
                          <c:v>25.461108554500221</c:v>
                        </c:pt>
                        <c:pt idx="8">
                          <c:v>24.701152677884526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'Scenario Analysis'!$AD$7:$AL$7</c15:sqref>
                          </c15:formulaRef>
                        </c:ext>
                      </c:extLst>
                      <c:numCache>
                        <c:formatCode>General</c:formatCode>
                        <c:ptCount val="9"/>
                        <c:pt idx="0">
                          <c:v>28.286520010751804</c:v>
                        </c:pt>
                        <c:pt idx="1">
                          <c:v>24.091345814739888</c:v>
                        </c:pt>
                        <c:pt idx="2">
                          <c:v>21.953074153395015</c:v>
                        </c:pt>
                        <c:pt idx="3">
                          <c:v>19.519188940760223</c:v>
                        </c:pt>
                        <c:pt idx="4">
                          <c:v>23.089524786512133</c:v>
                        </c:pt>
                        <c:pt idx="5">
                          <c:v>23.05041720658409</c:v>
                        </c:pt>
                        <c:pt idx="6">
                          <c:v>18.411935278105549</c:v>
                        </c:pt>
                        <c:pt idx="7">
                          <c:v>20.450941394020436</c:v>
                        </c:pt>
                        <c:pt idx="8">
                          <c:v>19.889455034543222</c:v>
                        </c:pt>
                      </c:numCache>
                    </c:numRef>
                  </c:minus>
                  <c:spPr>
                    <a:noFill/>
                    <a:ln w="19050" cap="flat" cmpd="sng" algn="ctr">
                      <a:solidFill>
                        <a:schemeClr val="accent2"/>
                      </a:solidFill>
                      <a:round/>
                    </a:ln>
                    <a:effectLst/>
                  </c:spPr>
                </c:errBars>
                <c:cat>
                  <c:numRef>
                    <c:extLst>
                      <c:ext uri="{02D57815-91ED-43cb-92C2-25804820EDAC}">
                        <c15:formulaRef>
                          <c15:sqref>'Scenario Analysis'!$AD$3:$AH$3</c15:sqref>
                        </c15:formulaRef>
                      </c:ext>
                    </c:extLst>
                    <c:numCache>
                      <c:formatCode>0%</c:formatCode>
                      <c:ptCount val="5"/>
                      <c:pt idx="0">
                        <c:v>-0.4</c:v>
                      </c:pt>
                      <c:pt idx="1">
                        <c:v>-0.3</c:v>
                      </c:pt>
                      <c:pt idx="2">
                        <c:v>-0.2</c:v>
                      </c:pt>
                      <c:pt idx="3">
                        <c:v>-0.1</c:v>
                      </c:pt>
                      <c:pt idx="4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'Scenario Analysis'!$AD$4:$AH$4</c15:sqref>
                        </c15:formulaRef>
                      </c:ext>
                    </c:extLst>
                    <c:numCache>
                      <c:formatCode>#,##0.0</c:formatCode>
                      <c:ptCount val="5"/>
                      <c:pt idx="0">
                        <c:v>38.264764959702823</c:v>
                      </c:pt>
                      <c:pt idx="1">
                        <c:v>35.889118178123113</c:v>
                      </c:pt>
                      <c:pt idx="2">
                        <c:v>33.280521986460826</c:v>
                      </c:pt>
                      <c:pt idx="3">
                        <c:v>30.353942422572526</c:v>
                      </c:pt>
                      <c:pt idx="4">
                        <c:v>28.800263458144659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3641-4918-B883-0CC0C40727A5}"/>
                  </c:ext>
                </c:extLst>
              </c15:ser>
            </c15:filteredLineSeries>
          </c:ext>
        </c:extLst>
      </c:lineChart>
      <c:catAx>
        <c:axId val="67784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Decrease in Access to Contraceptives among "Safe Sex" Group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39072"/>
        <c:crosses val="autoZero"/>
        <c:auto val="1"/>
        <c:lblAlgn val="ctr"/>
        <c:lblOffset val="100"/>
        <c:noMultiLvlLbl val="0"/>
      </c:catAx>
      <c:valAx>
        <c:axId val="677839072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'Scenario Analysis'!$T$1</c:f>
              <c:strCache>
                <c:ptCount val="1"/>
                <c:pt idx="0">
                  <c:v>AEP Risk (Actual)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5186846470223139"/>
                  <c:y val="-0.35310971994598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'Scenario Analysis'!$X$8:$AB$8</c:f>
                <c:numCache>
                  <c:formatCode>General</c:formatCode>
                  <c:ptCount val="5"/>
                  <c:pt idx="0">
                    <c:v>2.9815552944932842E-2</c:v>
                  </c:pt>
                  <c:pt idx="1">
                    <c:v>2.8584695159614572E-2</c:v>
                  </c:pt>
                  <c:pt idx="2">
                    <c:v>2.6635228509178627E-2</c:v>
                  </c:pt>
                  <c:pt idx="3">
                    <c:v>2.7030676348453422E-2</c:v>
                  </c:pt>
                  <c:pt idx="4">
                    <c:v>2.9640336064855638E-2</c:v>
                  </c:pt>
                </c:numCache>
              </c:numRef>
            </c:plus>
            <c:minus>
              <c:numRef>
                <c:f>'Scenario Analysis'!$X$7:$AB$7</c:f>
                <c:numCache>
                  <c:formatCode>General</c:formatCode>
                  <c:ptCount val="5"/>
                  <c:pt idx="0">
                    <c:v>2.1119131852124592E-2</c:v>
                  </c:pt>
                  <c:pt idx="1">
                    <c:v>1.9056441423223672E-2</c:v>
                  </c:pt>
                  <c:pt idx="2">
                    <c:v>1.8534807216851752E-2</c:v>
                  </c:pt>
                  <c:pt idx="3">
                    <c:v>2.152636457247999E-2</c:v>
                  </c:pt>
                  <c:pt idx="4">
                    <c:v>1.9618983969648167E-2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accent1"/>
                </a:solidFill>
                <a:round/>
              </a:ln>
              <a:effectLst/>
            </c:spPr>
          </c:errBars>
          <c:cat>
            <c:numRef>
              <c:f>'Scenario Analysis'!$AH$3:$AL$3</c:f>
              <c:numCache>
                <c:formatCode>0%</c:formatCode>
                <c:ptCount val="5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</c:numCache>
            </c:numRef>
          </c:cat>
          <c:val>
            <c:numRef>
              <c:f>'Scenario Analysis'!$X$4:$AB$4</c:f>
              <c:numCache>
                <c:formatCode>0.0%</c:formatCode>
                <c:ptCount val="5"/>
                <c:pt idx="0">
                  <c:v>3.4074744553376828E-2</c:v>
                </c:pt>
                <c:pt idx="1">
                  <c:v>3.389896497110436E-2</c:v>
                </c:pt>
                <c:pt idx="2">
                  <c:v>3.3526922558144837E-2</c:v>
                </c:pt>
                <c:pt idx="3">
                  <c:v>3.2887139390881927E-2</c:v>
                </c:pt>
                <c:pt idx="4">
                  <c:v>3.2435245330493169E-2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2C-4E4A-AF06-2362A9BCA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41696"/>
        <c:axId val="6778390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'Scenario Analysis'!$AD$1</c15:sqref>
                        </c15:formulaRef>
                      </c:ext>
                    </c:extLst>
                    <c:strCache>
                      <c:ptCount val="1"/>
                      <c:pt idx="0">
                        <c:v>AEP per 1,000 nonpregnant-aware, nonsteril women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errBars>
                  <c:errDir val="y"/>
                  <c:errBarType val="both"/>
                  <c:errValType val="cust"/>
                  <c:noEndCap val="0"/>
                  <c:plus>
                    <c:numRef>
                      <c:extLst>
                        <c:ext uri="{02D57815-91ED-43cb-92C2-25804820EDAC}">
                          <c15:formulaRef>
                            <c15:sqref>'Scenario Analysis'!$AD$8:$AL$8</c15:sqref>
                          </c15:formulaRef>
                        </c:ext>
                      </c:extLst>
                      <c:numCache>
                        <c:formatCode>General</c:formatCode>
                        <c:ptCount val="9"/>
                        <c:pt idx="0">
                          <c:v>35.040790595852719</c:v>
                        </c:pt>
                        <c:pt idx="1">
                          <c:v>38.933643015906739</c:v>
                        </c:pt>
                        <c:pt idx="2">
                          <c:v>30.876674983236114</c:v>
                        </c:pt>
                        <c:pt idx="3">
                          <c:v>24.769008397099601</c:v>
                        </c:pt>
                        <c:pt idx="4">
                          <c:v>27.156020694860782</c:v>
                        </c:pt>
                        <c:pt idx="5">
                          <c:v>25.357432735277072</c:v>
                        </c:pt>
                        <c:pt idx="6">
                          <c:v>27.904769776068004</c:v>
                        </c:pt>
                        <c:pt idx="7">
                          <c:v>25.461108554500221</c:v>
                        </c:pt>
                        <c:pt idx="8">
                          <c:v>24.701152677884526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'Scenario Analysis'!$AD$7:$AL$7</c15:sqref>
                          </c15:formulaRef>
                        </c:ext>
                      </c:extLst>
                      <c:numCache>
                        <c:formatCode>General</c:formatCode>
                        <c:ptCount val="9"/>
                        <c:pt idx="0">
                          <c:v>28.286520010751804</c:v>
                        </c:pt>
                        <c:pt idx="1">
                          <c:v>24.091345814739888</c:v>
                        </c:pt>
                        <c:pt idx="2">
                          <c:v>21.953074153395015</c:v>
                        </c:pt>
                        <c:pt idx="3">
                          <c:v>19.519188940760223</c:v>
                        </c:pt>
                        <c:pt idx="4">
                          <c:v>23.089524786512133</c:v>
                        </c:pt>
                        <c:pt idx="5">
                          <c:v>23.05041720658409</c:v>
                        </c:pt>
                        <c:pt idx="6">
                          <c:v>18.411935278105549</c:v>
                        </c:pt>
                        <c:pt idx="7">
                          <c:v>20.450941394020436</c:v>
                        </c:pt>
                        <c:pt idx="8">
                          <c:v>19.889455034543222</c:v>
                        </c:pt>
                      </c:numCache>
                    </c:numRef>
                  </c:minus>
                  <c:spPr>
                    <a:noFill/>
                    <a:ln w="19050" cap="flat" cmpd="sng" algn="ctr">
                      <a:solidFill>
                        <a:schemeClr val="accent2"/>
                      </a:solidFill>
                      <a:round/>
                    </a:ln>
                    <a:effectLst/>
                  </c:spPr>
                </c:errBars>
                <c:cat>
                  <c:numRef>
                    <c:extLst>
                      <c:ext uri="{02D57815-91ED-43cb-92C2-25804820EDAC}">
                        <c15:formulaRef>
                          <c15:sqref>'Scenario Analysis'!$AH$3:$AL$3</c15:sqref>
                        </c15:formulaRef>
                      </c:ext>
                    </c:extLst>
                    <c:numCache>
                      <c:formatCode>0%</c:formatCode>
                      <c:ptCount val="5"/>
                      <c:pt idx="0">
                        <c:v>0</c:v>
                      </c:pt>
                      <c:pt idx="1">
                        <c:v>0.1</c:v>
                      </c:pt>
                      <c:pt idx="2">
                        <c:v>0.2</c:v>
                      </c:pt>
                      <c:pt idx="3">
                        <c:v>0.3</c:v>
                      </c:pt>
                      <c:pt idx="4">
                        <c:v>0.4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'Scenario Analysis'!$AH$4:$AL$4</c15:sqref>
                        </c15:formulaRef>
                      </c:ext>
                    </c:extLst>
                    <c:numCache>
                      <c:formatCode>#,##0.0</c:formatCode>
                      <c:ptCount val="5"/>
                      <c:pt idx="0">
                        <c:v>28.800263458144659</c:v>
                      </c:pt>
                      <c:pt idx="1">
                        <c:v>28.712810368977252</c:v>
                      </c:pt>
                      <c:pt idx="2">
                        <c:v>28.486296985633086</c:v>
                      </c:pt>
                      <c:pt idx="3">
                        <c:v>28.313046034871753</c:v>
                      </c:pt>
                      <c:pt idx="4">
                        <c:v>27.685998632343694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D2C-4E4A-AF06-2362A9BCA967}"/>
                  </c:ext>
                </c:extLst>
              </c15:ser>
            </c15:filteredLineSeries>
          </c:ext>
        </c:extLst>
      </c:lineChart>
      <c:catAx>
        <c:axId val="67784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Increase in Access to Contraceptives among "Unsafe Sex" Group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39072"/>
        <c:crosses val="autoZero"/>
        <c:auto val="1"/>
        <c:lblAlgn val="ctr"/>
        <c:lblOffset val="100"/>
        <c:noMultiLvlLbl val="0"/>
      </c:catAx>
      <c:valAx>
        <c:axId val="677839072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'Scenario Analysis'!$N$1</c:f>
              <c:strCache>
                <c:ptCount val="1"/>
                <c:pt idx="0">
                  <c:v>% Unaware Pregancies Exposed to Alcohol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'Scenario Analysis'!$N$8:$R$8</c:f>
                <c:numCache>
                  <c:formatCode>General</c:formatCode>
                  <c:ptCount val="5"/>
                  <c:pt idx="0">
                    <c:v>0.38256543538161192</c:v>
                  </c:pt>
                  <c:pt idx="1">
                    <c:v>0.31049852924852928</c:v>
                  </c:pt>
                  <c:pt idx="2">
                    <c:v>0.27096987163163633</c:v>
                  </c:pt>
                  <c:pt idx="3">
                    <c:v>0.34225020322814431</c:v>
                  </c:pt>
                  <c:pt idx="4">
                    <c:v>0.35905027720817156</c:v>
                  </c:pt>
                </c:numCache>
              </c:numRef>
            </c:plus>
            <c:minus>
              <c:numRef>
                <c:f>'Scenario Analysis'!$N$7:$R$7</c:f>
                <c:numCache>
                  <c:formatCode>General</c:formatCode>
                  <c:ptCount val="5"/>
                  <c:pt idx="0">
                    <c:v>0.38201789795172142</c:v>
                  </c:pt>
                  <c:pt idx="1">
                    <c:v>0.39247766122766115</c:v>
                  </c:pt>
                  <c:pt idx="2">
                    <c:v>0.42625235059058586</c:v>
                  </c:pt>
                  <c:pt idx="3">
                    <c:v>0.39695434222640097</c:v>
                  </c:pt>
                  <c:pt idx="4">
                    <c:v>0.33261638945849464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accent6"/>
                </a:solidFill>
                <a:round/>
              </a:ln>
              <a:effectLst/>
            </c:spPr>
          </c:errBars>
          <c:cat>
            <c:numRef>
              <c:f>'Scenario Analysis'!$N$3:$R$3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cat>
          <c:val>
            <c:numRef>
              <c:f>'Scenario Analysis'!$N$4:$R$4</c:f>
              <c:numCache>
                <c:formatCode>0.0%</c:formatCode>
                <c:ptCount val="5"/>
                <c:pt idx="0">
                  <c:v>0.61743456461838808</c:v>
                </c:pt>
                <c:pt idx="1">
                  <c:v>0.54664432789432782</c:v>
                </c:pt>
                <c:pt idx="2">
                  <c:v>0.47903012836836367</c:v>
                </c:pt>
                <c:pt idx="3">
                  <c:v>0.39695434222640097</c:v>
                </c:pt>
                <c:pt idx="4">
                  <c:v>0.33261638945849464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20-4C68-81FF-50DDDA2CB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41696"/>
        <c:axId val="677839072"/>
      </c:lineChart>
      <c:catAx>
        <c:axId val="67784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Compliance with CDC Recommendation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39072"/>
        <c:crosses val="autoZero"/>
        <c:auto val="1"/>
        <c:lblAlgn val="ctr"/>
        <c:lblOffset val="100"/>
        <c:noMultiLvlLbl val="0"/>
      </c:catAx>
      <c:valAx>
        <c:axId val="6778390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416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'Scenario Analysis'!$AD$1:$AL$1</c:f>
              <c:strCache>
                <c:ptCount val="9"/>
                <c:pt idx="0">
                  <c:v>AEP per 1,000 nonpregnant-aware, nonsteril women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4.8990959463400409E-2"/>
                  <c:y val="-0.271306563318620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'Scenario Analysis'!$AD$8:$AH$8</c:f>
                <c:numCache>
                  <c:formatCode>General</c:formatCode>
                  <c:ptCount val="5"/>
                  <c:pt idx="0">
                    <c:v>35.040790595852719</c:v>
                  </c:pt>
                  <c:pt idx="1">
                    <c:v>38.933643015906739</c:v>
                  </c:pt>
                  <c:pt idx="2">
                    <c:v>30.876674983236114</c:v>
                  </c:pt>
                  <c:pt idx="3">
                    <c:v>24.769008397099601</c:v>
                  </c:pt>
                  <c:pt idx="4">
                    <c:v>27.156020694860782</c:v>
                  </c:pt>
                </c:numCache>
              </c:numRef>
            </c:plus>
            <c:minus>
              <c:numRef>
                <c:f>'Scenario Analysis'!$AD$7:$AH$7</c:f>
                <c:numCache>
                  <c:formatCode>General</c:formatCode>
                  <c:ptCount val="5"/>
                  <c:pt idx="0">
                    <c:v>28.286520010751804</c:v>
                  </c:pt>
                  <c:pt idx="1">
                    <c:v>24.091345814739888</c:v>
                  </c:pt>
                  <c:pt idx="2">
                    <c:v>21.953074153395015</c:v>
                  </c:pt>
                  <c:pt idx="3">
                    <c:v>19.519188940760223</c:v>
                  </c:pt>
                  <c:pt idx="4">
                    <c:v>23.089524786512133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accent1"/>
                </a:solidFill>
                <a:round/>
              </a:ln>
              <a:effectLst/>
            </c:spPr>
          </c:errBars>
          <c:cat>
            <c:numRef>
              <c:f>'Scenario Analysis'!$AD$3:$AH$3</c:f>
              <c:numCache>
                <c:formatCode>0%</c:formatCode>
                <c:ptCount val="5"/>
                <c:pt idx="0">
                  <c:v>-0.4</c:v>
                </c:pt>
                <c:pt idx="1">
                  <c:v>-0.3</c:v>
                </c:pt>
                <c:pt idx="2">
                  <c:v>-0.2</c:v>
                </c:pt>
                <c:pt idx="3">
                  <c:v>-0.1</c:v>
                </c:pt>
                <c:pt idx="4">
                  <c:v>0</c:v>
                </c:pt>
              </c:numCache>
            </c:numRef>
          </c:cat>
          <c:val>
            <c:numRef>
              <c:f>'Scenario Analysis'!$AD$4:$AH$4</c:f>
              <c:numCache>
                <c:formatCode>#,##0.0</c:formatCode>
                <c:ptCount val="5"/>
                <c:pt idx="0">
                  <c:v>38.264764959702823</c:v>
                </c:pt>
                <c:pt idx="1">
                  <c:v>35.889118178123113</c:v>
                </c:pt>
                <c:pt idx="2">
                  <c:v>33.280521986460826</c:v>
                </c:pt>
                <c:pt idx="3">
                  <c:v>30.353942422572526</c:v>
                </c:pt>
                <c:pt idx="4">
                  <c:v>28.800263458144659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98-47A6-92E4-ECEB4E74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41696"/>
        <c:axId val="6778390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'Scenario Analysis'!$AD$1</c15:sqref>
                        </c15:formulaRef>
                      </c:ext>
                    </c:extLst>
                    <c:strCache>
                      <c:ptCount val="1"/>
                      <c:pt idx="0">
                        <c:v>AEP per 1,000 nonpregnant-aware, nonsteril women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errBars>
                  <c:errDir val="y"/>
                  <c:errBarType val="both"/>
                  <c:errValType val="cust"/>
                  <c:noEndCap val="0"/>
                  <c:plus>
                    <c:numRef>
                      <c:extLst>
                        <c:ext uri="{02D57815-91ED-43cb-92C2-25804820EDAC}">
                          <c15:formulaRef>
                            <c15:sqref>'Scenario Analysis'!$AD$8:$AL$8</c15:sqref>
                          </c15:formulaRef>
                        </c:ext>
                      </c:extLst>
                      <c:numCache>
                        <c:formatCode>General</c:formatCode>
                        <c:ptCount val="9"/>
                        <c:pt idx="0">
                          <c:v>35.040790595852719</c:v>
                        </c:pt>
                        <c:pt idx="1">
                          <c:v>38.933643015906739</c:v>
                        </c:pt>
                        <c:pt idx="2">
                          <c:v>30.876674983236114</c:v>
                        </c:pt>
                        <c:pt idx="3">
                          <c:v>24.769008397099601</c:v>
                        </c:pt>
                        <c:pt idx="4">
                          <c:v>27.156020694860782</c:v>
                        </c:pt>
                        <c:pt idx="5">
                          <c:v>25.357432735277072</c:v>
                        </c:pt>
                        <c:pt idx="6">
                          <c:v>27.904769776068004</c:v>
                        </c:pt>
                        <c:pt idx="7">
                          <c:v>25.461108554500221</c:v>
                        </c:pt>
                        <c:pt idx="8">
                          <c:v>24.701152677884526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'Scenario Analysis'!$AD$7:$AL$7</c15:sqref>
                          </c15:formulaRef>
                        </c:ext>
                      </c:extLst>
                      <c:numCache>
                        <c:formatCode>General</c:formatCode>
                        <c:ptCount val="9"/>
                        <c:pt idx="0">
                          <c:v>28.286520010751804</c:v>
                        </c:pt>
                        <c:pt idx="1">
                          <c:v>24.091345814739888</c:v>
                        </c:pt>
                        <c:pt idx="2">
                          <c:v>21.953074153395015</c:v>
                        </c:pt>
                        <c:pt idx="3">
                          <c:v>19.519188940760223</c:v>
                        </c:pt>
                        <c:pt idx="4">
                          <c:v>23.089524786512133</c:v>
                        </c:pt>
                        <c:pt idx="5">
                          <c:v>23.05041720658409</c:v>
                        </c:pt>
                        <c:pt idx="6">
                          <c:v>18.411935278105549</c:v>
                        </c:pt>
                        <c:pt idx="7">
                          <c:v>20.450941394020436</c:v>
                        </c:pt>
                        <c:pt idx="8">
                          <c:v>19.889455034543222</c:v>
                        </c:pt>
                      </c:numCache>
                    </c:numRef>
                  </c:minus>
                  <c:spPr>
                    <a:noFill/>
                    <a:ln w="19050" cap="flat" cmpd="sng" algn="ctr">
                      <a:solidFill>
                        <a:schemeClr val="accent2"/>
                      </a:solidFill>
                      <a:round/>
                    </a:ln>
                    <a:effectLst/>
                  </c:spPr>
                </c:errBars>
                <c:cat>
                  <c:numRef>
                    <c:extLst>
                      <c:ext uri="{02D57815-91ED-43cb-92C2-25804820EDAC}">
                        <c15:formulaRef>
                          <c15:sqref>'Scenario Analysis'!$AD$3:$AH$3</c15:sqref>
                        </c15:formulaRef>
                      </c:ext>
                    </c:extLst>
                    <c:numCache>
                      <c:formatCode>0%</c:formatCode>
                      <c:ptCount val="5"/>
                      <c:pt idx="0">
                        <c:v>-0.4</c:v>
                      </c:pt>
                      <c:pt idx="1">
                        <c:v>-0.3</c:v>
                      </c:pt>
                      <c:pt idx="2">
                        <c:v>-0.2</c:v>
                      </c:pt>
                      <c:pt idx="3">
                        <c:v>-0.1</c:v>
                      </c:pt>
                      <c:pt idx="4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'Scenario Analysis'!$AD$4:$AH$4</c15:sqref>
                        </c15:formulaRef>
                      </c:ext>
                    </c:extLst>
                    <c:numCache>
                      <c:formatCode>#,##0.0</c:formatCode>
                      <c:ptCount val="5"/>
                      <c:pt idx="0">
                        <c:v>38.264764959702823</c:v>
                      </c:pt>
                      <c:pt idx="1">
                        <c:v>35.889118178123113</c:v>
                      </c:pt>
                      <c:pt idx="2">
                        <c:v>33.280521986460826</c:v>
                      </c:pt>
                      <c:pt idx="3">
                        <c:v>30.353942422572526</c:v>
                      </c:pt>
                      <c:pt idx="4">
                        <c:v>28.800263458144659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198-47A6-92E4-ECEB4E7467FE}"/>
                  </c:ext>
                </c:extLst>
              </c15:ser>
            </c15:filteredLineSeries>
          </c:ext>
        </c:extLst>
      </c:lineChart>
      <c:catAx>
        <c:axId val="67784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Decrease in Access to Contraceptives among "Safe Sex" Group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39072"/>
        <c:crosses val="autoZero"/>
        <c:auto val="1"/>
        <c:lblAlgn val="ctr"/>
        <c:lblOffset val="100"/>
        <c:noMultiLvlLbl val="0"/>
      </c:catAx>
      <c:valAx>
        <c:axId val="6778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'Scenario Analysis'!$AD$1:$AL$1</c:f>
              <c:strCache>
                <c:ptCount val="9"/>
                <c:pt idx="0">
                  <c:v>AEP per 1,000 nonpregnant-aware, nonsteril women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2725757927998584"/>
                  <c:y val="-0.1989922913057803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'Scenario Analysis'!$AH$8:$AL$8</c:f>
                <c:numCache>
                  <c:formatCode>General</c:formatCode>
                  <c:ptCount val="5"/>
                  <c:pt idx="0">
                    <c:v>27.156020694860782</c:v>
                  </c:pt>
                  <c:pt idx="1">
                    <c:v>25.357432735277072</c:v>
                  </c:pt>
                  <c:pt idx="2">
                    <c:v>27.904769776068004</c:v>
                  </c:pt>
                  <c:pt idx="3">
                    <c:v>25.461108554500221</c:v>
                  </c:pt>
                  <c:pt idx="4">
                    <c:v>24.701152677884526</c:v>
                  </c:pt>
                </c:numCache>
              </c:numRef>
            </c:plus>
            <c:minus>
              <c:numRef>
                <c:f>'Scenario Analysis'!$AH$7:$AL$7</c:f>
                <c:numCache>
                  <c:formatCode>General</c:formatCode>
                  <c:ptCount val="5"/>
                  <c:pt idx="0">
                    <c:v>23.089524786512133</c:v>
                  </c:pt>
                  <c:pt idx="1">
                    <c:v>23.05041720658409</c:v>
                  </c:pt>
                  <c:pt idx="2">
                    <c:v>18.411935278105549</c:v>
                  </c:pt>
                  <c:pt idx="3">
                    <c:v>20.450941394020436</c:v>
                  </c:pt>
                  <c:pt idx="4">
                    <c:v>19.889455034543222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accent1"/>
                </a:solidFill>
                <a:round/>
              </a:ln>
              <a:effectLst/>
            </c:spPr>
          </c:errBars>
          <c:cat>
            <c:numRef>
              <c:f>'Scenario Analysis'!$AH$3:$AL$3</c:f>
              <c:numCache>
                <c:formatCode>0%</c:formatCode>
                <c:ptCount val="5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</c:numCache>
            </c:numRef>
          </c:cat>
          <c:val>
            <c:numRef>
              <c:f>'Scenario Analysis'!$AH$4:$AL$4</c:f>
              <c:numCache>
                <c:formatCode>#,##0.0</c:formatCode>
                <c:ptCount val="5"/>
                <c:pt idx="0">
                  <c:v>28.800263458144659</c:v>
                </c:pt>
                <c:pt idx="1">
                  <c:v>28.712810368977252</c:v>
                </c:pt>
                <c:pt idx="2">
                  <c:v>28.486296985633086</c:v>
                </c:pt>
                <c:pt idx="3">
                  <c:v>28.313046034871753</c:v>
                </c:pt>
                <c:pt idx="4">
                  <c:v>27.685998632343694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20-4C92-BED9-13F9066B4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41696"/>
        <c:axId val="6778390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'Scenario Analysis'!$AD$1</c15:sqref>
                        </c15:formulaRef>
                      </c:ext>
                    </c:extLst>
                    <c:strCache>
                      <c:ptCount val="1"/>
                      <c:pt idx="0">
                        <c:v>AEP per 1,000 nonpregnant-aware, nonsteril women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errBars>
                  <c:errDir val="y"/>
                  <c:errBarType val="both"/>
                  <c:errValType val="cust"/>
                  <c:noEndCap val="0"/>
                  <c:plus>
                    <c:numRef>
                      <c:extLst>
                        <c:ext uri="{02D57815-91ED-43cb-92C2-25804820EDAC}">
                          <c15:formulaRef>
                            <c15:sqref>'Scenario Analysis'!$AD$8:$AL$8</c15:sqref>
                          </c15:formulaRef>
                        </c:ext>
                      </c:extLst>
                      <c:numCache>
                        <c:formatCode>General</c:formatCode>
                        <c:ptCount val="9"/>
                        <c:pt idx="0">
                          <c:v>35.040790595852719</c:v>
                        </c:pt>
                        <c:pt idx="1">
                          <c:v>38.933643015906739</c:v>
                        </c:pt>
                        <c:pt idx="2">
                          <c:v>30.876674983236114</c:v>
                        </c:pt>
                        <c:pt idx="3">
                          <c:v>24.769008397099601</c:v>
                        </c:pt>
                        <c:pt idx="4">
                          <c:v>27.156020694860782</c:v>
                        </c:pt>
                        <c:pt idx="5">
                          <c:v>25.357432735277072</c:v>
                        </c:pt>
                        <c:pt idx="6">
                          <c:v>27.904769776068004</c:v>
                        </c:pt>
                        <c:pt idx="7">
                          <c:v>25.461108554500221</c:v>
                        </c:pt>
                        <c:pt idx="8">
                          <c:v>24.701152677884526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'Scenario Analysis'!$AD$7:$AL$7</c15:sqref>
                          </c15:formulaRef>
                        </c:ext>
                      </c:extLst>
                      <c:numCache>
                        <c:formatCode>General</c:formatCode>
                        <c:ptCount val="9"/>
                        <c:pt idx="0">
                          <c:v>28.286520010751804</c:v>
                        </c:pt>
                        <c:pt idx="1">
                          <c:v>24.091345814739888</c:v>
                        </c:pt>
                        <c:pt idx="2">
                          <c:v>21.953074153395015</c:v>
                        </c:pt>
                        <c:pt idx="3">
                          <c:v>19.519188940760223</c:v>
                        </c:pt>
                        <c:pt idx="4">
                          <c:v>23.089524786512133</c:v>
                        </c:pt>
                        <c:pt idx="5">
                          <c:v>23.05041720658409</c:v>
                        </c:pt>
                        <c:pt idx="6">
                          <c:v>18.411935278105549</c:v>
                        </c:pt>
                        <c:pt idx="7">
                          <c:v>20.450941394020436</c:v>
                        </c:pt>
                        <c:pt idx="8">
                          <c:v>19.889455034543222</c:v>
                        </c:pt>
                      </c:numCache>
                    </c:numRef>
                  </c:minus>
                  <c:spPr>
                    <a:noFill/>
                    <a:ln w="19050" cap="flat" cmpd="sng" algn="ctr">
                      <a:solidFill>
                        <a:schemeClr val="accent2"/>
                      </a:solidFill>
                      <a:round/>
                    </a:ln>
                    <a:effectLst/>
                  </c:spPr>
                </c:errBars>
                <c:cat>
                  <c:numRef>
                    <c:extLst>
                      <c:ext uri="{02D57815-91ED-43cb-92C2-25804820EDAC}">
                        <c15:formulaRef>
                          <c15:sqref>'Scenario Analysis'!$AH$3:$AL$3</c15:sqref>
                        </c15:formulaRef>
                      </c:ext>
                    </c:extLst>
                    <c:numCache>
                      <c:formatCode>0%</c:formatCode>
                      <c:ptCount val="5"/>
                      <c:pt idx="0">
                        <c:v>0</c:v>
                      </c:pt>
                      <c:pt idx="1">
                        <c:v>0.1</c:v>
                      </c:pt>
                      <c:pt idx="2">
                        <c:v>0.2</c:v>
                      </c:pt>
                      <c:pt idx="3">
                        <c:v>0.3</c:v>
                      </c:pt>
                      <c:pt idx="4">
                        <c:v>0.4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'Scenario Analysis'!$AH$4:$AL$4</c15:sqref>
                        </c15:formulaRef>
                      </c:ext>
                    </c:extLst>
                    <c:numCache>
                      <c:formatCode>#,##0.0</c:formatCode>
                      <c:ptCount val="5"/>
                      <c:pt idx="0">
                        <c:v>28.800263458144659</c:v>
                      </c:pt>
                      <c:pt idx="1">
                        <c:v>28.712810368977252</c:v>
                      </c:pt>
                      <c:pt idx="2">
                        <c:v>28.486296985633086</c:v>
                      </c:pt>
                      <c:pt idx="3">
                        <c:v>28.313046034871753</c:v>
                      </c:pt>
                      <c:pt idx="4">
                        <c:v>27.685998632343694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F20-4C92-BED9-13F9066B4917}"/>
                  </c:ext>
                </c:extLst>
              </c15:ser>
            </c15:filteredLineSeries>
          </c:ext>
        </c:extLst>
      </c:lineChart>
      <c:catAx>
        <c:axId val="67784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Increase in Access to Contraceptives among "Unsafe Sex" Group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39072"/>
        <c:crosses val="autoZero"/>
        <c:auto val="1"/>
        <c:lblAlgn val="ctr"/>
        <c:lblOffset val="100"/>
        <c:noMultiLvlLbl val="0"/>
      </c:catAx>
      <c:valAx>
        <c:axId val="6778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'Scenario Visualization'!$B$2:$C$2</c:f>
              <c:strCache>
                <c:ptCount val="1"/>
                <c:pt idx="0">
                  <c:v>AEP Risk (CDC Definition)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'Scenario Visualization'!$B$4:$B$503</c:f>
              <c:numCache>
                <c:formatCode>0%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0.25</c:v>
                </c:pt>
                <c:pt idx="101">
                  <c:v>0.25</c:v>
                </c:pt>
                <c:pt idx="102">
                  <c:v>0.25</c:v>
                </c:pt>
                <c:pt idx="103">
                  <c:v>0.25</c:v>
                </c:pt>
                <c:pt idx="104">
                  <c:v>0.25</c:v>
                </c:pt>
                <c:pt idx="105">
                  <c:v>0.25</c:v>
                </c:pt>
                <c:pt idx="106">
                  <c:v>0.25</c:v>
                </c:pt>
                <c:pt idx="107">
                  <c:v>0.25</c:v>
                </c:pt>
                <c:pt idx="108">
                  <c:v>0.25</c:v>
                </c:pt>
                <c:pt idx="109">
                  <c:v>0.25</c:v>
                </c:pt>
                <c:pt idx="110">
                  <c:v>0.25</c:v>
                </c:pt>
                <c:pt idx="111">
                  <c:v>0.25</c:v>
                </c:pt>
                <c:pt idx="112">
                  <c:v>0.25</c:v>
                </c:pt>
                <c:pt idx="113">
                  <c:v>0.25</c:v>
                </c:pt>
                <c:pt idx="114">
                  <c:v>0.25</c:v>
                </c:pt>
                <c:pt idx="115">
                  <c:v>0.25</c:v>
                </c:pt>
                <c:pt idx="116">
                  <c:v>0.25</c:v>
                </c:pt>
                <c:pt idx="117">
                  <c:v>0.25</c:v>
                </c:pt>
                <c:pt idx="118">
                  <c:v>0.25</c:v>
                </c:pt>
                <c:pt idx="119">
                  <c:v>0.25</c:v>
                </c:pt>
                <c:pt idx="120">
                  <c:v>0.25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0.25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0.25</c:v>
                </c:pt>
                <c:pt idx="131">
                  <c:v>0.25</c:v>
                </c:pt>
                <c:pt idx="132">
                  <c:v>0.25</c:v>
                </c:pt>
                <c:pt idx="133">
                  <c:v>0.25</c:v>
                </c:pt>
                <c:pt idx="134">
                  <c:v>0.25</c:v>
                </c:pt>
                <c:pt idx="135">
                  <c:v>0.25</c:v>
                </c:pt>
                <c:pt idx="136">
                  <c:v>0.25</c:v>
                </c:pt>
                <c:pt idx="137">
                  <c:v>0.25</c:v>
                </c:pt>
                <c:pt idx="138">
                  <c:v>0.25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  <c:pt idx="158">
                  <c:v>0.25</c:v>
                </c:pt>
                <c:pt idx="159">
                  <c:v>0.25</c:v>
                </c:pt>
                <c:pt idx="160">
                  <c:v>0.25</c:v>
                </c:pt>
                <c:pt idx="161">
                  <c:v>0.25</c:v>
                </c:pt>
                <c:pt idx="162">
                  <c:v>0.25</c:v>
                </c:pt>
                <c:pt idx="163">
                  <c:v>0.25</c:v>
                </c:pt>
                <c:pt idx="164">
                  <c:v>0.25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0.25</c:v>
                </c:pt>
                <c:pt idx="172">
                  <c:v>0.25</c:v>
                </c:pt>
                <c:pt idx="173">
                  <c:v>0.25</c:v>
                </c:pt>
                <c:pt idx="174">
                  <c:v>0.25</c:v>
                </c:pt>
                <c:pt idx="175">
                  <c:v>0.25</c:v>
                </c:pt>
                <c:pt idx="176">
                  <c:v>0.25</c:v>
                </c:pt>
                <c:pt idx="177">
                  <c:v>0.25</c:v>
                </c:pt>
                <c:pt idx="178">
                  <c:v>0.25</c:v>
                </c:pt>
                <c:pt idx="179">
                  <c:v>0.25</c:v>
                </c:pt>
                <c:pt idx="180">
                  <c:v>0.25</c:v>
                </c:pt>
                <c:pt idx="181">
                  <c:v>0.25</c:v>
                </c:pt>
                <c:pt idx="182">
                  <c:v>0.25</c:v>
                </c:pt>
                <c:pt idx="183">
                  <c:v>0.25</c:v>
                </c:pt>
                <c:pt idx="184">
                  <c:v>0.25</c:v>
                </c:pt>
                <c:pt idx="185">
                  <c:v>0.25</c:v>
                </c:pt>
                <c:pt idx="186">
                  <c:v>0.25</c:v>
                </c:pt>
                <c:pt idx="187">
                  <c:v>0.25</c:v>
                </c:pt>
                <c:pt idx="188">
                  <c:v>0.25</c:v>
                </c:pt>
                <c:pt idx="189">
                  <c:v>0.25</c:v>
                </c:pt>
                <c:pt idx="190">
                  <c:v>0.25</c:v>
                </c:pt>
                <c:pt idx="191">
                  <c:v>0.25</c:v>
                </c:pt>
                <c:pt idx="192">
                  <c:v>0.25</c:v>
                </c:pt>
                <c:pt idx="193">
                  <c:v>0.25</c:v>
                </c:pt>
                <c:pt idx="194">
                  <c:v>0.25</c:v>
                </c:pt>
                <c:pt idx="195">
                  <c:v>0.25</c:v>
                </c:pt>
                <c:pt idx="196">
                  <c:v>0.25</c:v>
                </c:pt>
                <c:pt idx="197">
                  <c:v>0.25</c:v>
                </c:pt>
                <c:pt idx="198">
                  <c:v>0.25</c:v>
                </c:pt>
                <c:pt idx="199">
                  <c:v>0.25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0.75</c:v>
                </c:pt>
                <c:pt idx="301">
                  <c:v>0.75</c:v>
                </c:pt>
                <c:pt idx="302">
                  <c:v>0.75</c:v>
                </c:pt>
                <c:pt idx="303">
                  <c:v>0.75</c:v>
                </c:pt>
                <c:pt idx="304">
                  <c:v>0.75</c:v>
                </c:pt>
                <c:pt idx="305">
                  <c:v>0.75</c:v>
                </c:pt>
                <c:pt idx="306">
                  <c:v>0.75</c:v>
                </c:pt>
                <c:pt idx="307">
                  <c:v>0.75</c:v>
                </c:pt>
                <c:pt idx="308">
                  <c:v>0.75</c:v>
                </c:pt>
                <c:pt idx="309">
                  <c:v>0.75</c:v>
                </c:pt>
                <c:pt idx="310">
                  <c:v>0.75</c:v>
                </c:pt>
                <c:pt idx="311">
                  <c:v>0.75</c:v>
                </c:pt>
                <c:pt idx="312">
                  <c:v>0.75</c:v>
                </c:pt>
                <c:pt idx="313">
                  <c:v>0.75</c:v>
                </c:pt>
                <c:pt idx="314">
                  <c:v>0.75</c:v>
                </c:pt>
                <c:pt idx="315">
                  <c:v>0.75</c:v>
                </c:pt>
                <c:pt idx="316">
                  <c:v>0.75</c:v>
                </c:pt>
                <c:pt idx="317">
                  <c:v>0.75</c:v>
                </c:pt>
                <c:pt idx="318">
                  <c:v>0.75</c:v>
                </c:pt>
                <c:pt idx="319">
                  <c:v>0.75</c:v>
                </c:pt>
                <c:pt idx="320">
                  <c:v>0.75</c:v>
                </c:pt>
                <c:pt idx="321">
                  <c:v>0.75</c:v>
                </c:pt>
                <c:pt idx="322">
                  <c:v>0.75</c:v>
                </c:pt>
                <c:pt idx="323">
                  <c:v>0.75</c:v>
                </c:pt>
                <c:pt idx="324">
                  <c:v>0.75</c:v>
                </c:pt>
                <c:pt idx="325">
                  <c:v>0.75</c:v>
                </c:pt>
                <c:pt idx="326">
                  <c:v>0.75</c:v>
                </c:pt>
                <c:pt idx="327">
                  <c:v>0.75</c:v>
                </c:pt>
                <c:pt idx="328">
                  <c:v>0.75</c:v>
                </c:pt>
                <c:pt idx="329">
                  <c:v>0.75</c:v>
                </c:pt>
                <c:pt idx="330">
                  <c:v>0.75</c:v>
                </c:pt>
                <c:pt idx="331">
                  <c:v>0.75</c:v>
                </c:pt>
                <c:pt idx="332">
                  <c:v>0.75</c:v>
                </c:pt>
                <c:pt idx="333">
                  <c:v>0.75</c:v>
                </c:pt>
                <c:pt idx="334">
                  <c:v>0.75</c:v>
                </c:pt>
                <c:pt idx="335">
                  <c:v>0.75</c:v>
                </c:pt>
                <c:pt idx="336">
                  <c:v>0.75</c:v>
                </c:pt>
                <c:pt idx="337">
                  <c:v>0.75</c:v>
                </c:pt>
                <c:pt idx="338">
                  <c:v>0.75</c:v>
                </c:pt>
                <c:pt idx="339">
                  <c:v>0.75</c:v>
                </c:pt>
                <c:pt idx="340">
                  <c:v>0.75</c:v>
                </c:pt>
                <c:pt idx="341">
                  <c:v>0.75</c:v>
                </c:pt>
                <c:pt idx="342">
                  <c:v>0.75</c:v>
                </c:pt>
                <c:pt idx="343">
                  <c:v>0.75</c:v>
                </c:pt>
                <c:pt idx="344">
                  <c:v>0.75</c:v>
                </c:pt>
                <c:pt idx="345">
                  <c:v>0.75</c:v>
                </c:pt>
                <c:pt idx="346">
                  <c:v>0.75</c:v>
                </c:pt>
                <c:pt idx="347">
                  <c:v>0.75</c:v>
                </c:pt>
                <c:pt idx="348">
                  <c:v>0.75</c:v>
                </c:pt>
                <c:pt idx="349">
                  <c:v>0.75</c:v>
                </c:pt>
                <c:pt idx="350">
                  <c:v>0.75</c:v>
                </c:pt>
                <c:pt idx="351">
                  <c:v>0.75</c:v>
                </c:pt>
                <c:pt idx="352">
                  <c:v>0.75</c:v>
                </c:pt>
                <c:pt idx="353">
                  <c:v>0.75</c:v>
                </c:pt>
                <c:pt idx="354">
                  <c:v>0.75</c:v>
                </c:pt>
                <c:pt idx="355">
                  <c:v>0.75</c:v>
                </c:pt>
                <c:pt idx="356">
                  <c:v>0.75</c:v>
                </c:pt>
                <c:pt idx="357">
                  <c:v>0.75</c:v>
                </c:pt>
                <c:pt idx="358">
                  <c:v>0.75</c:v>
                </c:pt>
                <c:pt idx="359">
                  <c:v>0.75</c:v>
                </c:pt>
                <c:pt idx="360">
                  <c:v>0.75</c:v>
                </c:pt>
                <c:pt idx="361">
                  <c:v>0.75</c:v>
                </c:pt>
                <c:pt idx="362">
                  <c:v>0.75</c:v>
                </c:pt>
                <c:pt idx="363">
                  <c:v>0.75</c:v>
                </c:pt>
                <c:pt idx="364">
                  <c:v>0.75</c:v>
                </c:pt>
                <c:pt idx="365">
                  <c:v>0.75</c:v>
                </c:pt>
                <c:pt idx="366">
                  <c:v>0.75</c:v>
                </c:pt>
                <c:pt idx="367">
                  <c:v>0.75</c:v>
                </c:pt>
                <c:pt idx="368">
                  <c:v>0.75</c:v>
                </c:pt>
                <c:pt idx="369">
                  <c:v>0.75</c:v>
                </c:pt>
                <c:pt idx="370">
                  <c:v>0.75</c:v>
                </c:pt>
                <c:pt idx="371">
                  <c:v>0.75</c:v>
                </c:pt>
                <c:pt idx="372">
                  <c:v>0.75</c:v>
                </c:pt>
                <c:pt idx="373">
                  <c:v>0.75</c:v>
                </c:pt>
                <c:pt idx="374">
                  <c:v>0.75</c:v>
                </c:pt>
                <c:pt idx="375">
                  <c:v>0.75</c:v>
                </c:pt>
                <c:pt idx="376">
                  <c:v>0.75</c:v>
                </c:pt>
                <c:pt idx="377">
                  <c:v>0.75</c:v>
                </c:pt>
                <c:pt idx="378">
                  <c:v>0.75</c:v>
                </c:pt>
                <c:pt idx="379">
                  <c:v>0.75</c:v>
                </c:pt>
                <c:pt idx="380">
                  <c:v>0.75</c:v>
                </c:pt>
                <c:pt idx="381">
                  <c:v>0.75</c:v>
                </c:pt>
                <c:pt idx="382">
                  <c:v>0.75</c:v>
                </c:pt>
                <c:pt idx="383">
                  <c:v>0.75</c:v>
                </c:pt>
                <c:pt idx="384">
                  <c:v>0.75</c:v>
                </c:pt>
                <c:pt idx="385">
                  <c:v>0.75</c:v>
                </c:pt>
                <c:pt idx="386">
                  <c:v>0.75</c:v>
                </c:pt>
                <c:pt idx="387">
                  <c:v>0.75</c:v>
                </c:pt>
                <c:pt idx="388">
                  <c:v>0.75</c:v>
                </c:pt>
                <c:pt idx="389">
                  <c:v>0.75</c:v>
                </c:pt>
                <c:pt idx="390">
                  <c:v>0.75</c:v>
                </c:pt>
                <c:pt idx="391">
                  <c:v>0.75</c:v>
                </c:pt>
                <c:pt idx="392">
                  <c:v>0.75</c:v>
                </c:pt>
                <c:pt idx="393">
                  <c:v>0.75</c:v>
                </c:pt>
                <c:pt idx="394">
                  <c:v>0.75</c:v>
                </c:pt>
                <c:pt idx="395">
                  <c:v>0.75</c:v>
                </c:pt>
                <c:pt idx="396">
                  <c:v>0.75</c:v>
                </c:pt>
                <c:pt idx="397">
                  <c:v>0.75</c:v>
                </c:pt>
                <c:pt idx="398">
                  <c:v>0.75</c:v>
                </c:pt>
                <c:pt idx="399">
                  <c:v>0.75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</c:numCache>
            </c:numRef>
          </c:xVal>
          <c:yVal>
            <c:numRef>
              <c:f>'Scenario Visualization'!$C$4:$C$503</c:f>
              <c:numCache>
                <c:formatCode>0.0%</c:formatCode>
                <c:ptCount val="500"/>
                <c:pt idx="0">
                  <c:v>7.8125E-2</c:v>
                </c:pt>
                <c:pt idx="1">
                  <c:v>7.3298429319371722E-2</c:v>
                </c:pt>
                <c:pt idx="2">
                  <c:v>5.6701030927835051E-2</c:v>
                </c:pt>
                <c:pt idx="3">
                  <c:v>9.0909090909090912E-2</c:v>
                </c:pt>
                <c:pt idx="4">
                  <c:v>5.6410256410256411E-2</c:v>
                </c:pt>
                <c:pt idx="5">
                  <c:v>8.2872928176795577E-2</c:v>
                </c:pt>
                <c:pt idx="6">
                  <c:v>6.3953488372093026E-2</c:v>
                </c:pt>
                <c:pt idx="7">
                  <c:v>4.2328042328042326E-2</c:v>
                </c:pt>
                <c:pt idx="8">
                  <c:v>7.1428571428571425E-2</c:v>
                </c:pt>
                <c:pt idx="9">
                  <c:v>6.7708333333333329E-2</c:v>
                </c:pt>
                <c:pt idx="10">
                  <c:v>6.6666666666666666E-2</c:v>
                </c:pt>
                <c:pt idx="11">
                  <c:v>7.0000000000000007E-2</c:v>
                </c:pt>
                <c:pt idx="12">
                  <c:v>4.0201005025125629E-2</c:v>
                </c:pt>
                <c:pt idx="13">
                  <c:v>6.5573770491803282E-2</c:v>
                </c:pt>
                <c:pt idx="14">
                  <c:v>5.0505050505050504E-2</c:v>
                </c:pt>
                <c:pt idx="15">
                  <c:v>4.6511627906976744E-2</c:v>
                </c:pt>
                <c:pt idx="16">
                  <c:v>7.1038251366120214E-2</c:v>
                </c:pt>
                <c:pt idx="17">
                  <c:v>7.179487179487179E-2</c:v>
                </c:pt>
                <c:pt idx="18">
                  <c:v>8.8541666666666671E-2</c:v>
                </c:pt>
                <c:pt idx="19">
                  <c:v>0.1</c:v>
                </c:pt>
                <c:pt idx="20">
                  <c:v>6.8421052631578952E-2</c:v>
                </c:pt>
                <c:pt idx="21">
                  <c:v>6.1224489795918366E-2</c:v>
                </c:pt>
                <c:pt idx="22">
                  <c:v>8.1632653061224483E-2</c:v>
                </c:pt>
                <c:pt idx="23">
                  <c:v>7.5268817204301078E-2</c:v>
                </c:pt>
                <c:pt idx="24">
                  <c:v>5.4726368159203981E-2</c:v>
                </c:pt>
                <c:pt idx="25">
                  <c:v>4.6632124352331605E-2</c:v>
                </c:pt>
                <c:pt idx="26">
                  <c:v>9.6256684491978606E-2</c:v>
                </c:pt>
                <c:pt idx="27">
                  <c:v>5.4644808743169397E-2</c:v>
                </c:pt>
                <c:pt idx="28">
                  <c:v>4.5226130653266333E-2</c:v>
                </c:pt>
                <c:pt idx="29">
                  <c:v>8.2352941176470587E-2</c:v>
                </c:pt>
                <c:pt idx="30">
                  <c:v>6.1452513966480445E-2</c:v>
                </c:pt>
                <c:pt idx="31">
                  <c:v>8.8082901554404139E-2</c:v>
                </c:pt>
                <c:pt idx="32">
                  <c:v>6.5656565656565663E-2</c:v>
                </c:pt>
                <c:pt idx="33">
                  <c:v>4.4198895027624308E-2</c:v>
                </c:pt>
                <c:pt idx="34">
                  <c:v>6.1855670103092786E-2</c:v>
                </c:pt>
                <c:pt idx="35">
                  <c:v>4.5226130653266333E-2</c:v>
                </c:pt>
                <c:pt idx="36">
                  <c:v>6.5476190476190479E-2</c:v>
                </c:pt>
                <c:pt idx="37">
                  <c:v>8.4210526315789472E-2</c:v>
                </c:pt>
                <c:pt idx="38">
                  <c:v>5.4644808743169397E-2</c:v>
                </c:pt>
                <c:pt idx="39">
                  <c:v>0.1111111111111111</c:v>
                </c:pt>
                <c:pt idx="40">
                  <c:v>7.2916666666666671E-2</c:v>
                </c:pt>
                <c:pt idx="41">
                  <c:v>5.1020408163265307E-2</c:v>
                </c:pt>
                <c:pt idx="42">
                  <c:v>6.9148936170212769E-2</c:v>
                </c:pt>
                <c:pt idx="43">
                  <c:v>5.0505050505050504E-2</c:v>
                </c:pt>
                <c:pt idx="44">
                  <c:v>8.4269662921348312E-2</c:v>
                </c:pt>
                <c:pt idx="45">
                  <c:v>5.181347150259067E-2</c:v>
                </c:pt>
                <c:pt idx="46">
                  <c:v>6.030150753768844E-2</c:v>
                </c:pt>
                <c:pt idx="47">
                  <c:v>4.8648648648648651E-2</c:v>
                </c:pt>
                <c:pt idx="48">
                  <c:v>9.0909090909090912E-2</c:v>
                </c:pt>
                <c:pt idx="49">
                  <c:v>4.2857142857142858E-2</c:v>
                </c:pt>
                <c:pt idx="50">
                  <c:v>8.98876404494382E-2</c:v>
                </c:pt>
                <c:pt idx="51">
                  <c:v>7.1038251366120214E-2</c:v>
                </c:pt>
                <c:pt idx="52">
                  <c:v>3.7634408602150539E-2</c:v>
                </c:pt>
                <c:pt idx="53">
                  <c:v>7.6023391812865493E-2</c:v>
                </c:pt>
                <c:pt idx="54">
                  <c:v>5.9113300492610835E-2</c:v>
                </c:pt>
                <c:pt idx="55">
                  <c:v>5.4644808743169397E-2</c:v>
                </c:pt>
                <c:pt idx="56">
                  <c:v>0.10240963855421686</c:v>
                </c:pt>
                <c:pt idx="57">
                  <c:v>4.2253521126760563E-2</c:v>
                </c:pt>
                <c:pt idx="58">
                  <c:v>7.2625698324022353E-2</c:v>
                </c:pt>
                <c:pt idx="59">
                  <c:v>5.4054054054054057E-2</c:v>
                </c:pt>
                <c:pt idx="60">
                  <c:v>8.8372093023255813E-2</c:v>
                </c:pt>
                <c:pt idx="61">
                  <c:v>0.10215053763440861</c:v>
                </c:pt>
                <c:pt idx="62">
                  <c:v>8.5427135678391955E-2</c:v>
                </c:pt>
                <c:pt idx="63">
                  <c:v>7.4257425742574254E-2</c:v>
                </c:pt>
                <c:pt idx="64">
                  <c:v>7.6086956521739135E-2</c:v>
                </c:pt>
                <c:pt idx="65">
                  <c:v>7.179487179487179E-2</c:v>
                </c:pt>
                <c:pt idx="66">
                  <c:v>6.25E-2</c:v>
                </c:pt>
                <c:pt idx="67">
                  <c:v>3.8461538461538464E-2</c:v>
                </c:pt>
                <c:pt idx="68">
                  <c:v>8.3916083916083919E-2</c:v>
                </c:pt>
                <c:pt idx="69">
                  <c:v>5.6179775280898875E-2</c:v>
                </c:pt>
                <c:pt idx="70">
                  <c:v>5.1428571428571428E-2</c:v>
                </c:pt>
                <c:pt idx="71">
                  <c:v>5.0761421319796954E-2</c:v>
                </c:pt>
                <c:pt idx="72">
                  <c:v>5.4455445544554455E-2</c:v>
                </c:pt>
                <c:pt idx="73">
                  <c:v>4.9723756906077346E-2</c:v>
                </c:pt>
                <c:pt idx="74">
                  <c:v>4.4692737430167599E-2</c:v>
                </c:pt>
                <c:pt idx="75">
                  <c:v>5.9523809523809521E-2</c:v>
                </c:pt>
                <c:pt idx="76">
                  <c:v>5.8823529411764705E-2</c:v>
                </c:pt>
                <c:pt idx="77">
                  <c:v>6.4039408866995079E-2</c:v>
                </c:pt>
                <c:pt idx="78">
                  <c:v>7.8817733990147784E-2</c:v>
                </c:pt>
                <c:pt idx="79">
                  <c:v>6.8783068783068779E-2</c:v>
                </c:pt>
                <c:pt idx="80">
                  <c:v>7.3619631901840496E-2</c:v>
                </c:pt>
                <c:pt idx="81">
                  <c:v>7.9365079365079361E-2</c:v>
                </c:pt>
                <c:pt idx="82">
                  <c:v>8.5106382978723402E-2</c:v>
                </c:pt>
                <c:pt idx="83">
                  <c:v>5.7894736842105263E-2</c:v>
                </c:pt>
                <c:pt idx="84">
                  <c:v>7.3684210526315783E-2</c:v>
                </c:pt>
                <c:pt idx="85">
                  <c:v>8.0924855491329481E-2</c:v>
                </c:pt>
                <c:pt idx="86">
                  <c:v>5.7142857142857141E-2</c:v>
                </c:pt>
                <c:pt idx="87">
                  <c:v>8.6021505376344093E-2</c:v>
                </c:pt>
                <c:pt idx="88">
                  <c:v>6.1904761904761907E-2</c:v>
                </c:pt>
                <c:pt idx="89">
                  <c:v>6.1111111111111109E-2</c:v>
                </c:pt>
                <c:pt idx="90">
                  <c:v>6.8062827225130892E-2</c:v>
                </c:pt>
                <c:pt idx="91">
                  <c:v>5.6818181818181816E-2</c:v>
                </c:pt>
                <c:pt idx="92">
                  <c:v>6.2146892655367235E-2</c:v>
                </c:pt>
                <c:pt idx="93">
                  <c:v>3.3018867924528301E-2</c:v>
                </c:pt>
                <c:pt idx="94">
                  <c:v>6.5326633165829151E-2</c:v>
                </c:pt>
                <c:pt idx="95">
                  <c:v>4.5918367346938778E-2</c:v>
                </c:pt>
                <c:pt idx="96">
                  <c:v>7.1428571428571425E-2</c:v>
                </c:pt>
                <c:pt idx="97">
                  <c:v>9.1954022988505746E-2</c:v>
                </c:pt>
                <c:pt idx="98">
                  <c:v>5.9139784946236562E-2</c:v>
                </c:pt>
                <c:pt idx="99">
                  <c:v>8.8235294117647065E-2</c:v>
                </c:pt>
                <c:pt idx="100">
                  <c:v>4.1884816753926704E-2</c:v>
                </c:pt>
                <c:pt idx="101">
                  <c:v>5.7591623036649213E-2</c:v>
                </c:pt>
                <c:pt idx="102">
                  <c:v>4.5685279187817257E-2</c:v>
                </c:pt>
                <c:pt idx="103">
                  <c:v>6.0109289617486336E-2</c:v>
                </c:pt>
                <c:pt idx="104">
                  <c:v>4.0816326530612242E-2</c:v>
                </c:pt>
                <c:pt idx="105">
                  <c:v>6.0773480662983423E-2</c:v>
                </c:pt>
                <c:pt idx="106">
                  <c:v>4.0697674418604654E-2</c:v>
                </c:pt>
                <c:pt idx="107">
                  <c:v>3.1914893617021274E-2</c:v>
                </c:pt>
                <c:pt idx="108">
                  <c:v>5.5248618784530384E-2</c:v>
                </c:pt>
                <c:pt idx="109">
                  <c:v>5.7291666666666664E-2</c:v>
                </c:pt>
                <c:pt idx="110">
                  <c:v>6.1452513966480445E-2</c:v>
                </c:pt>
                <c:pt idx="111">
                  <c:v>3.4482758620689655E-2</c:v>
                </c:pt>
                <c:pt idx="112">
                  <c:v>3.015075376884422E-2</c:v>
                </c:pt>
                <c:pt idx="113">
                  <c:v>4.9450549450549448E-2</c:v>
                </c:pt>
                <c:pt idx="114">
                  <c:v>4.5454545454545456E-2</c:v>
                </c:pt>
                <c:pt idx="115">
                  <c:v>2.9069767441860465E-2</c:v>
                </c:pt>
                <c:pt idx="116">
                  <c:v>6.4864864864864868E-2</c:v>
                </c:pt>
                <c:pt idx="117">
                  <c:v>5.5837563451776651E-2</c:v>
                </c:pt>
                <c:pt idx="118">
                  <c:v>6.3157894736842107E-2</c:v>
                </c:pt>
                <c:pt idx="119">
                  <c:v>7.1428571428571425E-2</c:v>
                </c:pt>
                <c:pt idx="120">
                  <c:v>6.3157894736842107E-2</c:v>
                </c:pt>
                <c:pt idx="121">
                  <c:v>4.5454545454545456E-2</c:v>
                </c:pt>
                <c:pt idx="122">
                  <c:v>6.6326530612244902E-2</c:v>
                </c:pt>
                <c:pt idx="123">
                  <c:v>6.4516129032258063E-2</c:v>
                </c:pt>
                <c:pt idx="124">
                  <c:v>3.482587064676617E-2</c:v>
                </c:pt>
                <c:pt idx="125">
                  <c:v>3.553299492385787E-2</c:v>
                </c:pt>
                <c:pt idx="126">
                  <c:v>4.8128342245989303E-2</c:v>
                </c:pt>
                <c:pt idx="127">
                  <c:v>4.3715846994535519E-2</c:v>
                </c:pt>
                <c:pt idx="128">
                  <c:v>3.0456852791878174E-2</c:v>
                </c:pt>
                <c:pt idx="129">
                  <c:v>5.8823529411764705E-2</c:v>
                </c:pt>
                <c:pt idx="130">
                  <c:v>3.9325842696629212E-2</c:v>
                </c:pt>
                <c:pt idx="131">
                  <c:v>7.3684210526315783E-2</c:v>
                </c:pt>
                <c:pt idx="132">
                  <c:v>5.0761421319796954E-2</c:v>
                </c:pt>
                <c:pt idx="133">
                  <c:v>3.8461538461538464E-2</c:v>
                </c:pt>
                <c:pt idx="134">
                  <c:v>5.2083333333333336E-2</c:v>
                </c:pt>
                <c:pt idx="135">
                  <c:v>3.5000000000000003E-2</c:v>
                </c:pt>
                <c:pt idx="136">
                  <c:v>5.2631578947368418E-2</c:v>
                </c:pt>
                <c:pt idx="137">
                  <c:v>7.4468085106382975E-2</c:v>
                </c:pt>
                <c:pt idx="138">
                  <c:v>4.8913043478260872E-2</c:v>
                </c:pt>
                <c:pt idx="139">
                  <c:v>9.3567251461988299E-2</c:v>
                </c:pt>
                <c:pt idx="140">
                  <c:v>6.1855670103092786E-2</c:v>
                </c:pt>
                <c:pt idx="141">
                  <c:v>3.0612244897959183E-2</c:v>
                </c:pt>
                <c:pt idx="142">
                  <c:v>5.8510638297872342E-2</c:v>
                </c:pt>
                <c:pt idx="143">
                  <c:v>3.5175879396984924E-2</c:v>
                </c:pt>
                <c:pt idx="144">
                  <c:v>6.1797752808988762E-2</c:v>
                </c:pt>
                <c:pt idx="145">
                  <c:v>4.6632124352331605E-2</c:v>
                </c:pt>
                <c:pt idx="146">
                  <c:v>5.0251256281407038E-2</c:v>
                </c:pt>
                <c:pt idx="147">
                  <c:v>3.7634408602150539E-2</c:v>
                </c:pt>
                <c:pt idx="148">
                  <c:v>7.4866310160427801E-2</c:v>
                </c:pt>
                <c:pt idx="149">
                  <c:v>3.8277511961722487E-2</c:v>
                </c:pt>
                <c:pt idx="150">
                  <c:v>7.8212290502793297E-2</c:v>
                </c:pt>
                <c:pt idx="151">
                  <c:v>5.9782608695652176E-2</c:v>
                </c:pt>
                <c:pt idx="152">
                  <c:v>2.7027027027027029E-2</c:v>
                </c:pt>
                <c:pt idx="153">
                  <c:v>5.8139534883720929E-2</c:v>
                </c:pt>
                <c:pt idx="154">
                  <c:v>4.4117647058823532E-2</c:v>
                </c:pt>
                <c:pt idx="155">
                  <c:v>5.4054054054054057E-2</c:v>
                </c:pt>
                <c:pt idx="156">
                  <c:v>9.696969696969697E-2</c:v>
                </c:pt>
                <c:pt idx="157">
                  <c:v>4.2253521126760563E-2</c:v>
                </c:pt>
                <c:pt idx="158">
                  <c:v>5.5865921787709494E-2</c:v>
                </c:pt>
                <c:pt idx="159">
                  <c:v>3.2258064516129031E-2</c:v>
                </c:pt>
                <c:pt idx="160">
                  <c:v>6.9767441860465115E-2</c:v>
                </c:pt>
                <c:pt idx="161">
                  <c:v>6.9518716577540107E-2</c:v>
                </c:pt>
                <c:pt idx="162">
                  <c:v>6.4676616915422883E-2</c:v>
                </c:pt>
                <c:pt idx="163">
                  <c:v>4.9504950495049507E-2</c:v>
                </c:pt>
                <c:pt idx="164">
                  <c:v>6.0109289617486336E-2</c:v>
                </c:pt>
                <c:pt idx="165">
                  <c:v>4.6153846153846156E-2</c:v>
                </c:pt>
                <c:pt idx="166">
                  <c:v>4.3902439024390241E-2</c:v>
                </c:pt>
                <c:pt idx="167">
                  <c:v>3.3653846153846152E-2</c:v>
                </c:pt>
                <c:pt idx="168">
                  <c:v>6.25E-2</c:v>
                </c:pt>
                <c:pt idx="169">
                  <c:v>5.027932960893855E-2</c:v>
                </c:pt>
                <c:pt idx="170">
                  <c:v>3.4090909090909088E-2</c:v>
                </c:pt>
                <c:pt idx="171">
                  <c:v>3.015075376884422E-2</c:v>
                </c:pt>
                <c:pt idx="172">
                  <c:v>4.9261083743842367E-2</c:v>
                </c:pt>
                <c:pt idx="173">
                  <c:v>3.3333333333333333E-2</c:v>
                </c:pt>
                <c:pt idx="174">
                  <c:v>4.9723756906077346E-2</c:v>
                </c:pt>
                <c:pt idx="175">
                  <c:v>4.1916167664670656E-2</c:v>
                </c:pt>
                <c:pt idx="176">
                  <c:v>4.4334975369458129E-2</c:v>
                </c:pt>
                <c:pt idx="177">
                  <c:v>4.4554455445544552E-2</c:v>
                </c:pt>
                <c:pt idx="178">
                  <c:v>0.06</c:v>
                </c:pt>
                <c:pt idx="179">
                  <c:v>5.2910052910052907E-2</c:v>
                </c:pt>
                <c:pt idx="180">
                  <c:v>6.2111801242236024E-2</c:v>
                </c:pt>
                <c:pt idx="181">
                  <c:v>3.7433155080213901E-2</c:v>
                </c:pt>
                <c:pt idx="182">
                  <c:v>6.3829787234042548E-2</c:v>
                </c:pt>
                <c:pt idx="183">
                  <c:v>5.128205128205128E-2</c:v>
                </c:pt>
                <c:pt idx="184">
                  <c:v>5.2910052910052907E-2</c:v>
                </c:pt>
                <c:pt idx="185">
                  <c:v>5.7803468208092484E-2</c:v>
                </c:pt>
                <c:pt idx="186">
                  <c:v>4.5977011494252873E-2</c:v>
                </c:pt>
                <c:pt idx="187">
                  <c:v>7.0270270270270274E-2</c:v>
                </c:pt>
                <c:pt idx="188">
                  <c:v>3.7735849056603772E-2</c:v>
                </c:pt>
                <c:pt idx="189">
                  <c:v>4.4444444444444446E-2</c:v>
                </c:pt>
                <c:pt idx="190">
                  <c:v>5.6994818652849742E-2</c:v>
                </c:pt>
                <c:pt idx="191">
                  <c:v>5.113636363636364E-2</c:v>
                </c:pt>
                <c:pt idx="192">
                  <c:v>3.3519553072625698E-2</c:v>
                </c:pt>
                <c:pt idx="193">
                  <c:v>2.3255813953488372E-2</c:v>
                </c:pt>
                <c:pt idx="194">
                  <c:v>5.0251256281407038E-2</c:v>
                </c:pt>
                <c:pt idx="195">
                  <c:v>4.6875E-2</c:v>
                </c:pt>
                <c:pt idx="196">
                  <c:v>7.1856287425149698E-2</c:v>
                </c:pt>
                <c:pt idx="197">
                  <c:v>6.8181818181818177E-2</c:v>
                </c:pt>
                <c:pt idx="198">
                  <c:v>4.2780748663101602E-2</c:v>
                </c:pt>
                <c:pt idx="199">
                  <c:v>5.8823529411764705E-2</c:v>
                </c:pt>
                <c:pt idx="200">
                  <c:v>3.125E-2</c:v>
                </c:pt>
                <c:pt idx="201">
                  <c:v>4.1666666666666664E-2</c:v>
                </c:pt>
                <c:pt idx="202">
                  <c:v>3.553299492385787E-2</c:v>
                </c:pt>
                <c:pt idx="203">
                  <c:v>3.2608695652173912E-2</c:v>
                </c:pt>
                <c:pt idx="204">
                  <c:v>2.0408163265306121E-2</c:v>
                </c:pt>
                <c:pt idx="205">
                  <c:v>4.4198895027624308E-2</c:v>
                </c:pt>
                <c:pt idx="206">
                  <c:v>2.3121387283236993E-2</c:v>
                </c:pt>
                <c:pt idx="207">
                  <c:v>2.1164021164021163E-2</c:v>
                </c:pt>
                <c:pt idx="208">
                  <c:v>3.3333333333333333E-2</c:v>
                </c:pt>
                <c:pt idx="209">
                  <c:v>1.5463917525773196E-2</c:v>
                </c:pt>
                <c:pt idx="210">
                  <c:v>2.7777777777777776E-2</c:v>
                </c:pt>
                <c:pt idx="211">
                  <c:v>1.9801980198019802E-2</c:v>
                </c:pt>
                <c:pt idx="212">
                  <c:v>1.5228426395939087E-2</c:v>
                </c:pt>
                <c:pt idx="213">
                  <c:v>3.2786885245901641E-2</c:v>
                </c:pt>
                <c:pt idx="214">
                  <c:v>3.0769230769230771E-2</c:v>
                </c:pt>
                <c:pt idx="215">
                  <c:v>1.7341040462427744E-2</c:v>
                </c:pt>
                <c:pt idx="216">
                  <c:v>4.3478260869565216E-2</c:v>
                </c:pt>
                <c:pt idx="217">
                  <c:v>4.060913705583756E-2</c:v>
                </c:pt>
                <c:pt idx="218">
                  <c:v>3.7234042553191488E-2</c:v>
                </c:pt>
                <c:pt idx="219">
                  <c:v>4.790419161676647E-2</c:v>
                </c:pt>
                <c:pt idx="220">
                  <c:v>3.7037037037037035E-2</c:v>
                </c:pt>
                <c:pt idx="221">
                  <c:v>2.5125628140703519E-2</c:v>
                </c:pt>
                <c:pt idx="222">
                  <c:v>3.553299492385787E-2</c:v>
                </c:pt>
                <c:pt idx="223">
                  <c:v>4.3478260869565216E-2</c:v>
                </c:pt>
                <c:pt idx="224">
                  <c:v>2.4875621890547265E-2</c:v>
                </c:pt>
                <c:pt idx="225">
                  <c:v>2.5510204081632654E-2</c:v>
                </c:pt>
                <c:pt idx="226">
                  <c:v>3.1914893617021274E-2</c:v>
                </c:pt>
                <c:pt idx="227">
                  <c:v>2.7322404371584699E-2</c:v>
                </c:pt>
                <c:pt idx="228">
                  <c:v>2.5380710659898477E-2</c:v>
                </c:pt>
                <c:pt idx="229">
                  <c:v>4.6783625730994149E-2</c:v>
                </c:pt>
                <c:pt idx="230">
                  <c:v>2.247191011235955E-2</c:v>
                </c:pt>
                <c:pt idx="231">
                  <c:v>4.6875E-2</c:v>
                </c:pt>
                <c:pt idx="232">
                  <c:v>4.060913705583756E-2</c:v>
                </c:pt>
                <c:pt idx="233">
                  <c:v>3.3333333333333333E-2</c:v>
                </c:pt>
                <c:pt idx="234">
                  <c:v>1.5544041450777202E-2</c:v>
                </c:pt>
                <c:pt idx="235">
                  <c:v>0.03</c:v>
                </c:pt>
                <c:pt idx="236">
                  <c:v>3.5087719298245612E-2</c:v>
                </c:pt>
                <c:pt idx="237">
                  <c:v>4.8387096774193547E-2</c:v>
                </c:pt>
                <c:pt idx="238">
                  <c:v>3.7634408602150539E-2</c:v>
                </c:pt>
                <c:pt idx="239">
                  <c:v>5.8823529411764705E-2</c:v>
                </c:pt>
                <c:pt idx="240">
                  <c:v>2.564102564102564E-2</c:v>
                </c:pt>
                <c:pt idx="241">
                  <c:v>2.5773195876288658E-2</c:v>
                </c:pt>
                <c:pt idx="242">
                  <c:v>5.3475935828877004E-2</c:v>
                </c:pt>
                <c:pt idx="243">
                  <c:v>2.0100502512562814E-2</c:v>
                </c:pt>
                <c:pt idx="244">
                  <c:v>5.0847457627118647E-2</c:v>
                </c:pt>
                <c:pt idx="245">
                  <c:v>3.125E-2</c:v>
                </c:pt>
                <c:pt idx="246">
                  <c:v>3.015075376884422E-2</c:v>
                </c:pt>
                <c:pt idx="247">
                  <c:v>3.2258064516129031E-2</c:v>
                </c:pt>
                <c:pt idx="248">
                  <c:v>5.8823529411764705E-2</c:v>
                </c:pt>
                <c:pt idx="249">
                  <c:v>4.7619047619047623E-3</c:v>
                </c:pt>
                <c:pt idx="250">
                  <c:v>6.1111111111111109E-2</c:v>
                </c:pt>
                <c:pt idx="251">
                  <c:v>3.2967032967032968E-2</c:v>
                </c:pt>
                <c:pt idx="252">
                  <c:v>2.7027027027027029E-2</c:v>
                </c:pt>
                <c:pt idx="253">
                  <c:v>3.4482758620689655E-2</c:v>
                </c:pt>
                <c:pt idx="254">
                  <c:v>4.4334975369458129E-2</c:v>
                </c:pt>
                <c:pt idx="255">
                  <c:v>3.8043478260869568E-2</c:v>
                </c:pt>
                <c:pt idx="256">
                  <c:v>5.4878048780487805E-2</c:v>
                </c:pt>
                <c:pt idx="257">
                  <c:v>1.8867924528301886E-2</c:v>
                </c:pt>
                <c:pt idx="258">
                  <c:v>3.888888888888889E-2</c:v>
                </c:pt>
                <c:pt idx="259">
                  <c:v>2.6737967914438502E-2</c:v>
                </c:pt>
                <c:pt idx="260">
                  <c:v>5.5813953488372092E-2</c:v>
                </c:pt>
                <c:pt idx="261">
                  <c:v>3.7433155080213901E-2</c:v>
                </c:pt>
                <c:pt idx="262">
                  <c:v>5.0505050505050504E-2</c:v>
                </c:pt>
                <c:pt idx="263">
                  <c:v>2.9411764705882353E-2</c:v>
                </c:pt>
                <c:pt idx="264">
                  <c:v>2.7472527472527472E-2</c:v>
                </c:pt>
                <c:pt idx="265">
                  <c:v>3.553299492385787E-2</c:v>
                </c:pt>
                <c:pt idx="266">
                  <c:v>2.9126213592233011E-2</c:v>
                </c:pt>
                <c:pt idx="267">
                  <c:v>1.4563106796116505E-2</c:v>
                </c:pt>
                <c:pt idx="268">
                  <c:v>3.4482758620689655E-2</c:v>
                </c:pt>
                <c:pt idx="269">
                  <c:v>3.3519553072625698E-2</c:v>
                </c:pt>
                <c:pt idx="270">
                  <c:v>3.4285714285714287E-2</c:v>
                </c:pt>
                <c:pt idx="271">
                  <c:v>1.9607843137254902E-2</c:v>
                </c:pt>
                <c:pt idx="272">
                  <c:v>3.482587064676617E-2</c:v>
                </c:pt>
                <c:pt idx="273">
                  <c:v>1.6666666666666666E-2</c:v>
                </c:pt>
                <c:pt idx="274">
                  <c:v>2.2099447513812154E-2</c:v>
                </c:pt>
                <c:pt idx="275">
                  <c:v>2.3809523809523808E-2</c:v>
                </c:pt>
                <c:pt idx="276">
                  <c:v>2.0100502512562814E-2</c:v>
                </c:pt>
                <c:pt idx="277">
                  <c:v>3.9603960396039604E-2</c:v>
                </c:pt>
                <c:pt idx="278">
                  <c:v>4.9504950495049507E-2</c:v>
                </c:pt>
                <c:pt idx="279">
                  <c:v>3.1578947368421054E-2</c:v>
                </c:pt>
                <c:pt idx="280">
                  <c:v>4.9689440993788817E-2</c:v>
                </c:pt>
                <c:pt idx="281">
                  <c:v>2.6315789473684209E-2</c:v>
                </c:pt>
                <c:pt idx="282">
                  <c:v>3.2432432432432434E-2</c:v>
                </c:pt>
                <c:pt idx="283">
                  <c:v>4.0816326530612242E-2</c:v>
                </c:pt>
                <c:pt idx="284">
                  <c:v>4.8128342245989303E-2</c:v>
                </c:pt>
                <c:pt idx="285">
                  <c:v>3.4883720930232558E-2</c:v>
                </c:pt>
                <c:pt idx="286">
                  <c:v>0.04</c:v>
                </c:pt>
                <c:pt idx="287">
                  <c:v>5.3191489361702128E-2</c:v>
                </c:pt>
                <c:pt idx="288">
                  <c:v>1.8957345971563982E-2</c:v>
                </c:pt>
                <c:pt idx="289">
                  <c:v>3.3149171270718231E-2</c:v>
                </c:pt>
                <c:pt idx="290">
                  <c:v>3.6269430051813469E-2</c:v>
                </c:pt>
                <c:pt idx="291">
                  <c:v>4.046242774566474E-2</c:v>
                </c:pt>
                <c:pt idx="292">
                  <c:v>1.6759776536312849E-2</c:v>
                </c:pt>
                <c:pt idx="293">
                  <c:v>1.3824884792626729E-2</c:v>
                </c:pt>
                <c:pt idx="294">
                  <c:v>3.9408866995073892E-2</c:v>
                </c:pt>
                <c:pt idx="295">
                  <c:v>4.6875E-2</c:v>
                </c:pt>
                <c:pt idx="296">
                  <c:v>5.4216867469879519E-2</c:v>
                </c:pt>
                <c:pt idx="297">
                  <c:v>5.113636363636364E-2</c:v>
                </c:pt>
                <c:pt idx="298">
                  <c:v>4.2553191489361701E-2</c:v>
                </c:pt>
                <c:pt idx="299">
                  <c:v>4.4554455445544552E-2</c:v>
                </c:pt>
                <c:pt idx="300">
                  <c:v>2.0833333333333332E-2</c:v>
                </c:pt>
                <c:pt idx="301">
                  <c:v>2.072538860103627E-2</c:v>
                </c:pt>
                <c:pt idx="302">
                  <c:v>1.0101010101010102E-2</c:v>
                </c:pt>
                <c:pt idx="303">
                  <c:v>1.6216216216216217E-2</c:v>
                </c:pt>
                <c:pt idx="304">
                  <c:v>0</c:v>
                </c:pt>
                <c:pt idx="305">
                  <c:v>1.6574585635359115E-2</c:v>
                </c:pt>
                <c:pt idx="306">
                  <c:v>1.1494252873563218E-2</c:v>
                </c:pt>
                <c:pt idx="307">
                  <c:v>2.1052631578947368E-2</c:v>
                </c:pt>
                <c:pt idx="308">
                  <c:v>1.1049723756906077E-2</c:v>
                </c:pt>
                <c:pt idx="309">
                  <c:v>1.020408163265306E-2</c:v>
                </c:pt>
                <c:pt idx="310">
                  <c:v>1.098901098901099E-2</c:v>
                </c:pt>
                <c:pt idx="311">
                  <c:v>9.9502487562189053E-3</c:v>
                </c:pt>
                <c:pt idx="312">
                  <c:v>1.020408163265306E-2</c:v>
                </c:pt>
                <c:pt idx="313">
                  <c:v>1.6393442622950821E-2</c:v>
                </c:pt>
                <c:pt idx="314">
                  <c:v>1.5384615384615385E-2</c:v>
                </c:pt>
                <c:pt idx="315">
                  <c:v>1.7341040462427744E-2</c:v>
                </c:pt>
                <c:pt idx="316">
                  <c:v>2.185792349726776E-2</c:v>
                </c:pt>
                <c:pt idx="317">
                  <c:v>2.0618556701030927E-2</c:v>
                </c:pt>
                <c:pt idx="318">
                  <c:v>1.6042780748663103E-2</c:v>
                </c:pt>
                <c:pt idx="319">
                  <c:v>1.8292682926829267E-2</c:v>
                </c:pt>
                <c:pt idx="320">
                  <c:v>1.0526315789473684E-2</c:v>
                </c:pt>
                <c:pt idx="321">
                  <c:v>0</c:v>
                </c:pt>
                <c:pt idx="322">
                  <c:v>1.5228426395939087E-2</c:v>
                </c:pt>
                <c:pt idx="323">
                  <c:v>2.1739130434782608E-2</c:v>
                </c:pt>
                <c:pt idx="324">
                  <c:v>1.9607843137254902E-2</c:v>
                </c:pt>
                <c:pt idx="325">
                  <c:v>1.5384615384615385E-2</c:v>
                </c:pt>
                <c:pt idx="326">
                  <c:v>5.4054054054054057E-3</c:v>
                </c:pt>
                <c:pt idx="327">
                  <c:v>1.6393442622950821E-2</c:v>
                </c:pt>
                <c:pt idx="328">
                  <c:v>2.030456852791878E-2</c:v>
                </c:pt>
                <c:pt idx="329">
                  <c:v>1.7441860465116279E-2</c:v>
                </c:pt>
                <c:pt idx="330">
                  <c:v>1.6949152542372881E-2</c:v>
                </c:pt>
                <c:pt idx="331">
                  <c:v>2.6041666666666668E-2</c:v>
                </c:pt>
                <c:pt idx="332">
                  <c:v>2.030456852791878E-2</c:v>
                </c:pt>
                <c:pt idx="333">
                  <c:v>1.11731843575419E-2</c:v>
                </c:pt>
                <c:pt idx="334">
                  <c:v>5.1813471502590676E-3</c:v>
                </c:pt>
                <c:pt idx="335">
                  <c:v>2.5125628140703519E-2</c:v>
                </c:pt>
                <c:pt idx="336">
                  <c:v>1.1627906976744186E-2</c:v>
                </c:pt>
                <c:pt idx="337">
                  <c:v>2.6737967914438502E-2</c:v>
                </c:pt>
                <c:pt idx="338">
                  <c:v>1.0582010582010581E-2</c:v>
                </c:pt>
                <c:pt idx="339">
                  <c:v>2.9411764705882353E-2</c:v>
                </c:pt>
                <c:pt idx="340">
                  <c:v>5.0505050505050509E-3</c:v>
                </c:pt>
                <c:pt idx="341">
                  <c:v>5.1813471502590676E-3</c:v>
                </c:pt>
                <c:pt idx="342">
                  <c:v>2.1505376344086023E-2</c:v>
                </c:pt>
                <c:pt idx="343">
                  <c:v>1.507537688442211E-2</c:v>
                </c:pt>
                <c:pt idx="344">
                  <c:v>2.2857142857142857E-2</c:v>
                </c:pt>
                <c:pt idx="345">
                  <c:v>1.5873015873015872E-2</c:v>
                </c:pt>
                <c:pt idx="346">
                  <c:v>2.5000000000000001E-2</c:v>
                </c:pt>
                <c:pt idx="347">
                  <c:v>2.1390374331550801E-2</c:v>
                </c:pt>
                <c:pt idx="348">
                  <c:v>3.2258064516129031E-2</c:v>
                </c:pt>
                <c:pt idx="349">
                  <c:v>0</c:v>
                </c:pt>
                <c:pt idx="350">
                  <c:v>2.247191011235955E-2</c:v>
                </c:pt>
                <c:pt idx="351">
                  <c:v>2.1505376344086023E-2</c:v>
                </c:pt>
                <c:pt idx="352">
                  <c:v>1.0752688172043012E-2</c:v>
                </c:pt>
                <c:pt idx="353">
                  <c:v>2.2857142857142857E-2</c:v>
                </c:pt>
                <c:pt idx="354">
                  <c:v>1.4778325123152709E-2</c:v>
                </c:pt>
                <c:pt idx="355">
                  <c:v>5.3763440860215058E-3</c:v>
                </c:pt>
                <c:pt idx="356">
                  <c:v>1.2269938650306749E-2</c:v>
                </c:pt>
                <c:pt idx="357">
                  <c:v>1.8867924528301886E-2</c:v>
                </c:pt>
                <c:pt idx="358">
                  <c:v>2.7777777777777776E-2</c:v>
                </c:pt>
                <c:pt idx="359">
                  <c:v>1.6304347826086956E-2</c:v>
                </c:pt>
                <c:pt idx="360">
                  <c:v>2.8301886792452831E-2</c:v>
                </c:pt>
                <c:pt idx="361">
                  <c:v>1.0638297872340425E-2</c:v>
                </c:pt>
                <c:pt idx="362">
                  <c:v>2.5252525252525252E-2</c:v>
                </c:pt>
                <c:pt idx="363">
                  <c:v>0</c:v>
                </c:pt>
                <c:pt idx="364">
                  <c:v>5.4644808743169399E-3</c:v>
                </c:pt>
                <c:pt idx="365">
                  <c:v>2.5380710659898477E-2</c:v>
                </c:pt>
                <c:pt idx="366">
                  <c:v>1.4354066985645933E-2</c:v>
                </c:pt>
                <c:pt idx="367">
                  <c:v>0</c:v>
                </c:pt>
                <c:pt idx="368">
                  <c:v>2.0547945205479451E-2</c:v>
                </c:pt>
                <c:pt idx="369">
                  <c:v>1.1235955056179775E-2</c:v>
                </c:pt>
                <c:pt idx="370">
                  <c:v>2.8571428571428571E-2</c:v>
                </c:pt>
                <c:pt idx="371">
                  <c:v>4.8543689320388345E-3</c:v>
                </c:pt>
                <c:pt idx="372">
                  <c:v>1.0050251256281407E-2</c:v>
                </c:pt>
                <c:pt idx="373">
                  <c:v>5.5555555555555558E-3</c:v>
                </c:pt>
                <c:pt idx="374">
                  <c:v>1.1049723756906077E-2</c:v>
                </c:pt>
                <c:pt idx="375">
                  <c:v>1.2121212121212121E-2</c:v>
                </c:pt>
                <c:pt idx="376">
                  <c:v>0</c:v>
                </c:pt>
                <c:pt idx="377">
                  <c:v>2.4752475247524754E-2</c:v>
                </c:pt>
                <c:pt idx="378">
                  <c:v>2.9702970297029702E-2</c:v>
                </c:pt>
                <c:pt idx="379">
                  <c:v>2.1052631578947368E-2</c:v>
                </c:pt>
                <c:pt idx="380">
                  <c:v>2.4844720496894408E-2</c:v>
                </c:pt>
                <c:pt idx="381">
                  <c:v>2.6455026455026454E-2</c:v>
                </c:pt>
                <c:pt idx="382">
                  <c:v>1.6216216216216217E-2</c:v>
                </c:pt>
                <c:pt idx="383">
                  <c:v>2.0408163265306121E-2</c:v>
                </c:pt>
                <c:pt idx="384">
                  <c:v>4.2553191489361701E-2</c:v>
                </c:pt>
                <c:pt idx="385">
                  <c:v>2.3391812865497075E-2</c:v>
                </c:pt>
                <c:pt idx="386">
                  <c:v>1.7142857142857144E-2</c:v>
                </c:pt>
                <c:pt idx="387">
                  <c:v>2.6881720430107527E-2</c:v>
                </c:pt>
                <c:pt idx="388">
                  <c:v>4.7393364928909956E-3</c:v>
                </c:pt>
                <c:pt idx="389">
                  <c:v>2.1739130434782608E-2</c:v>
                </c:pt>
                <c:pt idx="390">
                  <c:v>2.0618556701030927E-2</c:v>
                </c:pt>
                <c:pt idx="391">
                  <c:v>2.2988505747126436E-2</c:v>
                </c:pt>
                <c:pt idx="392">
                  <c:v>5.5555555555555558E-3</c:v>
                </c:pt>
                <c:pt idx="393">
                  <c:v>9.2165898617511521E-3</c:v>
                </c:pt>
                <c:pt idx="394">
                  <c:v>2.4752475247524754E-2</c:v>
                </c:pt>
                <c:pt idx="395">
                  <c:v>3.1578947368421054E-2</c:v>
                </c:pt>
                <c:pt idx="396">
                  <c:v>2.9940119760479042E-2</c:v>
                </c:pt>
                <c:pt idx="397">
                  <c:v>3.4682080924855488E-2</c:v>
                </c:pt>
                <c:pt idx="398">
                  <c:v>2.6178010471204188E-2</c:v>
                </c:pt>
                <c:pt idx="399">
                  <c:v>2.4875621890547265E-2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4.8780487804878049E-3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5.3191489361702126E-3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5.4945054945054949E-3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1.0471204188481676E-2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C-4877-96BC-48E483B3732C}"/>
            </c:ext>
          </c:extLst>
        </c:ser>
        <c:ser>
          <c:idx val="1"/>
          <c:order val="1"/>
          <c:tx>
            <c:strRef>
              <c:f>'Scenario Visualization'!$E$2:$F$2</c:f>
              <c:strCache>
                <c:ptCount val="1"/>
                <c:pt idx="0">
                  <c:v>AEP Risk (Actual)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'Scenario Visualization'!$E$4:$E$503</c:f>
              <c:numCache>
                <c:formatCode>0%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0.25</c:v>
                </c:pt>
                <c:pt idx="101">
                  <c:v>0.25</c:v>
                </c:pt>
                <c:pt idx="102">
                  <c:v>0.25</c:v>
                </c:pt>
                <c:pt idx="103">
                  <c:v>0.25</c:v>
                </c:pt>
                <c:pt idx="104">
                  <c:v>0.25</c:v>
                </c:pt>
                <c:pt idx="105">
                  <c:v>0.25</c:v>
                </c:pt>
                <c:pt idx="106">
                  <c:v>0.25</c:v>
                </c:pt>
                <c:pt idx="107">
                  <c:v>0.25</c:v>
                </c:pt>
                <c:pt idx="108">
                  <c:v>0.25</c:v>
                </c:pt>
                <c:pt idx="109">
                  <c:v>0.25</c:v>
                </c:pt>
                <c:pt idx="110">
                  <c:v>0.25</c:v>
                </c:pt>
                <c:pt idx="111">
                  <c:v>0.25</c:v>
                </c:pt>
                <c:pt idx="112">
                  <c:v>0.25</c:v>
                </c:pt>
                <c:pt idx="113">
                  <c:v>0.25</c:v>
                </c:pt>
                <c:pt idx="114">
                  <c:v>0.25</c:v>
                </c:pt>
                <c:pt idx="115">
                  <c:v>0.25</c:v>
                </c:pt>
                <c:pt idx="116">
                  <c:v>0.25</c:v>
                </c:pt>
                <c:pt idx="117">
                  <c:v>0.25</c:v>
                </c:pt>
                <c:pt idx="118">
                  <c:v>0.25</c:v>
                </c:pt>
                <c:pt idx="119">
                  <c:v>0.25</c:v>
                </c:pt>
                <c:pt idx="120">
                  <c:v>0.25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0.25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0.25</c:v>
                </c:pt>
                <c:pt idx="131">
                  <c:v>0.25</c:v>
                </c:pt>
                <c:pt idx="132">
                  <c:v>0.25</c:v>
                </c:pt>
                <c:pt idx="133">
                  <c:v>0.25</c:v>
                </c:pt>
                <c:pt idx="134">
                  <c:v>0.25</c:v>
                </c:pt>
                <c:pt idx="135">
                  <c:v>0.25</c:v>
                </c:pt>
                <c:pt idx="136">
                  <c:v>0.25</c:v>
                </c:pt>
                <c:pt idx="137">
                  <c:v>0.25</c:v>
                </c:pt>
                <c:pt idx="138">
                  <c:v>0.25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  <c:pt idx="158">
                  <c:v>0.25</c:v>
                </c:pt>
                <c:pt idx="159">
                  <c:v>0.25</c:v>
                </c:pt>
                <c:pt idx="160">
                  <c:v>0.25</c:v>
                </c:pt>
                <c:pt idx="161">
                  <c:v>0.25</c:v>
                </c:pt>
                <c:pt idx="162">
                  <c:v>0.25</c:v>
                </c:pt>
                <c:pt idx="163">
                  <c:v>0.25</c:v>
                </c:pt>
                <c:pt idx="164">
                  <c:v>0.25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0.25</c:v>
                </c:pt>
                <c:pt idx="172">
                  <c:v>0.25</c:v>
                </c:pt>
                <c:pt idx="173">
                  <c:v>0.25</c:v>
                </c:pt>
                <c:pt idx="174">
                  <c:v>0.25</c:v>
                </c:pt>
                <c:pt idx="175">
                  <c:v>0.25</c:v>
                </c:pt>
                <c:pt idx="176">
                  <c:v>0.25</c:v>
                </c:pt>
                <c:pt idx="177">
                  <c:v>0.25</c:v>
                </c:pt>
                <c:pt idx="178">
                  <c:v>0.25</c:v>
                </c:pt>
                <c:pt idx="179">
                  <c:v>0.25</c:v>
                </c:pt>
                <c:pt idx="180">
                  <c:v>0.25</c:v>
                </c:pt>
                <c:pt idx="181">
                  <c:v>0.25</c:v>
                </c:pt>
                <c:pt idx="182">
                  <c:v>0.25</c:v>
                </c:pt>
                <c:pt idx="183">
                  <c:v>0.25</c:v>
                </c:pt>
                <c:pt idx="184">
                  <c:v>0.25</c:v>
                </c:pt>
                <c:pt idx="185">
                  <c:v>0.25</c:v>
                </c:pt>
                <c:pt idx="186">
                  <c:v>0.25</c:v>
                </c:pt>
                <c:pt idx="187">
                  <c:v>0.25</c:v>
                </c:pt>
                <c:pt idx="188">
                  <c:v>0.25</c:v>
                </c:pt>
                <c:pt idx="189">
                  <c:v>0.25</c:v>
                </c:pt>
                <c:pt idx="190">
                  <c:v>0.25</c:v>
                </c:pt>
                <c:pt idx="191">
                  <c:v>0.25</c:v>
                </c:pt>
                <c:pt idx="192">
                  <c:v>0.25</c:v>
                </c:pt>
                <c:pt idx="193">
                  <c:v>0.25</c:v>
                </c:pt>
                <c:pt idx="194">
                  <c:v>0.25</c:v>
                </c:pt>
                <c:pt idx="195">
                  <c:v>0.25</c:v>
                </c:pt>
                <c:pt idx="196">
                  <c:v>0.25</c:v>
                </c:pt>
                <c:pt idx="197">
                  <c:v>0.25</c:v>
                </c:pt>
                <c:pt idx="198">
                  <c:v>0.25</c:v>
                </c:pt>
                <c:pt idx="199">
                  <c:v>0.25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0.75</c:v>
                </c:pt>
                <c:pt idx="301">
                  <c:v>0.75</c:v>
                </c:pt>
                <c:pt idx="302">
                  <c:v>0.75</c:v>
                </c:pt>
                <c:pt idx="303">
                  <c:v>0.75</c:v>
                </c:pt>
                <c:pt idx="304">
                  <c:v>0.75</c:v>
                </c:pt>
                <c:pt idx="305">
                  <c:v>0.75</c:v>
                </c:pt>
                <c:pt idx="306">
                  <c:v>0.75</c:v>
                </c:pt>
                <c:pt idx="307">
                  <c:v>0.75</c:v>
                </c:pt>
                <c:pt idx="308">
                  <c:v>0.75</c:v>
                </c:pt>
                <c:pt idx="309">
                  <c:v>0.75</c:v>
                </c:pt>
                <c:pt idx="310">
                  <c:v>0.75</c:v>
                </c:pt>
                <c:pt idx="311">
                  <c:v>0.75</c:v>
                </c:pt>
                <c:pt idx="312">
                  <c:v>0.75</c:v>
                </c:pt>
                <c:pt idx="313">
                  <c:v>0.75</c:v>
                </c:pt>
                <c:pt idx="314">
                  <c:v>0.75</c:v>
                </c:pt>
                <c:pt idx="315">
                  <c:v>0.75</c:v>
                </c:pt>
                <c:pt idx="316">
                  <c:v>0.75</c:v>
                </c:pt>
                <c:pt idx="317">
                  <c:v>0.75</c:v>
                </c:pt>
                <c:pt idx="318">
                  <c:v>0.75</c:v>
                </c:pt>
                <c:pt idx="319">
                  <c:v>0.75</c:v>
                </c:pt>
                <c:pt idx="320">
                  <c:v>0.75</c:v>
                </c:pt>
                <c:pt idx="321">
                  <c:v>0.75</c:v>
                </c:pt>
                <c:pt idx="322">
                  <c:v>0.75</c:v>
                </c:pt>
                <c:pt idx="323">
                  <c:v>0.75</c:v>
                </c:pt>
                <c:pt idx="324">
                  <c:v>0.75</c:v>
                </c:pt>
                <c:pt idx="325">
                  <c:v>0.75</c:v>
                </c:pt>
                <c:pt idx="326">
                  <c:v>0.75</c:v>
                </c:pt>
                <c:pt idx="327">
                  <c:v>0.75</c:v>
                </c:pt>
                <c:pt idx="328">
                  <c:v>0.75</c:v>
                </c:pt>
                <c:pt idx="329">
                  <c:v>0.75</c:v>
                </c:pt>
                <c:pt idx="330">
                  <c:v>0.75</c:v>
                </c:pt>
                <c:pt idx="331">
                  <c:v>0.75</c:v>
                </c:pt>
                <c:pt idx="332">
                  <c:v>0.75</c:v>
                </c:pt>
                <c:pt idx="333">
                  <c:v>0.75</c:v>
                </c:pt>
                <c:pt idx="334">
                  <c:v>0.75</c:v>
                </c:pt>
                <c:pt idx="335">
                  <c:v>0.75</c:v>
                </c:pt>
                <c:pt idx="336">
                  <c:v>0.75</c:v>
                </c:pt>
                <c:pt idx="337">
                  <c:v>0.75</c:v>
                </c:pt>
                <c:pt idx="338">
                  <c:v>0.75</c:v>
                </c:pt>
                <c:pt idx="339">
                  <c:v>0.75</c:v>
                </c:pt>
                <c:pt idx="340">
                  <c:v>0.75</c:v>
                </c:pt>
                <c:pt idx="341">
                  <c:v>0.75</c:v>
                </c:pt>
                <c:pt idx="342">
                  <c:v>0.75</c:v>
                </c:pt>
                <c:pt idx="343">
                  <c:v>0.75</c:v>
                </c:pt>
                <c:pt idx="344">
                  <c:v>0.75</c:v>
                </c:pt>
                <c:pt idx="345">
                  <c:v>0.75</c:v>
                </c:pt>
                <c:pt idx="346">
                  <c:v>0.75</c:v>
                </c:pt>
                <c:pt idx="347">
                  <c:v>0.75</c:v>
                </c:pt>
                <c:pt idx="348">
                  <c:v>0.75</c:v>
                </c:pt>
                <c:pt idx="349">
                  <c:v>0.75</c:v>
                </c:pt>
                <c:pt idx="350">
                  <c:v>0.75</c:v>
                </c:pt>
                <c:pt idx="351">
                  <c:v>0.75</c:v>
                </c:pt>
                <c:pt idx="352">
                  <c:v>0.75</c:v>
                </c:pt>
                <c:pt idx="353">
                  <c:v>0.75</c:v>
                </c:pt>
                <c:pt idx="354">
                  <c:v>0.75</c:v>
                </c:pt>
                <c:pt idx="355">
                  <c:v>0.75</c:v>
                </c:pt>
                <c:pt idx="356">
                  <c:v>0.75</c:v>
                </c:pt>
                <c:pt idx="357">
                  <c:v>0.75</c:v>
                </c:pt>
                <c:pt idx="358">
                  <c:v>0.75</c:v>
                </c:pt>
                <c:pt idx="359">
                  <c:v>0.75</c:v>
                </c:pt>
                <c:pt idx="360">
                  <c:v>0.75</c:v>
                </c:pt>
                <c:pt idx="361">
                  <c:v>0.75</c:v>
                </c:pt>
                <c:pt idx="362">
                  <c:v>0.75</c:v>
                </c:pt>
                <c:pt idx="363">
                  <c:v>0.75</c:v>
                </c:pt>
                <c:pt idx="364">
                  <c:v>0.75</c:v>
                </c:pt>
                <c:pt idx="365">
                  <c:v>0.75</c:v>
                </c:pt>
                <c:pt idx="366">
                  <c:v>0.75</c:v>
                </c:pt>
                <c:pt idx="367">
                  <c:v>0.75</c:v>
                </c:pt>
                <c:pt idx="368">
                  <c:v>0.75</c:v>
                </c:pt>
                <c:pt idx="369">
                  <c:v>0.75</c:v>
                </c:pt>
                <c:pt idx="370">
                  <c:v>0.75</c:v>
                </c:pt>
                <c:pt idx="371">
                  <c:v>0.75</c:v>
                </c:pt>
                <c:pt idx="372">
                  <c:v>0.75</c:v>
                </c:pt>
                <c:pt idx="373">
                  <c:v>0.75</c:v>
                </c:pt>
                <c:pt idx="374">
                  <c:v>0.75</c:v>
                </c:pt>
                <c:pt idx="375">
                  <c:v>0.75</c:v>
                </c:pt>
                <c:pt idx="376">
                  <c:v>0.75</c:v>
                </c:pt>
                <c:pt idx="377">
                  <c:v>0.75</c:v>
                </c:pt>
                <c:pt idx="378">
                  <c:v>0.75</c:v>
                </c:pt>
                <c:pt idx="379">
                  <c:v>0.75</c:v>
                </c:pt>
                <c:pt idx="380">
                  <c:v>0.75</c:v>
                </c:pt>
                <c:pt idx="381">
                  <c:v>0.75</c:v>
                </c:pt>
                <c:pt idx="382">
                  <c:v>0.75</c:v>
                </c:pt>
                <c:pt idx="383">
                  <c:v>0.75</c:v>
                </c:pt>
                <c:pt idx="384">
                  <c:v>0.75</c:v>
                </c:pt>
                <c:pt idx="385">
                  <c:v>0.75</c:v>
                </c:pt>
                <c:pt idx="386">
                  <c:v>0.75</c:v>
                </c:pt>
                <c:pt idx="387">
                  <c:v>0.75</c:v>
                </c:pt>
                <c:pt idx="388">
                  <c:v>0.75</c:v>
                </c:pt>
                <c:pt idx="389">
                  <c:v>0.75</c:v>
                </c:pt>
                <c:pt idx="390">
                  <c:v>0.75</c:v>
                </c:pt>
                <c:pt idx="391">
                  <c:v>0.75</c:v>
                </c:pt>
                <c:pt idx="392">
                  <c:v>0.75</c:v>
                </c:pt>
                <c:pt idx="393">
                  <c:v>0.75</c:v>
                </c:pt>
                <c:pt idx="394">
                  <c:v>0.75</c:v>
                </c:pt>
                <c:pt idx="395">
                  <c:v>0.75</c:v>
                </c:pt>
                <c:pt idx="396">
                  <c:v>0.75</c:v>
                </c:pt>
                <c:pt idx="397">
                  <c:v>0.75</c:v>
                </c:pt>
                <c:pt idx="398">
                  <c:v>0.75</c:v>
                </c:pt>
                <c:pt idx="399">
                  <c:v>0.75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</c:numCache>
            </c:numRef>
          </c:xVal>
          <c:yVal>
            <c:numRef>
              <c:f>'Scenario Visualization'!$F$4:$F$503</c:f>
              <c:numCache>
                <c:formatCode>0.0%</c:formatCode>
                <c:ptCount val="500"/>
                <c:pt idx="0">
                  <c:v>2.0833333333333332E-2</c:v>
                </c:pt>
                <c:pt idx="1">
                  <c:v>4.1884816753926704E-2</c:v>
                </c:pt>
                <c:pt idx="2">
                  <c:v>5.1546391752577317E-2</c:v>
                </c:pt>
                <c:pt idx="3">
                  <c:v>6.4171122994652413E-2</c:v>
                </c:pt>
                <c:pt idx="4">
                  <c:v>3.5897435897435895E-2</c:v>
                </c:pt>
                <c:pt idx="5">
                  <c:v>2.2099447513812154E-2</c:v>
                </c:pt>
                <c:pt idx="6">
                  <c:v>5.232558139534884E-2</c:v>
                </c:pt>
                <c:pt idx="7">
                  <c:v>3.7037037037037035E-2</c:v>
                </c:pt>
                <c:pt idx="8">
                  <c:v>2.7472527472527472E-2</c:v>
                </c:pt>
                <c:pt idx="9">
                  <c:v>2.6041666666666668E-2</c:v>
                </c:pt>
                <c:pt idx="10">
                  <c:v>0.05</c:v>
                </c:pt>
                <c:pt idx="11">
                  <c:v>3.5000000000000003E-2</c:v>
                </c:pt>
                <c:pt idx="12">
                  <c:v>2.5125628140703519E-2</c:v>
                </c:pt>
                <c:pt idx="13">
                  <c:v>2.185792349726776E-2</c:v>
                </c:pt>
                <c:pt idx="14">
                  <c:v>3.0303030303030304E-2</c:v>
                </c:pt>
                <c:pt idx="15">
                  <c:v>1.1627906976744186E-2</c:v>
                </c:pt>
                <c:pt idx="16">
                  <c:v>4.3715846994535519E-2</c:v>
                </c:pt>
                <c:pt idx="17">
                  <c:v>3.5897435897435895E-2</c:v>
                </c:pt>
                <c:pt idx="18">
                  <c:v>3.6458333333333336E-2</c:v>
                </c:pt>
                <c:pt idx="19">
                  <c:v>2.3529411764705882E-2</c:v>
                </c:pt>
                <c:pt idx="20">
                  <c:v>1.5789473684210527E-2</c:v>
                </c:pt>
                <c:pt idx="21">
                  <c:v>3.0612244897959183E-2</c:v>
                </c:pt>
                <c:pt idx="22">
                  <c:v>2.5510204081632654E-2</c:v>
                </c:pt>
                <c:pt idx="23">
                  <c:v>4.3010752688172046E-2</c:v>
                </c:pt>
                <c:pt idx="24">
                  <c:v>3.482587064676617E-2</c:v>
                </c:pt>
                <c:pt idx="25">
                  <c:v>2.5906735751295335E-2</c:v>
                </c:pt>
                <c:pt idx="26">
                  <c:v>4.2780748663101602E-2</c:v>
                </c:pt>
                <c:pt idx="27">
                  <c:v>5.4644808743169397E-2</c:v>
                </c:pt>
                <c:pt idx="28">
                  <c:v>3.015075376884422E-2</c:v>
                </c:pt>
                <c:pt idx="29">
                  <c:v>3.5294117647058823E-2</c:v>
                </c:pt>
                <c:pt idx="30">
                  <c:v>2.7932960893854747E-2</c:v>
                </c:pt>
                <c:pt idx="31">
                  <c:v>3.1088082901554404E-2</c:v>
                </c:pt>
                <c:pt idx="32">
                  <c:v>2.5252525252525252E-2</c:v>
                </c:pt>
                <c:pt idx="33">
                  <c:v>2.7624309392265192E-2</c:v>
                </c:pt>
                <c:pt idx="34">
                  <c:v>4.1237113402061855E-2</c:v>
                </c:pt>
                <c:pt idx="35">
                  <c:v>4.0201005025125629E-2</c:v>
                </c:pt>
                <c:pt idx="36">
                  <c:v>2.976190476190476E-2</c:v>
                </c:pt>
                <c:pt idx="37">
                  <c:v>3.6842105263157891E-2</c:v>
                </c:pt>
                <c:pt idx="38">
                  <c:v>2.7322404371584699E-2</c:v>
                </c:pt>
                <c:pt idx="39">
                  <c:v>2.3391812865497075E-2</c:v>
                </c:pt>
                <c:pt idx="40">
                  <c:v>3.125E-2</c:v>
                </c:pt>
                <c:pt idx="41">
                  <c:v>1.5306122448979591E-2</c:v>
                </c:pt>
                <c:pt idx="42">
                  <c:v>2.6595744680851064E-2</c:v>
                </c:pt>
                <c:pt idx="43">
                  <c:v>3.5353535353535352E-2</c:v>
                </c:pt>
                <c:pt idx="44">
                  <c:v>5.0561797752808987E-2</c:v>
                </c:pt>
                <c:pt idx="45">
                  <c:v>7.2538860103626937E-2</c:v>
                </c:pt>
                <c:pt idx="46">
                  <c:v>4.0201005025125629E-2</c:v>
                </c:pt>
                <c:pt idx="47">
                  <c:v>3.783783783783784E-2</c:v>
                </c:pt>
                <c:pt idx="48">
                  <c:v>1.6042780748663103E-2</c:v>
                </c:pt>
                <c:pt idx="49">
                  <c:v>2.8571428571428571E-2</c:v>
                </c:pt>
                <c:pt idx="50">
                  <c:v>2.247191011235955E-2</c:v>
                </c:pt>
                <c:pt idx="51">
                  <c:v>2.7322404371584699E-2</c:v>
                </c:pt>
                <c:pt idx="52">
                  <c:v>2.1505376344086023E-2</c:v>
                </c:pt>
                <c:pt idx="53">
                  <c:v>2.3391812865497075E-2</c:v>
                </c:pt>
                <c:pt idx="54">
                  <c:v>6.4039408866995079E-2</c:v>
                </c:pt>
                <c:pt idx="55">
                  <c:v>3.825136612021858E-2</c:v>
                </c:pt>
                <c:pt idx="56">
                  <c:v>3.0120481927710843E-2</c:v>
                </c:pt>
                <c:pt idx="57">
                  <c:v>3.7558685446009391E-2</c:v>
                </c:pt>
                <c:pt idx="58">
                  <c:v>1.6759776536312849E-2</c:v>
                </c:pt>
                <c:pt idx="59">
                  <c:v>3.783783783783784E-2</c:v>
                </c:pt>
                <c:pt idx="60">
                  <c:v>2.7906976744186046E-2</c:v>
                </c:pt>
                <c:pt idx="61">
                  <c:v>2.1505376344086023E-2</c:v>
                </c:pt>
                <c:pt idx="62">
                  <c:v>3.015075376884422E-2</c:v>
                </c:pt>
                <c:pt idx="63">
                  <c:v>2.9702970297029702E-2</c:v>
                </c:pt>
                <c:pt idx="64">
                  <c:v>4.3478260869565216E-2</c:v>
                </c:pt>
                <c:pt idx="65">
                  <c:v>4.1025641025641026E-2</c:v>
                </c:pt>
                <c:pt idx="66">
                  <c:v>4.3269230769230768E-2</c:v>
                </c:pt>
                <c:pt idx="67">
                  <c:v>1.4423076923076924E-2</c:v>
                </c:pt>
                <c:pt idx="68">
                  <c:v>4.195804195804196E-2</c:v>
                </c:pt>
                <c:pt idx="69">
                  <c:v>2.8089887640449437E-2</c:v>
                </c:pt>
                <c:pt idx="70">
                  <c:v>0.04</c:v>
                </c:pt>
                <c:pt idx="71">
                  <c:v>6.0913705583756347E-2</c:v>
                </c:pt>
                <c:pt idx="72">
                  <c:v>4.4554455445544552E-2</c:v>
                </c:pt>
                <c:pt idx="73">
                  <c:v>1.6574585635359115E-2</c:v>
                </c:pt>
                <c:pt idx="74">
                  <c:v>2.7932960893854747E-2</c:v>
                </c:pt>
                <c:pt idx="75">
                  <c:v>2.976190476190476E-2</c:v>
                </c:pt>
                <c:pt idx="76">
                  <c:v>3.9215686274509803E-2</c:v>
                </c:pt>
                <c:pt idx="77">
                  <c:v>2.4630541871921183E-2</c:v>
                </c:pt>
                <c:pt idx="78">
                  <c:v>4.4334975369458129E-2</c:v>
                </c:pt>
                <c:pt idx="79">
                  <c:v>2.1164021164021163E-2</c:v>
                </c:pt>
                <c:pt idx="80">
                  <c:v>5.5214723926380369E-2</c:v>
                </c:pt>
                <c:pt idx="81">
                  <c:v>4.2328042328042326E-2</c:v>
                </c:pt>
                <c:pt idx="82">
                  <c:v>2.6595744680851064E-2</c:v>
                </c:pt>
                <c:pt idx="83">
                  <c:v>3.6842105263157891E-2</c:v>
                </c:pt>
                <c:pt idx="84">
                  <c:v>4.736842105263158E-2</c:v>
                </c:pt>
                <c:pt idx="85">
                  <c:v>1.1560693641618497E-2</c:v>
                </c:pt>
                <c:pt idx="86">
                  <c:v>2.8571428571428571E-2</c:v>
                </c:pt>
                <c:pt idx="87">
                  <c:v>1.0752688172043012E-2</c:v>
                </c:pt>
                <c:pt idx="88">
                  <c:v>3.3333333333333333E-2</c:v>
                </c:pt>
                <c:pt idx="89">
                  <c:v>5.5555555555555552E-2</c:v>
                </c:pt>
                <c:pt idx="90">
                  <c:v>4.1884816753926704E-2</c:v>
                </c:pt>
                <c:pt idx="91">
                  <c:v>3.9772727272727272E-2</c:v>
                </c:pt>
                <c:pt idx="92">
                  <c:v>2.2598870056497175E-2</c:v>
                </c:pt>
                <c:pt idx="93">
                  <c:v>2.8301886792452831E-2</c:v>
                </c:pt>
                <c:pt idx="94">
                  <c:v>3.5175879396984924E-2</c:v>
                </c:pt>
                <c:pt idx="95">
                  <c:v>5.1020408163265307E-2</c:v>
                </c:pt>
                <c:pt idx="96">
                  <c:v>2.976190476190476E-2</c:v>
                </c:pt>
                <c:pt idx="97">
                  <c:v>2.8735632183908046E-2</c:v>
                </c:pt>
                <c:pt idx="98">
                  <c:v>3.2258064516129031E-2</c:v>
                </c:pt>
                <c:pt idx="99">
                  <c:v>6.3725490196078427E-2</c:v>
                </c:pt>
                <c:pt idx="100">
                  <c:v>1.5706806282722512E-2</c:v>
                </c:pt>
                <c:pt idx="101">
                  <c:v>3.6649214659685861E-2</c:v>
                </c:pt>
                <c:pt idx="102">
                  <c:v>4.5685279187817257E-2</c:v>
                </c:pt>
                <c:pt idx="103">
                  <c:v>6.0109289617486336E-2</c:v>
                </c:pt>
                <c:pt idx="104">
                  <c:v>4.0816326530612242E-2</c:v>
                </c:pt>
                <c:pt idx="105">
                  <c:v>2.2099447513812154E-2</c:v>
                </c:pt>
                <c:pt idx="106">
                  <c:v>4.6511627906976744E-2</c:v>
                </c:pt>
                <c:pt idx="107">
                  <c:v>2.1276595744680851E-2</c:v>
                </c:pt>
                <c:pt idx="108">
                  <c:v>2.2099447513812154E-2</c:v>
                </c:pt>
                <c:pt idx="109">
                  <c:v>2.0833333333333332E-2</c:v>
                </c:pt>
                <c:pt idx="110">
                  <c:v>5.027932960893855E-2</c:v>
                </c:pt>
                <c:pt idx="111">
                  <c:v>2.9556650246305417E-2</c:v>
                </c:pt>
                <c:pt idx="112">
                  <c:v>2.5125628140703519E-2</c:v>
                </c:pt>
                <c:pt idx="113">
                  <c:v>2.197802197802198E-2</c:v>
                </c:pt>
                <c:pt idx="114">
                  <c:v>3.0303030303030304E-2</c:v>
                </c:pt>
                <c:pt idx="115">
                  <c:v>1.1627906976744186E-2</c:v>
                </c:pt>
                <c:pt idx="116">
                  <c:v>4.3243243243243246E-2</c:v>
                </c:pt>
                <c:pt idx="117">
                  <c:v>2.5380710659898477E-2</c:v>
                </c:pt>
                <c:pt idx="118">
                  <c:v>3.6842105263157891E-2</c:v>
                </c:pt>
                <c:pt idx="119">
                  <c:v>2.3809523809523808E-2</c:v>
                </c:pt>
                <c:pt idx="120">
                  <c:v>1.5789473684210527E-2</c:v>
                </c:pt>
                <c:pt idx="121">
                  <c:v>2.0202020202020204E-2</c:v>
                </c:pt>
                <c:pt idx="122">
                  <c:v>2.5510204081632654E-2</c:v>
                </c:pt>
                <c:pt idx="123">
                  <c:v>4.3010752688172046E-2</c:v>
                </c:pt>
                <c:pt idx="124">
                  <c:v>2.9850746268656716E-2</c:v>
                </c:pt>
                <c:pt idx="125">
                  <c:v>2.5380710659898477E-2</c:v>
                </c:pt>
                <c:pt idx="126">
                  <c:v>4.2780748663101602E-2</c:v>
                </c:pt>
                <c:pt idx="127">
                  <c:v>5.4644808743169397E-2</c:v>
                </c:pt>
                <c:pt idx="128">
                  <c:v>2.5380710659898477E-2</c:v>
                </c:pt>
                <c:pt idx="129">
                  <c:v>2.9411764705882353E-2</c:v>
                </c:pt>
                <c:pt idx="130">
                  <c:v>2.8089887640449437E-2</c:v>
                </c:pt>
                <c:pt idx="131">
                  <c:v>1.5789473684210527E-2</c:v>
                </c:pt>
                <c:pt idx="132">
                  <c:v>2.5380710659898477E-2</c:v>
                </c:pt>
                <c:pt idx="133">
                  <c:v>2.7472527472527472E-2</c:v>
                </c:pt>
                <c:pt idx="134">
                  <c:v>4.1666666666666664E-2</c:v>
                </c:pt>
                <c:pt idx="135">
                  <c:v>3.5000000000000003E-2</c:v>
                </c:pt>
                <c:pt idx="136">
                  <c:v>2.3391812865497075E-2</c:v>
                </c:pt>
                <c:pt idx="137">
                  <c:v>2.6595744680851064E-2</c:v>
                </c:pt>
                <c:pt idx="138">
                  <c:v>2.1739130434782608E-2</c:v>
                </c:pt>
                <c:pt idx="139">
                  <c:v>2.3391812865497075E-2</c:v>
                </c:pt>
                <c:pt idx="140">
                  <c:v>3.0927835051546393E-2</c:v>
                </c:pt>
                <c:pt idx="141">
                  <c:v>1.5306122448979591E-2</c:v>
                </c:pt>
                <c:pt idx="142">
                  <c:v>2.1276595744680851E-2</c:v>
                </c:pt>
                <c:pt idx="143">
                  <c:v>4.0201005025125629E-2</c:v>
                </c:pt>
                <c:pt idx="144">
                  <c:v>3.3707865168539325E-2</c:v>
                </c:pt>
                <c:pt idx="145">
                  <c:v>6.7357512953367879E-2</c:v>
                </c:pt>
                <c:pt idx="146">
                  <c:v>3.5175879396984924E-2</c:v>
                </c:pt>
                <c:pt idx="147">
                  <c:v>3.7634408602150539E-2</c:v>
                </c:pt>
                <c:pt idx="148">
                  <c:v>1.06951871657754E-2</c:v>
                </c:pt>
                <c:pt idx="149">
                  <c:v>2.8708133971291867E-2</c:v>
                </c:pt>
                <c:pt idx="150">
                  <c:v>2.23463687150838E-2</c:v>
                </c:pt>
                <c:pt idx="151">
                  <c:v>1.6304347826086956E-2</c:v>
                </c:pt>
                <c:pt idx="152">
                  <c:v>2.1621621621621623E-2</c:v>
                </c:pt>
                <c:pt idx="153">
                  <c:v>2.9069767441860465E-2</c:v>
                </c:pt>
                <c:pt idx="154">
                  <c:v>5.8823529411764705E-2</c:v>
                </c:pt>
                <c:pt idx="155">
                  <c:v>3.783783783783784E-2</c:v>
                </c:pt>
                <c:pt idx="156">
                  <c:v>2.4242424242424242E-2</c:v>
                </c:pt>
                <c:pt idx="157">
                  <c:v>3.7558685446009391E-2</c:v>
                </c:pt>
                <c:pt idx="158">
                  <c:v>1.6759776536312849E-2</c:v>
                </c:pt>
                <c:pt idx="159">
                  <c:v>3.2258064516129031E-2</c:v>
                </c:pt>
                <c:pt idx="160">
                  <c:v>2.3255813953488372E-2</c:v>
                </c:pt>
                <c:pt idx="161">
                  <c:v>2.1390374331550801E-2</c:v>
                </c:pt>
                <c:pt idx="162">
                  <c:v>2.9850746268656716E-2</c:v>
                </c:pt>
                <c:pt idx="163">
                  <c:v>2.4752475247524754E-2</c:v>
                </c:pt>
                <c:pt idx="164">
                  <c:v>3.2786885245901641E-2</c:v>
                </c:pt>
                <c:pt idx="165">
                  <c:v>4.1025641025641026E-2</c:v>
                </c:pt>
                <c:pt idx="166">
                  <c:v>3.9024390243902439E-2</c:v>
                </c:pt>
                <c:pt idx="167">
                  <c:v>1.4423076923076924E-2</c:v>
                </c:pt>
                <c:pt idx="168">
                  <c:v>4.1666666666666664E-2</c:v>
                </c:pt>
                <c:pt idx="169">
                  <c:v>2.23463687150838E-2</c:v>
                </c:pt>
                <c:pt idx="170">
                  <c:v>3.9772727272727272E-2</c:v>
                </c:pt>
                <c:pt idx="171">
                  <c:v>5.0251256281407038E-2</c:v>
                </c:pt>
                <c:pt idx="172">
                  <c:v>3.9408866995073892E-2</c:v>
                </c:pt>
                <c:pt idx="173">
                  <c:v>1.6666666666666666E-2</c:v>
                </c:pt>
                <c:pt idx="174">
                  <c:v>2.7624309392265192E-2</c:v>
                </c:pt>
                <c:pt idx="175">
                  <c:v>1.1976047904191617E-2</c:v>
                </c:pt>
                <c:pt idx="176">
                  <c:v>3.4482758620689655E-2</c:v>
                </c:pt>
                <c:pt idx="177">
                  <c:v>2.4752475247524754E-2</c:v>
                </c:pt>
                <c:pt idx="178">
                  <c:v>0.04</c:v>
                </c:pt>
                <c:pt idx="179">
                  <c:v>2.6455026455026454E-2</c:v>
                </c:pt>
                <c:pt idx="180">
                  <c:v>5.5900621118012424E-2</c:v>
                </c:pt>
                <c:pt idx="181">
                  <c:v>3.7433155080213901E-2</c:v>
                </c:pt>
                <c:pt idx="182">
                  <c:v>2.1276595744680851E-2</c:v>
                </c:pt>
                <c:pt idx="183">
                  <c:v>3.5897435897435895E-2</c:v>
                </c:pt>
                <c:pt idx="184">
                  <c:v>4.7619047619047616E-2</c:v>
                </c:pt>
                <c:pt idx="185">
                  <c:v>5.7803468208092483E-3</c:v>
                </c:pt>
                <c:pt idx="186">
                  <c:v>2.2988505747126436E-2</c:v>
                </c:pt>
                <c:pt idx="187">
                  <c:v>1.0810810810810811E-2</c:v>
                </c:pt>
                <c:pt idx="188">
                  <c:v>3.3018867924528301E-2</c:v>
                </c:pt>
                <c:pt idx="189">
                  <c:v>4.4444444444444446E-2</c:v>
                </c:pt>
                <c:pt idx="190">
                  <c:v>3.6269430051813469E-2</c:v>
                </c:pt>
                <c:pt idx="191">
                  <c:v>3.9772727272727272E-2</c:v>
                </c:pt>
                <c:pt idx="192">
                  <c:v>1.6759776536312849E-2</c:v>
                </c:pt>
                <c:pt idx="193">
                  <c:v>2.7906976744186046E-2</c:v>
                </c:pt>
                <c:pt idx="194">
                  <c:v>3.015075376884422E-2</c:v>
                </c:pt>
                <c:pt idx="195">
                  <c:v>5.2083333333333336E-2</c:v>
                </c:pt>
                <c:pt idx="196">
                  <c:v>2.3952095808383235E-2</c:v>
                </c:pt>
                <c:pt idx="197">
                  <c:v>2.8409090909090908E-2</c:v>
                </c:pt>
                <c:pt idx="198">
                  <c:v>2.6737967914438502E-2</c:v>
                </c:pt>
                <c:pt idx="199">
                  <c:v>4.4117647058823532E-2</c:v>
                </c:pt>
                <c:pt idx="200">
                  <c:v>1.5625E-2</c:v>
                </c:pt>
                <c:pt idx="201">
                  <c:v>3.6458333333333336E-2</c:v>
                </c:pt>
                <c:pt idx="202">
                  <c:v>3.553299492385787E-2</c:v>
                </c:pt>
                <c:pt idx="203">
                  <c:v>4.8913043478260872E-2</c:v>
                </c:pt>
                <c:pt idx="204">
                  <c:v>4.0816326530612242E-2</c:v>
                </c:pt>
                <c:pt idx="205">
                  <c:v>2.7624309392265192E-2</c:v>
                </c:pt>
                <c:pt idx="206">
                  <c:v>4.6242774566473986E-2</c:v>
                </c:pt>
                <c:pt idx="207">
                  <c:v>2.6455026455026454E-2</c:v>
                </c:pt>
                <c:pt idx="208">
                  <c:v>1.6666666666666666E-2</c:v>
                </c:pt>
                <c:pt idx="209">
                  <c:v>2.0618556701030927E-2</c:v>
                </c:pt>
                <c:pt idx="210">
                  <c:v>4.4444444444444446E-2</c:v>
                </c:pt>
                <c:pt idx="211">
                  <c:v>2.9702970297029702E-2</c:v>
                </c:pt>
                <c:pt idx="212">
                  <c:v>2.5380710659898477E-2</c:v>
                </c:pt>
                <c:pt idx="213">
                  <c:v>1.6393442622950821E-2</c:v>
                </c:pt>
                <c:pt idx="214">
                  <c:v>3.0769230769230771E-2</c:v>
                </c:pt>
                <c:pt idx="215">
                  <c:v>1.1560693641618497E-2</c:v>
                </c:pt>
                <c:pt idx="216">
                  <c:v>3.2608695652173912E-2</c:v>
                </c:pt>
                <c:pt idx="217">
                  <c:v>2.030456852791878E-2</c:v>
                </c:pt>
                <c:pt idx="218">
                  <c:v>2.6595744680851064E-2</c:v>
                </c:pt>
                <c:pt idx="219">
                  <c:v>1.7964071856287425E-2</c:v>
                </c:pt>
                <c:pt idx="220">
                  <c:v>1.5873015873015872E-2</c:v>
                </c:pt>
                <c:pt idx="221">
                  <c:v>2.5125628140703519E-2</c:v>
                </c:pt>
                <c:pt idx="222">
                  <c:v>2.030456852791878E-2</c:v>
                </c:pt>
                <c:pt idx="223">
                  <c:v>2.717391304347826E-2</c:v>
                </c:pt>
                <c:pt idx="224">
                  <c:v>2.4875621890547265E-2</c:v>
                </c:pt>
                <c:pt idx="225">
                  <c:v>2.5510204081632654E-2</c:v>
                </c:pt>
                <c:pt idx="226">
                  <c:v>4.2553191489361701E-2</c:v>
                </c:pt>
                <c:pt idx="227">
                  <c:v>4.3715846994535519E-2</c:v>
                </c:pt>
                <c:pt idx="228">
                  <c:v>2.5380710659898477E-2</c:v>
                </c:pt>
                <c:pt idx="229">
                  <c:v>1.7543859649122806E-2</c:v>
                </c:pt>
                <c:pt idx="230">
                  <c:v>2.8089887640449437E-2</c:v>
                </c:pt>
                <c:pt idx="231">
                  <c:v>1.5625E-2</c:v>
                </c:pt>
                <c:pt idx="232">
                  <c:v>2.5380710659898477E-2</c:v>
                </c:pt>
                <c:pt idx="233">
                  <c:v>2.2222222222222223E-2</c:v>
                </c:pt>
                <c:pt idx="234">
                  <c:v>4.145077720207254E-2</c:v>
                </c:pt>
                <c:pt idx="235">
                  <c:v>0.03</c:v>
                </c:pt>
                <c:pt idx="236">
                  <c:v>2.3391812865497075E-2</c:v>
                </c:pt>
                <c:pt idx="237">
                  <c:v>2.6881720430107527E-2</c:v>
                </c:pt>
                <c:pt idx="238">
                  <c:v>1.6129032258064516E-2</c:v>
                </c:pt>
                <c:pt idx="239">
                  <c:v>2.3529411764705882E-2</c:v>
                </c:pt>
                <c:pt idx="240">
                  <c:v>3.0769230769230771E-2</c:v>
                </c:pt>
                <c:pt idx="241">
                  <c:v>1.0309278350515464E-2</c:v>
                </c:pt>
                <c:pt idx="242">
                  <c:v>2.1390374331550801E-2</c:v>
                </c:pt>
                <c:pt idx="243">
                  <c:v>2.5125628140703519E-2</c:v>
                </c:pt>
                <c:pt idx="244">
                  <c:v>3.3898305084745763E-2</c:v>
                </c:pt>
                <c:pt idx="245">
                  <c:v>6.7708333333333329E-2</c:v>
                </c:pt>
                <c:pt idx="246">
                  <c:v>3.015075376884422E-2</c:v>
                </c:pt>
                <c:pt idx="247">
                  <c:v>3.7634408602150539E-2</c:v>
                </c:pt>
                <c:pt idx="248">
                  <c:v>1.06951871657754E-2</c:v>
                </c:pt>
                <c:pt idx="249">
                  <c:v>2.3809523809523808E-2</c:v>
                </c:pt>
                <c:pt idx="250">
                  <c:v>2.7777777777777776E-2</c:v>
                </c:pt>
                <c:pt idx="251">
                  <c:v>1.098901098901099E-2</c:v>
                </c:pt>
                <c:pt idx="252">
                  <c:v>2.1621621621621623E-2</c:v>
                </c:pt>
                <c:pt idx="253">
                  <c:v>2.8735632183908046E-2</c:v>
                </c:pt>
                <c:pt idx="254">
                  <c:v>5.4187192118226604E-2</c:v>
                </c:pt>
                <c:pt idx="255">
                  <c:v>3.2608695652173912E-2</c:v>
                </c:pt>
                <c:pt idx="256">
                  <c:v>1.8292682926829267E-2</c:v>
                </c:pt>
                <c:pt idx="257">
                  <c:v>2.8301886792452831E-2</c:v>
                </c:pt>
                <c:pt idx="258">
                  <c:v>1.1111111111111112E-2</c:v>
                </c:pt>
                <c:pt idx="259">
                  <c:v>3.2085561497326207E-2</c:v>
                </c:pt>
                <c:pt idx="260">
                  <c:v>1.8604651162790697E-2</c:v>
                </c:pt>
                <c:pt idx="261">
                  <c:v>1.6042780748663103E-2</c:v>
                </c:pt>
                <c:pt idx="262">
                  <c:v>2.0202020202020204E-2</c:v>
                </c:pt>
                <c:pt idx="263">
                  <c:v>1.9607843137254902E-2</c:v>
                </c:pt>
                <c:pt idx="264">
                  <c:v>2.7472527472527472E-2</c:v>
                </c:pt>
                <c:pt idx="265">
                  <c:v>4.060913705583756E-2</c:v>
                </c:pt>
                <c:pt idx="266">
                  <c:v>3.8834951456310676E-2</c:v>
                </c:pt>
                <c:pt idx="267">
                  <c:v>1.4563106796116505E-2</c:v>
                </c:pt>
                <c:pt idx="268">
                  <c:v>3.4482758620689655E-2</c:v>
                </c:pt>
                <c:pt idx="269">
                  <c:v>2.23463687150838E-2</c:v>
                </c:pt>
                <c:pt idx="270">
                  <c:v>2.8571428571428571E-2</c:v>
                </c:pt>
                <c:pt idx="271">
                  <c:v>4.9019607843137254E-2</c:v>
                </c:pt>
                <c:pt idx="272">
                  <c:v>3.482587064676617E-2</c:v>
                </c:pt>
                <c:pt idx="273">
                  <c:v>1.6666666666666666E-2</c:v>
                </c:pt>
                <c:pt idx="274">
                  <c:v>2.7624309392265192E-2</c:v>
                </c:pt>
                <c:pt idx="275">
                  <c:v>1.1904761904761904E-2</c:v>
                </c:pt>
                <c:pt idx="276">
                  <c:v>3.015075376884422E-2</c:v>
                </c:pt>
                <c:pt idx="277">
                  <c:v>2.4752475247524754E-2</c:v>
                </c:pt>
                <c:pt idx="278">
                  <c:v>3.4653465346534656E-2</c:v>
                </c:pt>
                <c:pt idx="279">
                  <c:v>2.1052631578947368E-2</c:v>
                </c:pt>
                <c:pt idx="280">
                  <c:v>4.3478260869565216E-2</c:v>
                </c:pt>
                <c:pt idx="281">
                  <c:v>3.6842105263157891E-2</c:v>
                </c:pt>
                <c:pt idx="282">
                  <c:v>2.1621621621621623E-2</c:v>
                </c:pt>
                <c:pt idx="283">
                  <c:v>4.0816326530612242E-2</c:v>
                </c:pt>
                <c:pt idx="284">
                  <c:v>3.7433155080213901E-2</c:v>
                </c:pt>
                <c:pt idx="285">
                  <c:v>5.8139534883720929E-3</c:v>
                </c:pt>
                <c:pt idx="286">
                  <c:v>1.7142857142857144E-2</c:v>
                </c:pt>
                <c:pt idx="287">
                  <c:v>1.5957446808510637E-2</c:v>
                </c:pt>
                <c:pt idx="288">
                  <c:v>2.3696682464454975E-2</c:v>
                </c:pt>
                <c:pt idx="289">
                  <c:v>4.4198895027624308E-2</c:v>
                </c:pt>
                <c:pt idx="290">
                  <c:v>3.6269430051813469E-2</c:v>
                </c:pt>
                <c:pt idx="291">
                  <c:v>4.046242774566474E-2</c:v>
                </c:pt>
                <c:pt idx="292">
                  <c:v>1.6759776536312849E-2</c:v>
                </c:pt>
                <c:pt idx="293">
                  <c:v>2.7649769585253458E-2</c:v>
                </c:pt>
                <c:pt idx="294">
                  <c:v>3.4482758620689655E-2</c:v>
                </c:pt>
                <c:pt idx="295">
                  <c:v>5.2083333333333336E-2</c:v>
                </c:pt>
                <c:pt idx="296">
                  <c:v>1.8072289156626505E-2</c:v>
                </c:pt>
                <c:pt idx="297">
                  <c:v>2.2727272727272728E-2</c:v>
                </c:pt>
                <c:pt idx="298">
                  <c:v>2.6595744680851064E-2</c:v>
                </c:pt>
                <c:pt idx="299">
                  <c:v>3.9603960396039604E-2</c:v>
                </c:pt>
                <c:pt idx="300">
                  <c:v>1.5625E-2</c:v>
                </c:pt>
                <c:pt idx="301">
                  <c:v>2.5906735751295335E-2</c:v>
                </c:pt>
                <c:pt idx="302">
                  <c:v>3.5353535353535352E-2</c:v>
                </c:pt>
                <c:pt idx="303">
                  <c:v>4.8648648648648651E-2</c:v>
                </c:pt>
                <c:pt idx="304">
                  <c:v>4.1025641025641026E-2</c:v>
                </c:pt>
                <c:pt idx="305">
                  <c:v>2.2099447513812154E-2</c:v>
                </c:pt>
                <c:pt idx="306">
                  <c:v>4.5977011494252873E-2</c:v>
                </c:pt>
                <c:pt idx="307">
                  <c:v>2.1052631578947368E-2</c:v>
                </c:pt>
                <c:pt idx="308">
                  <c:v>1.6574585635359115E-2</c:v>
                </c:pt>
                <c:pt idx="309">
                  <c:v>2.0408163265306121E-2</c:v>
                </c:pt>
                <c:pt idx="310">
                  <c:v>4.3956043956043959E-2</c:v>
                </c:pt>
                <c:pt idx="311">
                  <c:v>2.4875621890547265E-2</c:v>
                </c:pt>
                <c:pt idx="312">
                  <c:v>2.5510204081632654E-2</c:v>
                </c:pt>
                <c:pt idx="313">
                  <c:v>1.6393442622950821E-2</c:v>
                </c:pt>
                <c:pt idx="314">
                  <c:v>3.0769230769230771E-2</c:v>
                </c:pt>
                <c:pt idx="315">
                  <c:v>5.7803468208092483E-3</c:v>
                </c:pt>
                <c:pt idx="316">
                  <c:v>2.7322404371584699E-2</c:v>
                </c:pt>
                <c:pt idx="317">
                  <c:v>1.0309278350515464E-2</c:v>
                </c:pt>
                <c:pt idx="318">
                  <c:v>2.1390374331550801E-2</c:v>
                </c:pt>
                <c:pt idx="319">
                  <c:v>1.8292682926829267E-2</c:v>
                </c:pt>
                <c:pt idx="320">
                  <c:v>1.0526315789473684E-2</c:v>
                </c:pt>
                <c:pt idx="321">
                  <c:v>2.0100502512562814E-2</c:v>
                </c:pt>
                <c:pt idx="322">
                  <c:v>2.030456852791878E-2</c:v>
                </c:pt>
                <c:pt idx="323">
                  <c:v>3.2608695652173912E-2</c:v>
                </c:pt>
                <c:pt idx="324">
                  <c:v>2.4509803921568627E-2</c:v>
                </c:pt>
                <c:pt idx="325">
                  <c:v>2.0512820512820513E-2</c:v>
                </c:pt>
                <c:pt idx="326">
                  <c:v>3.2432432432432434E-2</c:v>
                </c:pt>
                <c:pt idx="327">
                  <c:v>4.3715846994535519E-2</c:v>
                </c:pt>
                <c:pt idx="328">
                  <c:v>2.030456852791878E-2</c:v>
                </c:pt>
                <c:pt idx="329">
                  <c:v>2.3255813953488372E-2</c:v>
                </c:pt>
                <c:pt idx="330">
                  <c:v>1.6949152542372881E-2</c:v>
                </c:pt>
                <c:pt idx="331">
                  <c:v>1.5625E-2</c:v>
                </c:pt>
                <c:pt idx="332">
                  <c:v>2.030456852791878E-2</c:v>
                </c:pt>
                <c:pt idx="333">
                  <c:v>1.6759776536312849E-2</c:v>
                </c:pt>
                <c:pt idx="334">
                  <c:v>3.6269430051813469E-2</c:v>
                </c:pt>
                <c:pt idx="335">
                  <c:v>3.015075376884422E-2</c:v>
                </c:pt>
                <c:pt idx="336">
                  <c:v>2.3255813953488372E-2</c:v>
                </c:pt>
                <c:pt idx="337">
                  <c:v>2.1390374331550801E-2</c:v>
                </c:pt>
                <c:pt idx="338">
                  <c:v>1.5873015873015872E-2</c:v>
                </c:pt>
                <c:pt idx="339">
                  <c:v>2.3529411764705882E-2</c:v>
                </c:pt>
                <c:pt idx="340">
                  <c:v>3.5353535353535352E-2</c:v>
                </c:pt>
                <c:pt idx="341">
                  <c:v>1.0362694300518135E-2</c:v>
                </c:pt>
                <c:pt idx="342">
                  <c:v>2.1505376344086023E-2</c:v>
                </c:pt>
                <c:pt idx="343">
                  <c:v>2.5125628140703519E-2</c:v>
                </c:pt>
                <c:pt idx="344">
                  <c:v>2.8571428571428571E-2</c:v>
                </c:pt>
                <c:pt idx="345">
                  <c:v>6.3492063492063489E-2</c:v>
                </c:pt>
                <c:pt idx="346">
                  <c:v>0.04</c:v>
                </c:pt>
                <c:pt idx="347">
                  <c:v>4.2780748663101602E-2</c:v>
                </c:pt>
                <c:pt idx="348">
                  <c:v>1.0752688172043012E-2</c:v>
                </c:pt>
                <c:pt idx="349">
                  <c:v>1.8957345971563982E-2</c:v>
                </c:pt>
                <c:pt idx="350">
                  <c:v>2.8089887640449437E-2</c:v>
                </c:pt>
                <c:pt idx="351">
                  <c:v>1.6129032258064516E-2</c:v>
                </c:pt>
                <c:pt idx="352">
                  <c:v>2.1505376344086023E-2</c:v>
                </c:pt>
                <c:pt idx="353">
                  <c:v>2.8571428571428571E-2</c:v>
                </c:pt>
                <c:pt idx="354">
                  <c:v>3.4482758620689655E-2</c:v>
                </c:pt>
                <c:pt idx="355">
                  <c:v>3.2258064516129031E-2</c:v>
                </c:pt>
                <c:pt idx="356">
                  <c:v>1.8404907975460124E-2</c:v>
                </c:pt>
                <c:pt idx="357">
                  <c:v>2.8301886792452831E-2</c:v>
                </c:pt>
                <c:pt idx="358">
                  <c:v>1.1111111111111112E-2</c:v>
                </c:pt>
                <c:pt idx="359">
                  <c:v>3.2608695652173912E-2</c:v>
                </c:pt>
                <c:pt idx="360">
                  <c:v>1.8867924528301886E-2</c:v>
                </c:pt>
                <c:pt idx="361">
                  <c:v>1.5957446808510637E-2</c:v>
                </c:pt>
                <c:pt idx="362">
                  <c:v>2.0202020202020204E-2</c:v>
                </c:pt>
                <c:pt idx="363">
                  <c:v>1.9512195121951219E-2</c:v>
                </c:pt>
                <c:pt idx="364">
                  <c:v>2.7322404371584699E-2</c:v>
                </c:pt>
                <c:pt idx="365">
                  <c:v>4.060913705583756E-2</c:v>
                </c:pt>
                <c:pt idx="366">
                  <c:v>3.8277511961722487E-2</c:v>
                </c:pt>
                <c:pt idx="367">
                  <c:v>9.6618357487922701E-3</c:v>
                </c:pt>
                <c:pt idx="368">
                  <c:v>2.7397260273972601E-2</c:v>
                </c:pt>
                <c:pt idx="369">
                  <c:v>1.6853932584269662E-2</c:v>
                </c:pt>
                <c:pt idx="370">
                  <c:v>2.8571428571428571E-2</c:v>
                </c:pt>
                <c:pt idx="371">
                  <c:v>4.8543689320388349E-2</c:v>
                </c:pt>
                <c:pt idx="372">
                  <c:v>3.5175879396984924E-2</c:v>
                </c:pt>
                <c:pt idx="373">
                  <c:v>1.1111111111111112E-2</c:v>
                </c:pt>
                <c:pt idx="374">
                  <c:v>2.7624309392265192E-2</c:v>
                </c:pt>
                <c:pt idx="375">
                  <c:v>6.0606060606060606E-3</c:v>
                </c:pt>
                <c:pt idx="376">
                  <c:v>2.5380710659898477E-2</c:v>
                </c:pt>
                <c:pt idx="377">
                  <c:v>2.4752475247524754E-2</c:v>
                </c:pt>
                <c:pt idx="378">
                  <c:v>3.4653465346534656E-2</c:v>
                </c:pt>
                <c:pt idx="379">
                  <c:v>1.5789473684210527E-2</c:v>
                </c:pt>
                <c:pt idx="380">
                  <c:v>2.4844720496894408E-2</c:v>
                </c:pt>
                <c:pt idx="381">
                  <c:v>3.1746031746031744E-2</c:v>
                </c:pt>
                <c:pt idx="382">
                  <c:v>2.1621621621621623E-2</c:v>
                </c:pt>
                <c:pt idx="383">
                  <c:v>3.0612244897959183E-2</c:v>
                </c:pt>
                <c:pt idx="384">
                  <c:v>3.7234042553191488E-2</c:v>
                </c:pt>
                <c:pt idx="385">
                  <c:v>5.8479532163742687E-3</c:v>
                </c:pt>
                <c:pt idx="386">
                  <c:v>1.1428571428571429E-2</c:v>
                </c:pt>
                <c:pt idx="387">
                  <c:v>1.6129032258064516E-2</c:v>
                </c:pt>
                <c:pt idx="388">
                  <c:v>1.8957345971563982E-2</c:v>
                </c:pt>
                <c:pt idx="389">
                  <c:v>3.8043478260869568E-2</c:v>
                </c:pt>
                <c:pt idx="390">
                  <c:v>2.5773195876288658E-2</c:v>
                </c:pt>
                <c:pt idx="391">
                  <c:v>2.8735632183908046E-2</c:v>
                </c:pt>
                <c:pt idx="392">
                  <c:v>1.1111111111111112E-2</c:v>
                </c:pt>
                <c:pt idx="393">
                  <c:v>1.8433179723502304E-2</c:v>
                </c:pt>
                <c:pt idx="394">
                  <c:v>3.4653465346534656E-2</c:v>
                </c:pt>
                <c:pt idx="395">
                  <c:v>4.2105263157894736E-2</c:v>
                </c:pt>
                <c:pt idx="396">
                  <c:v>1.1976047904191617E-2</c:v>
                </c:pt>
                <c:pt idx="397">
                  <c:v>1.1560693641618497E-2</c:v>
                </c:pt>
                <c:pt idx="398">
                  <c:v>3.1413612565445025E-2</c:v>
                </c:pt>
                <c:pt idx="399">
                  <c:v>3.482587064676617E-2</c:v>
                </c:pt>
                <c:pt idx="400">
                  <c:v>1.5625E-2</c:v>
                </c:pt>
                <c:pt idx="401">
                  <c:v>1.5544041450777202E-2</c:v>
                </c:pt>
                <c:pt idx="402">
                  <c:v>3.0456852791878174E-2</c:v>
                </c:pt>
                <c:pt idx="403">
                  <c:v>4.3243243243243246E-2</c:v>
                </c:pt>
                <c:pt idx="404">
                  <c:v>3.5897435897435895E-2</c:v>
                </c:pt>
                <c:pt idx="405">
                  <c:v>2.2099447513812154E-2</c:v>
                </c:pt>
                <c:pt idx="406">
                  <c:v>3.4682080924855488E-2</c:v>
                </c:pt>
                <c:pt idx="407">
                  <c:v>1.5625E-2</c:v>
                </c:pt>
                <c:pt idx="408">
                  <c:v>1.6483516483516484E-2</c:v>
                </c:pt>
                <c:pt idx="409">
                  <c:v>2.0408163265306121E-2</c:v>
                </c:pt>
                <c:pt idx="410">
                  <c:v>3.8674033149171269E-2</c:v>
                </c:pt>
                <c:pt idx="411">
                  <c:v>2.4630541871921183E-2</c:v>
                </c:pt>
                <c:pt idx="412">
                  <c:v>2.0408163265306121E-2</c:v>
                </c:pt>
                <c:pt idx="413">
                  <c:v>1.0869565217391304E-2</c:v>
                </c:pt>
                <c:pt idx="414">
                  <c:v>3.0769230769230771E-2</c:v>
                </c:pt>
                <c:pt idx="415">
                  <c:v>5.7803468208092483E-3</c:v>
                </c:pt>
                <c:pt idx="416">
                  <c:v>2.7472527472527472E-2</c:v>
                </c:pt>
                <c:pt idx="417">
                  <c:v>1.0256410256410256E-2</c:v>
                </c:pt>
                <c:pt idx="418">
                  <c:v>2.1164021164021163E-2</c:v>
                </c:pt>
                <c:pt idx="419">
                  <c:v>1.8292682926829267E-2</c:v>
                </c:pt>
                <c:pt idx="420">
                  <c:v>1.0582010582010581E-2</c:v>
                </c:pt>
                <c:pt idx="421">
                  <c:v>1.4999999999999999E-2</c:v>
                </c:pt>
                <c:pt idx="422">
                  <c:v>1.5306122448979591E-2</c:v>
                </c:pt>
                <c:pt idx="423">
                  <c:v>2.7322404371584699E-2</c:v>
                </c:pt>
                <c:pt idx="424">
                  <c:v>1.9512195121951219E-2</c:v>
                </c:pt>
                <c:pt idx="425">
                  <c:v>2.0618556701030927E-2</c:v>
                </c:pt>
                <c:pt idx="426">
                  <c:v>2.7027027027027029E-2</c:v>
                </c:pt>
                <c:pt idx="427">
                  <c:v>4.3243243243243246E-2</c:v>
                </c:pt>
                <c:pt idx="428">
                  <c:v>2.0202020202020204E-2</c:v>
                </c:pt>
                <c:pt idx="429">
                  <c:v>1.7441860465116279E-2</c:v>
                </c:pt>
                <c:pt idx="430">
                  <c:v>1.6949152542372881E-2</c:v>
                </c:pt>
                <c:pt idx="431">
                  <c:v>1.5384615384615385E-2</c:v>
                </c:pt>
                <c:pt idx="432">
                  <c:v>1.5306122448979591E-2</c:v>
                </c:pt>
                <c:pt idx="433">
                  <c:v>1.6853932584269662E-2</c:v>
                </c:pt>
                <c:pt idx="434">
                  <c:v>2.0942408376963352E-2</c:v>
                </c:pt>
                <c:pt idx="435">
                  <c:v>2.0202020202020204E-2</c:v>
                </c:pt>
                <c:pt idx="436">
                  <c:v>2.3255813953488372E-2</c:v>
                </c:pt>
                <c:pt idx="437">
                  <c:v>1.0752688172043012E-2</c:v>
                </c:pt>
                <c:pt idx="438">
                  <c:v>1.5957446808510637E-2</c:v>
                </c:pt>
                <c:pt idx="439">
                  <c:v>2.3668639053254437E-2</c:v>
                </c:pt>
                <c:pt idx="440">
                  <c:v>4.0201005025125629E-2</c:v>
                </c:pt>
                <c:pt idx="441">
                  <c:v>1.0362694300518135E-2</c:v>
                </c:pt>
                <c:pt idx="442">
                  <c:v>5.4644808743169399E-3</c:v>
                </c:pt>
                <c:pt idx="443">
                  <c:v>2.0202020202020204E-2</c:v>
                </c:pt>
                <c:pt idx="444">
                  <c:v>2.8735632183908046E-2</c:v>
                </c:pt>
                <c:pt idx="445">
                  <c:v>4.8913043478260872E-2</c:v>
                </c:pt>
                <c:pt idx="446">
                  <c:v>3.5353535353535352E-2</c:v>
                </c:pt>
                <c:pt idx="447">
                  <c:v>4.2780748663101602E-2</c:v>
                </c:pt>
                <c:pt idx="448">
                  <c:v>1.5957446808510637E-2</c:v>
                </c:pt>
                <c:pt idx="449">
                  <c:v>1.8691588785046728E-2</c:v>
                </c:pt>
                <c:pt idx="450">
                  <c:v>2.2857142857142857E-2</c:v>
                </c:pt>
                <c:pt idx="451">
                  <c:v>1.6216216216216217E-2</c:v>
                </c:pt>
                <c:pt idx="452">
                  <c:v>1.0752688172043012E-2</c:v>
                </c:pt>
                <c:pt idx="453">
                  <c:v>2.2857142857142857E-2</c:v>
                </c:pt>
                <c:pt idx="454">
                  <c:v>3.4313725490196081E-2</c:v>
                </c:pt>
                <c:pt idx="455">
                  <c:v>3.7433155080213901E-2</c:v>
                </c:pt>
                <c:pt idx="456">
                  <c:v>1.8518518518518517E-2</c:v>
                </c:pt>
                <c:pt idx="457">
                  <c:v>2.7777777777777776E-2</c:v>
                </c:pt>
                <c:pt idx="458">
                  <c:v>5.5865921787709499E-3</c:v>
                </c:pt>
                <c:pt idx="459">
                  <c:v>1.6216216216216217E-2</c:v>
                </c:pt>
                <c:pt idx="460">
                  <c:v>9.3896713615023476E-3</c:v>
                </c:pt>
                <c:pt idx="461">
                  <c:v>1.6042780748663103E-2</c:v>
                </c:pt>
                <c:pt idx="462">
                  <c:v>2.0408163265306121E-2</c:v>
                </c:pt>
                <c:pt idx="463">
                  <c:v>1.4705882352941176E-2</c:v>
                </c:pt>
                <c:pt idx="464">
                  <c:v>3.2432432432432434E-2</c:v>
                </c:pt>
                <c:pt idx="465">
                  <c:v>3.0612244897959183E-2</c:v>
                </c:pt>
                <c:pt idx="466">
                  <c:v>3.8095238095238099E-2</c:v>
                </c:pt>
                <c:pt idx="467">
                  <c:v>9.7087378640776691E-3</c:v>
                </c:pt>
                <c:pt idx="468">
                  <c:v>3.4246575342465752E-2</c:v>
                </c:pt>
                <c:pt idx="469">
                  <c:v>1.6666666666666666E-2</c:v>
                </c:pt>
                <c:pt idx="470">
                  <c:v>1.7045454545454544E-2</c:v>
                </c:pt>
                <c:pt idx="471">
                  <c:v>4.784688995215311E-2</c:v>
                </c:pt>
                <c:pt idx="472">
                  <c:v>3.015075376884422E-2</c:v>
                </c:pt>
                <c:pt idx="473">
                  <c:v>1.098901098901099E-2</c:v>
                </c:pt>
                <c:pt idx="474">
                  <c:v>2.7472527472527472E-2</c:v>
                </c:pt>
                <c:pt idx="475">
                  <c:v>0</c:v>
                </c:pt>
                <c:pt idx="476">
                  <c:v>2.0408163265306121E-2</c:v>
                </c:pt>
                <c:pt idx="477">
                  <c:v>2.4630541871921183E-2</c:v>
                </c:pt>
                <c:pt idx="478">
                  <c:v>4.3902439024390241E-2</c:v>
                </c:pt>
                <c:pt idx="479">
                  <c:v>2.1052631578947368E-2</c:v>
                </c:pt>
                <c:pt idx="480">
                  <c:v>2.4691358024691357E-2</c:v>
                </c:pt>
                <c:pt idx="481">
                  <c:v>3.6649214659685861E-2</c:v>
                </c:pt>
                <c:pt idx="482">
                  <c:v>2.1390374331550801E-2</c:v>
                </c:pt>
                <c:pt idx="483">
                  <c:v>2.5380710659898477E-2</c:v>
                </c:pt>
                <c:pt idx="484">
                  <c:v>3.2432432432432434E-2</c:v>
                </c:pt>
                <c:pt idx="485">
                  <c:v>5.7803468208092483E-3</c:v>
                </c:pt>
                <c:pt idx="486">
                  <c:v>1.1363636363636364E-2</c:v>
                </c:pt>
                <c:pt idx="487">
                  <c:v>1.092896174863388E-2</c:v>
                </c:pt>
                <c:pt idx="488">
                  <c:v>1.8867924528301886E-2</c:v>
                </c:pt>
                <c:pt idx="489">
                  <c:v>3.2967032967032968E-2</c:v>
                </c:pt>
                <c:pt idx="490">
                  <c:v>2.564102564102564E-2</c:v>
                </c:pt>
                <c:pt idx="491">
                  <c:v>2.2857142857142857E-2</c:v>
                </c:pt>
                <c:pt idx="492">
                  <c:v>1.1111111111111112E-2</c:v>
                </c:pt>
                <c:pt idx="493">
                  <c:v>1.8264840182648401E-2</c:v>
                </c:pt>
                <c:pt idx="494">
                  <c:v>2.9850746268656716E-2</c:v>
                </c:pt>
                <c:pt idx="495">
                  <c:v>3.7234042553191488E-2</c:v>
                </c:pt>
                <c:pt idx="496">
                  <c:v>1.1976047904191617E-2</c:v>
                </c:pt>
                <c:pt idx="497">
                  <c:v>1.1627906976744186E-2</c:v>
                </c:pt>
                <c:pt idx="498">
                  <c:v>3.125E-2</c:v>
                </c:pt>
                <c:pt idx="499">
                  <c:v>3.5353535353535352E-2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9C-4877-96BC-48E483B37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853568"/>
        <c:axId val="680847664"/>
      </c:scatterChart>
      <c:valAx>
        <c:axId val="68085356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847664"/>
        <c:crosses val="autoZero"/>
        <c:crossBetween val="midCat"/>
      </c:valAx>
      <c:valAx>
        <c:axId val="68084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853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'Scenario Visualization'!$H$2:$I$2</c:f>
              <c:strCache>
                <c:ptCount val="1"/>
                <c:pt idx="0">
                  <c:v>% Unaware Pregancies Exposed to Alcohol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'Scenario Visualization'!$H$4:$H$503</c:f>
              <c:numCache>
                <c:formatCode>0%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0.25</c:v>
                </c:pt>
                <c:pt idx="101">
                  <c:v>0.25</c:v>
                </c:pt>
                <c:pt idx="102">
                  <c:v>0.25</c:v>
                </c:pt>
                <c:pt idx="103">
                  <c:v>0.25</c:v>
                </c:pt>
                <c:pt idx="104">
                  <c:v>0.25</c:v>
                </c:pt>
                <c:pt idx="105">
                  <c:v>0.25</c:v>
                </c:pt>
                <c:pt idx="106">
                  <c:v>0.25</c:v>
                </c:pt>
                <c:pt idx="107">
                  <c:v>0.25</c:v>
                </c:pt>
                <c:pt idx="108">
                  <c:v>0.25</c:v>
                </c:pt>
                <c:pt idx="109">
                  <c:v>0.25</c:v>
                </c:pt>
                <c:pt idx="110">
                  <c:v>0.25</c:v>
                </c:pt>
                <c:pt idx="111">
                  <c:v>0.25</c:v>
                </c:pt>
                <c:pt idx="112">
                  <c:v>0.25</c:v>
                </c:pt>
                <c:pt idx="113">
                  <c:v>0.25</c:v>
                </c:pt>
                <c:pt idx="114">
                  <c:v>0.25</c:v>
                </c:pt>
                <c:pt idx="115">
                  <c:v>0.25</c:v>
                </c:pt>
                <c:pt idx="116">
                  <c:v>0.25</c:v>
                </c:pt>
                <c:pt idx="117">
                  <c:v>0.25</c:v>
                </c:pt>
                <c:pt idx="118">
                  <c:v>0.25</c:v>
                </c:pt>
                <c:pt idx="119">
                  <c:v>0.25</c:v>
                </c:pt>
                <c:pt idx="120">
                  <c:v>0.25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0.25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0.25</c:v>
                </c:pt>
                <c:pt idx="131">
                  <c:v>0.25</c:v>
                </c:pt>
                <c:pt idx="132">
                  <c:v>0.25</c:v>
                </c:pt>
                <c:pt idx="133">
                  <c:v>0.25</c:v>
                </c:pt>
                <c:pt idx="134">
                  <c:v>0.25</c:v>
                </c:pt>
                <c:pt idx="135">
                  <c:v>0.25</c:v>
                </c:pt>
                <c:pt idx="136">
                  <c:v>0.25</c:v>
                </c:pt>
                <c:pt idx="137">
                  <c:v>0.25</c:v>
                </c:pt>
                <c:pt idx="138">
                  <c:v>0.25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  <c:pt idx="158">
                  <c:v>0.25</c:v>
                </c:pt>
                <c:pt idx="159">
                  <c:v>0.25</c:v>
                </c:pt>
                <c:pt idx="160">
                  <c:v>0.25</c:v>
                </c:pt>
                <c:pt idx="161">
                  <c:v>0.25</c:v>
                </c:pt>
                <c:pt idx="162">
                  <c:v>0.25</c:v>
                </c:pt>
                <c:pt idx="163">
                  <c:v>0.25</c:v>
                </c:pt>
                <c:pt idx="164">
                  <c:v>0.25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0.25</c:v>
                </c:pt>
                <c:pt idx="172">
                  <c:v>0.25</c:v>
                </c:pt>
                <c:pt idx="173">
                  <c:v>0.25</c:v>
                </c:pt>
                <c:pt idx="174">
                  <c:v>0.25</c:v>
                </c:pt>
                <c:pt idx="175">
                  <c:v>0.25</c:v>
                </c:pt>
                <c:pt idx="176">
                  <c:v>0.25</c:v>
                </c:pt>
                <c:pt idx="177">
                  <c:v>0.25</c:v>
                </c:pt>
                <c:pt idx="178">
                  <c:v>0.25</c:v>
                </c:pt>
                <c:pt idx="179">
                  <c:v>0.25</c:v>
                </c:pt>
                <c:pt idx="180">
                  <c:v>0.25</c:v>
                </c:pt>
                <c:pt idx="181">
                  <c:v>0.25</c:v>
                </c:pt>
                <c:pt idx="182">
                  <c:v>0.25</c:v>
                </c:pt>
                <c:pt idx="183">
                  <c:v>0.25</c:v>
                </c:pt>
                <c:pt idx="184">
                  <c:v>0.25</c:v>
                </c:pt>
                <c:pt idx="185">
                  <c:v>0.25</c:v>
                </c:pt>
                <c:pt idx="186">
                  <c:v>0.25</c:v>
                </c:pt>
                <c:pt idx="187">
                  <c:v>0.25</c:v>
                </c:pt>
                <c:pt idx="188">
                  <c:v>0.25</c:v>
                </c:pt>
                <c:pt idx="189">
                  <c:v>0.25</c:v>
                </c:pt>
                <c:pt idx="190">
                  <c:v>0.25</c:v>
                </c:pt>
                <c:pt idx="191">
                  <c:v>0.25</c:v>
                </c:pt>
                <c:pt idx="192">
                  <c:v>0.25</c:v>
                </c:pt>
                <c:pt idx="193">
                  <c:v>0.25</c:v>
                </c:pt>
                <c:pt idx="194">
                  <c:v>0.25</c:v>
                </c:pt>
                <c:pt idx="195">
                  <c:v>0.25</c:v>
                </c:pt>
                <c:pt idx="196">
                  <c:v>0.25</c:v>
                </c:pt>
                <c:pt idx="197">
                  <c:v>0.25</c:v>
                </c:pt>
                <c:pt idx="198">
                  <c:v>0.25</c:v>
                </c:pt>
                <c:pt idx="199">
                  <c:v>0.25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0.75</c:v>
                </c:pt>
                <c:pt idx="301">
                  <c:v>0.75</c:v>
                </c:pt>
                <c:pt idx="302">
                  <c:v>0.75</c:v>
                </c:pt>
                <c:pt idx="303">
                  <c:v>0.75</c:v>
                </c:pt>
                <c:pt idx="304">
                  <c:v>0.75</c:v>
                </c:pt>
                <c:pt idx="305">
                  <c:v>0.75</c:v>
                </c:pt>
                <c:pt idx="306">
                  <c:v>0.75</c:v>
                </c:pt>
                <c:pt idx="307">
                  <c:v>0.75</c:v>
                </c:pt>
                <c:pt idx="308">
                  <c:v>0.75</c:v>
                </c:pt>
                <c:pt idx="309">
                  <c:v>0.75</c:v>
                </c:pt>
                <c:pt idx="310">
                  <c:v>0.75</c:v>
                </c:pt>
                <c:pt idx="311">
                  <c:v>0.75</c:v>
                </c:pt>
                <c:pt idx="312">
                  <c:v>0.75</c:v>
                </c:pt>
                <c:pt idx="313">
                  <c:v>0.75</c:v>
                </c:pt>
                <c:pt idx="314">
                  <c:v>0.75</c:v>
                </c:pt>
                <c:pt idx="315">
                  <c:v>0.75</c:v>
                </c:pt>
                <c:pt idx="316">
                  <c:v>0.75</c:v>
                </c:pt>
                <c:pt idx="317">
                  <c:v>0.75</c:v>
                </c:pt>
                <c:pt idx="318">
                  <c:v>0.75</c:v>
                </c:pt>
                <c:pt idx="319">
                  <c:v>0.75</c:v>
                </c:pt>
                <c:pt idx="320">
                  <c:v>0.75</c:v>
                </c:pt>
                <c:pt idx="321">
                  <c:v>0.75</c:v>
                </c:pt>
                <c:pt idx="322">
                  <c:v>0.75</c:v>
                </c:pt>
                <c:pt idx="323">
                  <c:v>0.75</c:v>
                </c:pt>
                <c:pt idx="324">
                  <c:v>0.75</c:v>
                </c:pt>
                <c:pt idx="325">
                  <c:v>0.75</c:v>
                </c:pt>
                <c:pt idx="326">
                  <c:v>0.75</c:v>
                </c:pt>
                <c:pt idx="327">
                  <c:v>0.75</c:v>
                </c:pt>
                <c:pt idx="328">
                  <c:v>0.75</c:v>
                </c:pt>
                <c:pt idx="329">
                  <c:v>0.75</c:v>
                </c:pt>
                <c:pt idx="330">
                  <c:v>0.75</c:v>
                </c:pt>
                <c:pt idx="331">
                  <c:v>0.75</c:v>
                </c:pt>
                <c:pt idx="332">
                  <c:v>0.75</c:v>
                </c:pt>
                <c:pt idx="333">
                  <c:v>0.75</c:v>
                </c:pt>
                <c:pt idx="334">
                  <c:v>0.75</c:v>
                </c:pt>
                <c:pt idx="335">
                  <c:v>0.75</c:v>
                </c:pt>
                <c:pt idx="336">
                  <c:v>0.75</c:v>
                </c:pt>
                <c:pt idx="337">
                  <c:v>0.75</c:v>
                </c:pt>
                <c:pt idx="338">
                  <c:v>0.75</c:v>
                </c:pt>
                <c:pt idx="339">
                  <c:v>0.75</c:v>
                </c:pt>
                <c:pt idx="340">
                  <c:v>0.75</c:v>
                </c:pt>
                <c:pt idx="341">
                  <c:v>0.75</c:v>
                </c:pt>
                <c:pt idx="342">
                  <c:v>0.75</c:v>
                </c:pt>
                <c:pt idx="343">
                  <c:v>0.75</c:v>
                </c:pt>
                <c:pt idx="344">
                  <c:v>0.75</c:v>
                </c:pt>
                <c:pt idx="345">
                  <c:v>0.75</c:v>
                </c:pt>
                <c:pt idx="346">
                  <c:v>0.75</c:v>
                </c:pt>
                <c:pt idx="347">
                  <c:v>0.75</c:v>
                </c:pt>
                <c:pt idx="348">
                  <c:v>0.75</c:v>
                </c:pt>
                <c:pt idx="349">
                  <c:v>0.75</c:v>
                </c:pt>
                <c:pt idx="350">
                  <c:v>0.75</c:v>
                </c:pt>
                <c:pt idx="351">
                  <c:v>0.75</c:v>
                </c:pt>
                <c:pt idx="352">
                  <c:v>0.75</c:v>
                </c:pt>
                <c:pt idx="353">
                  <c:v>0.75</c:v>
                </c:pt>
                <c:pt idx="354">
                  <c:v>0.75</c:v>
                </c:pt>
                <c:pt idx="355">
                  <c:v>0.75</c:v>
                </c:pt>
                <c:pt idx="356">
                  <c:v>0.75</c:v>
                </c:pt>
                <c:pt idx="357">
                  <c:v>0.75</c:v>
                </c:pt>
                <c:pt idx="358">
                  <c:v>0.75</c:v>
                </c:pt>
                <c:pt idx="359">
                  <c:v>0.75</c:v>
                </c:pt>
                <c:pt idx="360">
                  <c:v>0.75</c:v>
                </c:pt>
                <c:pt idx="361">
                  <c:v>0.75</c:v>
                </c:pt>
                <c:pt idx="362">
                  <c:v>0.75</c:v>
                </c:pt>
                <c:pt idx="363">
                  <c:v>0.75</c:v>
                </c:pt>
                <c:pt idx="364">
                  <c:v>0.75</c:v>
                </c:pt>
                <c:pt idx="365">
                  <c:v>0.75</c:v>
                </c:pt>
                <c:pt idx="366">
                  <c:v>0.75</c:v>
                </c:pt>
                <c:pt idx="367">
                  <c:v>0.75</c:v>
                </c:pt>
                <c:pt idx="368">
                  <c:v>0.75</c:v>
                </c:pt>
                <c:pt idx="369">
                  <c:v>0.75</c:v>
                </c:pt>
                <c:pt idx="370">
                  <c:v>0.75</c:v>
                </c:pt>
                <c:pt idx="371">
                  <c:v>0.75</c:v>
                </c:pt>
                <c:pt idx="372">
                  <c:v>0.75</c:v>
                </c:pt>
                <c:pt idx="373">
                  <c:v>0.75</c:v>
                </c:pt>
                <c:pt idx="374">
                  <c:v>0.75</c:v>
                </c:pt>
                <c:pt idx="375">
                  <c:v>0.75</c:v>
                </c:pt>
                <c:pt idx="376">
                  <c:v>0.75</c:v>
                </c:pt>
                <c:pt idx="377">
                  <c:v>0.75</c:v>
                </c:pt>
                <c:pt idx="378">
                  <c:v>0.75</c:v>
                </c:pt>
                <c:pt idx="379">
                  <c:v>0.75</c:v>
                </c:pt>
                <c:pt idx="380">
                  <c:v>0.75</c:v>
                </c:pt>
                <c:pt idx="381">
                  <c:v>0.75</c:v>
                </c:pt>
                <c:pt idx="382">
                  <c:v>0.75</c:v>
                </c:pt>
                <c:pt idx="383">
                  <c:v>0.75</c:v>
                </c:pt>
                <c:pt idx="384">
                  <c:v>0.75</c:v>
                </c:pt>
                <c:pt idx="385">
                  <c:v>0.75</c:v>
                </c:pt>
                <c:pt idx="386">
                  <c:v>0.75</c:v>
                </c:pt>
                <c:pt idx="387">
                  <c:v>0.75</c:v>
                </c:pt>
                <c:pt idx="388">
                  <c:v>0.75</c:v>
                </c:pt>
                <c:pt idx="389">
                  <c:v>0.75</c:v>
                </c:pt>
                <c:pt idx="390">
                  <c:v>0.75</c:v>
                </c:pt>
                <c:pt idx="391">
                  <c:v>0.75</c:v>
                </c:pt>
                <c:pt idx="392">
                  <c:v>0.75</c:v>
                </c:pt>
                <c:pt idx="393">
                  <c:v>0.75</c:v>
                </c:pt>
                <c:pt idx="394">
                  <c:v>0.75</c:v>
                </c:pt>
                <c:pt idx="395">
                  <c:v>0.75</c:v>
                </c:pt>
                <c:pt idx="396">
                  <c:v>0.75</c:v>
                </c:pt>
                <c:pt idx="397">
                  <c:v>0.75</c:v>
                </c:pt>
                <c:pt idx="398">
                  <c:v>0.75</c:v>
                </c:pt>
                <c:pt idx="399">
                  <c:v>0.75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</c:numCache>
            </c:numRef>
          </c:xVal>
          <c:yVal>
            <c:numRef>
              <c:f>'Scenario Visualization'!$I$4:$I$503</c:f>
              <c:numCache>
                <c:formatCode>0.0%</c:formatCode>
                <c:ptCount val="500"/>
                <c:pt idx="0">
                  <c:v>0.625</c:v>
                </c:pt>
                <c:pt idx="1">
                  <c:v>0.63636363636363635</c:v>
                </c:pt>
                <c:pt idx="2">
                  <c:v>0.6</c:v>
                </c:pt>
                <c:pt idx="3">
                  <c:v>0.66666666666666663</c:v>
                </c:pt>
                <c:pt idx="4">
                  <c:v>0.7142857142857143</c:v>
                </c:pt>
                <c:pt idx="5">
                  <c:v>0.5</c:v>
                </c:pt>
                <c:pt idx="6">
                  <c:v>0.7142857142857143</c:v>
                </c:pt>
                <c:pt idx="7">
                  <c:v>0.58823529411764708</c:v>
                </c:pt>
                <c:pt idx="8">
                  <c:v>0.55555555555555558</c:v>
                </c:pt>
                <c:pt idx="9">
                  <c:v>0.63636363636363635</c:v>
                </c:pt>
                <c:pt idx="10">
                  <c:v>0.6</c:v>
                </c:pt>
                <c:pt idx="11">
                  <c:v>1</c:v>
                </c:pt>
                <c:pt idx="12">
                  <c:v>0.66666666666666663</c:v>
                </c:pt>
                <c:pt idx="13">
                  <c:v>0.25</c:v>
                </c:pt>
                <c:pt idx="14">
                  <c:v>0.5</c:v>
                </c:pt>
                <c:pt idx="15">
                  <c:v>0.8</c:v>
                </c:pt>
                <c:pt idx="16">
                  <c:v>0.83333333333333337</c:v>
                </c:pt>
                <c:pt idx="17">
                  <c:v>0.66666666666666663</c:v>
                </c:pt>
                <c:pt idx="18">
                  <c:v>0.5</c:v>
                </c:pt>
                <c:pt idx="19">
                  <c:v>0.66666666666666663</c:v>
                </c:pt>
                <c:pt idx="20">
                  <c:v>0.7142857142857143</c:v>
                </c:pt>
                <c:pt idx="21">
                  <c:v>0.5</c:v>
                </c:pt>
                <c:pt idx="22">
                  <c:v>0.8</c:v>
                </c:pt>
                <c:pt idx="23">
                  <c:v>0.375</c:v>
                </c:pt>
                <c:pt idx="24">
                  <c:v>0.75</c:v>
                </c:pt>
                <c:pt idx="25">
                  <c:v>0.58333333333333337</c:v>
                </c:pt>
                <c:pt idx="26">
                  <c:v>0.7</c:v>
                </c:pt>
                <c:pt idx="27">
                  <c:v>0.66666666666666663</c:v>
                </c:pt>
                <c:pt idx="28">
                  <c:v>0.63636363636363635</c:v>
                </c:pt>
                <c:pt idx="29">
                  <c:v>0.7</c:v>
                </c:pt>
                <c:pt idx="30">
                  <c:v>1</c:v>
                </c:pt>
                <c:pt idx="31">
                  <c:v>0.6</c:v>
                </c:pt>
                <c:pt idx="32">
                  <c:v>0.625</c:v>
                </c:pt>
                <c:pt idx="33">
                  <c:v>0.33333333333333331</c:v>
                </c:pt>
                <c:pt idx="34">
                  <c:v>0.7</c:v>
                </c:pt>
                <c:pt idx="35">
                  <c:v>0.5</c:v>
                </c:pt>
                <c:pt idx="36">
                  <c:v>0.5</c:v>
                </c:pt>
                <c:pt idx="37">
                  <c:v>0.8</c:v>
                </c:pt>
                <c:pt idx="38">
                  <c:v>0.6875</c:v>
                </c:pt>
                <c:pt idx="39">
                  <c:v>0.14285714285714285</c:v>
                </c:pt>
                <c:pt idx="40">
                  <c:v>0.66666666666666663</c:v>
                </c:pt>
                <c:pt idx="41">
                  <c:v>0.5714285714285714</c:v>
                </c:pt>
                <c:pt idx="42">
                  <c:v>0.7142857142857143</c:v>
                </c:pt>
                <c:pt idx="43">
                  <c:v>0.66666666666666663</c:v>
                </c:pt>
                <c:pt idx="44">
                  <c:v>0.22222222222222221</c:v>
                </c:pt>
                <c:pt idx="45">
                  <c:v>0.66666666666666663</c:v>
                </c:pt>
                <c:pt idx="46">
                  <c:v>0.625</c:v>
                </c:pt>
                <c:pt idx="47">
                  <c:v>0.5714285714285714</c:v>
                </c:pt>
                <c:pt idx="48">
                  <c:v>0.7142857142857143</c:v>
                </c:pt>
                <c:pt idx="49">
                  <c:v>0.66666666666666663</c:v>
                </c:pt>
                <c:pt idx="50">
                  <c:v>0.625</c:v>
                </c:pt>
                <c:pt idx="51">
                  <c:v>0.625</c:v>
                </c:pt>
                <c:pt idx="52">
                  <c:v>0.625</c:v>
                </c:pt>
                <c:pt idx="53">
                  <c:v>0.8</c:v>
                </c:pt>
                <c:pt idx="54">
                  <c:v>0.66666666666666663</c:v>
                </c:pt>
                <c:pt idx="55">
                  <c:v>0.54545454545454541</c:v>
                </c:pt>
                <c:pt idx="56">
                  <c:v>0.66666666666666663</c:v>
                </c:pt>
                <c:pt idx="57">
                  <c:v>0.75</c:v>
                </c:pt>
                <c:pt idx="58">
                  <c:v>0.66666666666666663</c:v>
                </c:pt>
                <c:pt idx="59">
                  <c:v>0.6</c:v>
                </c:pt>
                <c:pt idx="60">
                  <c:v>0.5</c:v>
                </c:pt>
                <c:pt idx="61">
                  <c:v>0.42857142857142855</c:v>
                </c:pt>
                <c:pt idx="62">
                  <c:v>1</c:v>
                </c:pt>
                <c:pt idx="63">
                  <c:v>0.42857142857142855</c:v>
                </c:pt>
                <c:pt idx="64">
                  <c:v>0.5</c:v>
                </c:pt>
                <c:pt idx="65">
                  <c:v>0.5</c:v>
                </c:pt>
                <c:pt idx="66">
                  <c:v>0.46153846153846156</c:v>
                </c:pt>
                <c:pt idx="67">
                  <c:v>0.16666666666666666</c:v>
                </c:pt>
                <c:pt idx="68">
                  <c:v>0.6</c:v>
                </c:pt>
                <c:pt idx="69">
                  <c:v>0.36363636363636365</c:v>
                </c:pt>
                <c:pt idx="70">
                  <c:v>0.58333333333333337</c:v>
                </c:pt>
                <c:pt idx="71">
                  <c:v>0.4375</c:v>
                </c:pt>
                <c:pt idx="72">
                  <c:v>0.5714285714285714</c:v>
                </c:pt>
                <c:pt idx="73">
                  <c:v>0.625</c:v>
                </c:pt>
                <c:pt idx="74">
                  <c:v>0.375</c:v>
                </c:pt>
                <c:pt idx="75">
                  <c:v>0.5714285714285714</c:v>
                </c:pt>
                <c:pt idx="76">
                  <c:v>0.84615384615384615</c:v>
                </c:pt>
                <c:pt idx="77">
                  <c:v>0.66666666666666663</c:v>
                </c:pt>
                <c:pt idx="78">
                  <c:v>0.5</c:v>
                </c:pt>
                <c:pt idx="79">
                  <c:v>0.375</c:v>
                </c:pt>
                <c:pt idx="80">
                  <c:v>0.625</c:v>
                </c:pt>
                <c:pt idx="81">
                  <c:v>0.75</c:v>
                </c:pt>
                <c:pt idx="82">
                  <c:v>0.6875</c:v>
                </c:pt>
                <c:pt idx="83">
                  <c:v>0.41666666666666669</c:v>
                </c:pt>
                <c:pt idx="84">
                  <c:v>0.77777777777777779</c:v>
                </c:pt>
                <c:pt idx="85">
                  <c:v>1</c:v>
                </c:pt>
                <c:pt idx="86">
                  <c:v>0.75</c:v>
                </c:pt>
                <c:pt idx="87">
                  <c:v>0.7142857142857143</c:v>
                </c:pt>
                <c:pt idx="88">
                  <c:v>0.8571428571428571</c:v>
                </c:pt>
                <c:pt idx="89">
                  <c:v>0.44444444444444442</c:v>
                </c:pt>
                <c:pt idx="90">
                  <c:v>0.45454545454545453</c:v>
                </c:pt>
                <c:pt idx="91">
                  <c:v>0.625</c:v>
                </c:pt>
                <c:pt idx="92">
                  <c:v>0.875</c:v>
                </c:pt>
                <c:pt idx="93">
                  <c:v>0.7142857142857143</c:v>
                </c:pt>
                <c:pt idx="94">
                  <c:v>0.8</c:v>
                </c:pt>
                <c:pt idx="95">
                  <c:v>0.66666666666666663</c:v>
                </c:pt>
                <c:pt idx="96">
                  <c:v>0.4</c:v>
                </c:pt>
                <c:pt idx="97">
                  <c:v>0.75</c:v>
                </c:pt>
                <c:pt idx="98">
                  <c:v>0.77777777777777779</c:v>
                </c:pt>
                <c:pt idx="99">
                  <c:v>0.46666666666666667</c:v>
                </c:pt>
                <c:pt idx="100">
                  <c:v>0.55555555555555558</c:v>
                </c:pt>
                <c:pt idx="101">
                  <c:v>0.7</c:v>
                </c:pt>
                <c:pt idx="102">
                  <c:v>0.7142857142857143</c:v>
                </c:pt>
                <c:pt idx="103">
                  <c:v>0.5</c:v>
                </c:pt>
                <c:pt idx="104">
                  <c:v>0.66666666666666663</c:v>
                </c:pt>
                <c:pt idx="105">
                  <c:v>0.5</c:v>
                </c:pt>
                <c:pt idx="106">
                  <c:v>0.7142857142857143</c:v>
                </c:pt>
                <c:pt idx="107">
                  <c:v>0.5625</c:v>
                </c:pt>
                <c:pt idx="108">
                  <c:v>0.5</c:v>
                </c:pt>
                <c:pt idx="109">
                  <c:v>0.54545454545454541</c:v>
                </c:pt>
                <c:pt idx="110">
                  <c:v>0.5</c:v>
                </c:pt>
                <c:pt idx="111">
                  <c:v>1</c:v>
                </c:pt>
                <c:pt idx="112">
                  <c:v>0.66666666666666663</c:v>
                </c:pt>
                <c:pt idx="113">
                  <c:v>0.25</c:v>
                </c:pt>
                <c:pt idx="114">
                  <c:v>0.5</c:v>
                </c:pt>
                <c:pt idx="115">
                  <c:v>0.6</c:v>
                </c:pt>
                <c:pt idx="116">
                  <c:v>0.72727272727272729</c:v>
                </c:pt>
                <c:pt idx="117">
                  <c:v>0.5</c:v>
                </c:pt>
                <c:pt idx="118">
                  <c:v>0.41666666666666669</c:v>
                </c:pt>
                <c:pt idx="119">
                  <c:v>0.5</c:v>
                </c:pt>
                <c:pt idx="120">
                  <c:v>0.7142857142857143</c:v>
                </c:pt>
                <c:pt idx="121">
                  <c:v>0.5</c:v>
                </c:pt>
                <c:pt idx="122">
                  <c:v>0.6</c:v>
                </c:pt>
                <c:pt idx="123">
                  <c:v>0.22222222222222221</c:v>
                </c:pt>
                <c:pt idx="124">
                  <c:v>0.75</c:v>
                </c:pt>
                <c:pt idx="125">
                  <c:v>0.5714285714285714</c:v>
                </c:pt>
                <c:pt idx="126">
                  <c:v>0.6</c:v>
                </c:pt>
                <c:pt idx="127">
                  <c:v>0.66666666666666663</c:v>
                </c:pt>
                <c:pt idx="128">
                  <c:v>0.53846153846153844</c:v>
                </c:pt>
                <c:pt idx="129">
                  <c:v>0.44444444444444442</c:v>
                </c:pt>
                <c:pt idx="130">
                  <c:v>0.5</c:v>
                </c:pt>
                <c:pt idx="131">
                  <c:v>0.45454545454545453</c:v>
                </c:pt>
                <c:pt idx="132">
                  <c:v>0.2857142857142857</c:v>
                </c:pt>
                <c:pt idx="133">
                  <c:v>0.33333333333333331</c:v>
                </c:pt>
                <c:pt idx="134">
                  <c:v>0.72727272727272729</c:v>
                </c:pt>
                <c:pt idx="135">
                  <c:v>0.4</c:v>
                </c:pt>
                <c:pt idx="136">
                  <c:v>0</c:v>
                </c:pt>
                <c:pt idx="137">
                  <c:v>0.7</c:v>
                </c:pt>
                <c:pt idx="138">
                  <c:v>0.66666666666666663</c:v>
                </c:pt>
                <c:pt idx="139">
                  <c:v>0.14285714285714285</c:v>
                </c:pt>
                <c:pt idx="140">
                  <c:v>0.66666666666666663</c:v>
                </c:pt>
                <c:pt idx="141">
                  <c:v>0.5714285714285714</c:v>
                </c:pt>
                <c:pt idx="142">
                  <c:v>0.8571428571428571</c:v>
                </c:pt>
                <c:pt idx="143">
                  <c:v>0.75</c:v>
                </c:pt>
                <c:pt idx="144">
                  <c:v>0.1111111111111111</c:v>
                </c:pt>
                <c:pt idx="145">
                  <c:v>0.66666666666666663</c:v>
                </c:pt>
                <c:pt idx="146">
                  <c:v>0.5</c:v>
                </c:pt>
                <c:pt idx="147">
                  <c:v>0.5714285714285714</c:v>
                </c:pt>
                <c:pt idx="148">
                  <c:v>0.66666666666666663</c:v>
                </c:pt>
                <c:pt idx="149">
                  <c:v>0.66666666666666663</c:v>
                </c:pt>
                <c:pt idx="150">
                  <c:v>0.42857142857142855</c:v>
                </c:pt>
                <c:pt idx="151">
                  <c:v>0.375</c:v>
                </c:pt>
                <c:pt idx="152">
                  <c:v>0.5</c:v>
                </c:pt>
                <c:pt idx="153">
                  <c:v>0.77777777777777779</c:v>
                </c:pt>
                <c:pt idx="154">
                  <c:v>0.625</c:v>
                </c:pt>
                <c:pt idx="155">
                  <c:v>0.4</c:v>
                </c:pt>
                <c:pt idx="156">
                  <c:v>0.5714285714285714</c:v>
                </c:pt>
                <c:pt idx="157">
                  <c:v>0.75</c:v>
                </c:pt>
                <c:pt idx="158">
                  <c:v>0.6</c:v>
                </c:pt>
                <c:pt idx="159">
                  <c:v>0.55555555555555558</c:v>
                </c:pt>
                <c:pt idx="160">
                  <c:v>0.42857142857142855</c:v>
                </c:pt>
                <c:pt idx="161">
                  <c:v>0.5</c:v>
                </c:pt>
                <c:pt idx="162">
                  <c:v>1</c:v>
                </c:pt>
                <c:pt idx="163">
                  <c:v>0.375</c:v>
                </c:pt>
                <c:pt idx="164">
                  <c:v>0.5714285714285714</c:v>
                </c:pt>
                <c:pt idx="165">
                  <c:v>0.46153846153846156</c:v>
                </c:pt>
                <c:pt idx="166">
                  <c:v>0.5</c:v>
                </c:pt>
                <c:pt idx="167">
                  <c:v>0.16666666666666666</c:v>
                </c:pt>
                <c:pt idx="168">
                  <c:v>0.5</c:v>
                </c:pt>
                <c:pt idx="169">
                  <c:v>0.44444444444444442</c:v>
                </c:pt>
                <c:pt idx="170">
                  <c:v>0.6</c:v>
                </c:pt>
                <c:pt idx="171">
                  <c:v>0.33333333333333331</c:v>
                </c:pt>
                <c:pt idx="172">
                  <c:v>0.44444444444444442</c:v>
                </c:pt>
                <c:pt idx="173">
                  <c:v>0.55555555555555558</c:v>
                </c:pt>
                <c:pt idx="174">
                  <c:v>0.2</c:v>
                </c:pt>
                <c:pt idx="175">
                  <c:v>0.5</c:v>
                </c:pt>
                <c:pt idx="176">
                  <c:v>0.7142857142857143</c:v>
                </c:pt>
                <c:pt idx="177">
                  <c:v>0.6</c:v>
                </c:pt>
                <c:pt idx="178">
                  <c:v>0.55555555555555558</c:v>
                </c:pt>
                <c:pt idx="179">
                  <c:v>0.33333333333333331</c:v>
                </c:pt>
                <c:pt idx="180">
                  <c:v>0.45454545454545453</c:v>
                </c:pt>
                <c:pt idx="181">
                  <c:v>0.55555555555555558</c:v>
                </c:pt>
                <c:pt idx="182">
                  <c:v>0.53333333333333333</c:v>
                </c:pt>
                <c:pt idx="183">
                  <c:v>0.2857142857142857</c:v>
                </c:pt>
                <c:pt idx="184">
                  <c:v>0.8</c:v>
                </c:pt>
                <c:pt idx="185">
                  <c:v>0.8571428571428571</c:v>
                </c:pt>
                <c:pt idx="186">
                  <c:v>0.75</c:v>
                </c:pt>
                <c:pt idx="187">
                  <c:v>0.625</c:v>
                </c:pt>
                <c:pt idx="188">
                  <c:v>0.76923076923076927</c:v>
                </c:pt>
                <c:pt idx="189">
                  <c:v>0.44444444444444442</c:v>
                </c:pt>
                <c:pt idx="190">
                  <c:v>0.5</c:v>
                </c:pt>
                <c:pt idx="191">
                  <c:v>0.625</c:v>
                </c:pt>
                <c:pt idx="192">
                  <c:v>0.625</c:v>
                </c:pt>
                <c:pt idx="193">
                  <c:v>0.75</c:v>
                </c:pt>
                <c:pt idx="194">
                  <c:v>0.66666666666666663</c:v>
                </c:pt>
                <c:pt idx="195">
                  <c:v>0.44444444444444442</c:v>
                </c:pt>
                <c:pt idx="196">
                  <c:v>0.33333333333333331</c:v>
                </c:pt>
                <c:pt idx="197">
                  <c:v>0.625</c:v>
                </c:pt>
                <c:pt idx="198">
                  <c:v>0.75</c:v>
                </c:pt>
                <c:pt idx="199">
                  <c:v>0.4375</c:v>
                </c:pt>
                <c:pt idx="200">
                  <c:v>0.625</c:v>
                </c:pt>
                <c:pt idx="201">
                  <c:v>0.7</c:v>
                </c:pt>
                <c:pt idx="202">
                  <c:v>0.7142857142857143</c:v>
                </c:pt>
                <c:pt idx="203">
                  <c:v>0.53333333333333333</c:v>
                </c:pt>
                <c:pt idx="204">
                  <c:v>0.75</c:v>
                </c:pt>
                <c:pt idx="205">
                  <c:v>0.2857142857142857</c:v>
                </c:pt>
                <c:pt idx="206">
                  <c:v>0.42857142857142855</c:v>
                </c:pt>
                <c:pt idx="207">
                  <c:v>0.52941176470588236</c:v>
                </c:pt>
                <c:pt idx="208">
                  <c:v>0.45454545454545453</c:v>
                </c:pt>
                <c:pt idx="209">
                  <c:v>0.5</c:v>
                </c:pt>
                <c:pt idx="210">
                  <c:v>0.44444444444444442</c:v>
                </c:pt>
                <c:pt idx="211">
                  <c:v>0.6</c:v>
                </c:pt>
                <c:pt idx="212">
                  <c:v>0.4</c:v>
                </c:pt>
                <c:pt idx="213">
                  <c:v>0.4</c:v>
                </c:pt>
                <c:pt idx="214">
                  <c:v>0.45454545454545453</c:v>
                </c:pt>
                <c:pt idx="215">
                  <c:v>0.54545454545454541</c:v>
                </c:pt>
                <c:pt idx="216">
                  <c:v>0.66666666666666663</c:v>
                </c:pt>
                <c:pt idx="217">
                  <c:v>0.5</c:v>
                </c:pt>
                <c:pt idx="218">
                  <c:v>0.38461538461538464</c:v>
                </c:pt>
                <c:pt idx="219">
                  <c:v>0.33333333333333331</c:v>
                </c:pt>
                <c:pt idx="220">
                  <c:v>0.625</c:v>
                </c:pt>
                <c:pt idx="221">
                  <c:v>0.4</c:v>
                </c:pt>
                <c:pt idx="222">
                  <c:v>0.55555555555555558</c:v>
                </c:pt>
                <c:pt idx="223">
                  <c:v>0.22222222222222221</c:v>
                </c:pt>
                <c:pt idx="224">
                  <c:v>0.75</c:v>
                </c:pt>
                <c:pt idx="225">
                  <c:v>0.25</c:v>
                </c:pt>
                <c:pt idx="226">
                  <c:v>0.44444444444444442</c:v>
                </c:pt>
                <c:pt idx="227">
                  <c:v>0.66666666666666663</c:v>
                </c:pt>
                <c:pt idx="228">
                  <c:v>0.53846153846153844</c:v>
                </c:pt>
                <c:pt idx="229">
                  <c:v>0.4</c:v>
                </c:pt>
                <c:pt idx="230">
                  <c:v>0.33333333333333331</c:v>
                </c:pt>
                <c:pt idx="231">
                  <c:v>0.4</c:v>
                </c:pt>
                <c:pt idx="232">
                  <c:v>0.2857142857142857</c:v>
                </c:pt>
                <c:pt idx="233">
                  <c:v>0.16666666666666666</c:v>
                </c:pt>
                <c:pt idx="234">
                  <c:v>0.54545454545454541</c:v>
                </c:pt>
                <c:pt idx="235">
                  <c:v>0.4</c:v>
                </c:pt>
                <c:pt idx="236">
                  <c:v>0</c:v>
                </c:pt>
                <c:pt idx="237">
                  <c:v>0.63636363636363635</c:v>
                </c:pt>
                <c:pt idx="238">
                  <c:v>0.66666666666666663</c:v>
                </c:pt>
                <c:pt idx="239">
                  <c:v>0.14285714285714285</c:v>
                </c:pt>
                <c:pt idx="240">
                  <c:v>0.72727272727272729</c:v>
                </c:pt>
                <c:pt idx="241">
                  <c:v>0.5</c:v>
                </c:pt>
                <c:pt idx="242">
                  <c:v>0.8571428571428571</c:v>
                </c:pt>
                <c:pt idx="243">
                  <c:v>0.44444444444444442</c:v>
                </c:pt>
                <c:pt idx="244">
                  <c:v>0.1111111111111111</c:v>
                </c:pt>
                <c:pt idx="245">
                  <c:v>0.66666666666666663</c:v>
                </c:pt>
                <c:pt idx="246">
                  <c:v>0.5</c:v>
                </c:pt>
                <c:pt idx="247">
                  <c:v>0.5714285714285714</c:v>
                </c:pt>
                <c:pt idx="248">
                  <c:v>0.66666666666666663</c:v>
                </c:pt>
                <c:pt idx="249">
                  <c:v>0.55555555555555558</c:v>
                </c:pt>
                <c:pt idx="250">
                  <c:v>0.2857142857142857</c:v>
                </c:pt>
                <c:pt idx="251">
                  <c:v>0.2</c:v>
                </c:pt>
                <c:pt idx="252">
                  <c:v>0.5</c:v>
                </c:pt>
                <c:pt idx="253">
                  <c:v>0.75</c:v>
                </c:pt>
                <c:pt idx="254">
                  <c:v>0.6</c:v>
                </c:pt>
                <c:pt idx="255">
                  <c:v>0.36363636363636365</c:v>
                </c:pt>
                <c:pt idx="256">
                  <c:v>0.5714285714285714</c:v>
                </c:pt>
                <c:pt idx="257">
                  <c:v>0.75</c:v>
                </c:pt>
                <c:pt idx="258">
                  <c:v>0.625</c:v>
                </c:pt>
                <c:pt idx="259">
                  <c:v>0.5714285714285714</c:v>
                </c:pt>
                <c:pt idx="260">
                  <c:v>0.42857142857142855</c:v>
                </c:pt>
                <c:pt idx="261">
                  <c:v>0.2857142857142857</c:v>
                </c:pt>
                <c:pt idx="262">
                  <c:v>0.5</c:v>
                </c:pt>
                <c:pt idx="263">
                  <c:v>0.4</c:v>
                </c:pt>
                <c:pt idx="264">
                  <c:v>0.44444444444444442</c:v>
                </c:pt>
                <c:pt idx="265">
                  <c:v>0.45454545454545453</c:v>
                </c:pt>
                <c:pt idx="266">
                  <c:v>0.5</c:v>
                </c:pt>
                <c:pt idx="267">
                  <c:v>0</c:v>
                </c:pt>
                <c:pt idx="268">
                  <c:v>0.66666666666666663</c:v>
                </c:pt>
                <c:pt idx="269">
                  <c:v>0.44444444444444442</c:v>
                </c:pt>
                <c:pt idx="270">
                  <c:v>0.45454545454545453</c:v>
                </c:pt>
                <c:pt idx="271">
                  <c:v>0.1111111111111111</c:v>
                </c:pt>
                <c:pt idx="272">
                  <c:v>0.36363636363636365</c:v>
                </c:pt>
                <c:pt idx="273">
                  <c:v>0.55555555555555558</c:v>
                </c:pt>
                <c:pt idx="274">
                  <c:v>0</c:v>
                </c:pt>
                <c:pt idx="275">
                  <c:v>0.5714285714285714</c:v>
                </c:pt>
                <c:pt idx="276">
                  <c:v>0.5</c:v>
                </c:pt>
                <c:pt idx="277">
                  <c:v>0.66666666666666663</c:v>
                </c:pt>
                <c:pt idx="278">
                  <c:v>0.5714285714285714</c:v>
                </c:pt>
                <c:pt idx="279">
                  <c:v>0.33333333333333331</c:v>
                </c:pt>
                <c:pt idx="280">
                  <c:v>0.45454545454545453</c:v>
                </c:pt>
                <c:pt idx="281">
                  <c:v>0.5</c:v>
                </c:pt>
                <c:pt idx="282">
                  <c:v>0.5</c:v>
                </c:pt>
                <c:pt idx="283">
                  <c:v>0.33333333333333331</c:v>
                </c:pt>
                <c:pt idx="284">
                  <c:v>0.66666666666666663</c:v>
                </c:pt>
                <c:pt idx="285">
                  <c:v>0.75</c:v>
                </c:pt>
                <c:pt idx="286">
                  <c:v>0.5</c:v>
                </c:pt>
                <c:pt idx="287">
                  <c:v>0.5714285714285714</c:v>
                </c:pt>
                <c:pt idx="288">
                  <c:v>0.6428571428571429</c:v>
                </c:pt>
                <c:pt idx="289">
                  <c:v>0.5</c:v>
                </c:pt>
                <c:pt idx="290">
                  <c:v>0.5</c:v>
                </c:pt>
                <c:pt idx="291">
                  <c:v>0.45454545454545453</c:v>
                </c:pt>
                <c:pt idx="292">
                  <c:v>0.5</c:v>
                </c:pt>
                <c:pt idx="293">
                  <c:v>0.7</c:v>
                </c:pt>
                <c:pt idx="294">
                  <c:v>0.33333333333333331</c:v>
                </c:pt>
                <c:pt idx="295">
                  <c:v>0.44444444444444442</c:v>
                </c:pt>
                <c:pt idx="296">
                  <c:v>0.2</c:v>
                </c:pt>
                <c:pt idx="297">
                  <c:v>0.5</c:v>
                </c:pt>
                <c:pt idx="298">
                  <c:v>0.75</c:v>
                </c:pt>
                <c:pt idx="299">
                  <c:v>0.35294117647058826</c:v>
                </c:pt>
                <c:pt idx="300">
                  <c:v>0.625</c:v>
                </c:pt>
                <c:pt idx="301">
                  <c:v>0.5</c:v>
                </c:pt>
                <c:pt idx="302">
                  <c:v>0.5714285714285714</c:v>
                </c:pt>
                <c:pt idx="303">
                  <c:v>0.5714285714285714</c:v>
                </c:pt>
                <c:pt idx="304">
                  <c:v>0.25</c:v>
                </c:pt>
                <c:pt idx="305">
                  <c:v>0.14285714285714285</c:v>
                </c:pt>
                <c:pt idx="306">
                  <c:v>0.33333333333333331</c:v>
                </c:pt>
                <c:pt idx="307">
                  <c:v>0.4375</c:v>
                </c:pt>
                <c:pt idx="308">
                  <c:v>0.5</c:v>
                </c:pt>
                <c:pt idx="309">
                  <c:v>0.33333333333333331</c:v>
                </c:pt>
                <c:pt idx="310">
                  <c:v>0.2857142857142857</c:v>
                </c:pt>
                <c:pt idx="311">
                  <c:v>0.5</c:v>
                </c:pt>
                <c:pt idx="312">
                  <c:v>0.4</c:v>
                </c:pt>
                <c:pt idx="313">
                  <c:v>0.44444444444444442</c:v>
                </c:pt>
                <c:pt idx="314">
                  <c:v>0.5</c:v>
                </c:pt>
                <c:pt idx="315">
                  <c:v>0.55555555555555558</c:v>
                </c:pt>
                <c:pt idx="316">
                  <c:v>0.46153846153846156</c:v>
                </c:pt>
                <c:pt idx="317">
                  <c:v>0.33333333333333331</c:v>
                </c:pt>
                <c:pt idx="318">
                  <c:v>0.2857142857142857</c:v>
                </c:pt>
                <c:pt idx="319">
                  <c:v>0.25</c:v>
                </c:pt>
                <c:pt idx="320">
                  <c:v>0.5</c:v>
                </c:pt>
                <c:pt idx="321">
                  <c:v>0.4</c:v>
                </c:pt>
                <c:pt idx="322">
                  <c:v>0.5</c:v>
                </c:pt>
                <c:pt idx="323">
                  <c:v>0.18181818181818182</c:v>
                </c:pt>
                <c:pt idx="324">
                  <c:v>0</c:v>
                </c:pt>
                <c:pt idx="325">
                  <c:v>0.25</c:v>
                </c:pt>
                <c:pt idx="326">
                  <c:v>0.33333333333333331</c:v>
                </c:pt>
                <c:pt idx="327">
                  <c:v>0.66666666666666663</c:v>
                </c:pt>
                <c:pt idx="328">
                  <c:v>0.53846153846153844</c:v>
                </c:pt>
                <c:pt idx="329">
                  <c:v>0.125</c:v>
                </c:pt>
                <c:pt idx="330">
                  <c:v>0.33333333333333331</c:v>
                </c:pt>
                <c:pt idx="331">
                  <c:v>0.4</c:v>
                </c:pt>
                <c:pt idx="332">
                  <c:v>0.2857142857142857</c:v>
                </c:pt>
                <c:pt idx="333">
                  <c:v>0.14285714285714285</c:v>
                </c:pt>
                <c:pt idx="334">
                  <c:v>0.45454545454545453</c:v>
                </c:pt>
                <c:pt idx="335">
                  <c:v>0.33333333333333331</c:v>
                </c:pt>
                <c:pt idx="336">
                  <c:v>0</c:v>
                </c:pt>
                <c:pt idx="337">
                  <c:v>0.44444444444444442</c:v>
                </c:pt>
                <c:pt idx="338">
                  <c:v>0.75</c:v>
                </c:pt>
                <c:pt idx="339">
                  <c:v>0.14285714285714285</c:v>
                </c:pt>
                <c:pt idx="340">
                  <c:v>0.72727272727272729</c:v>
                </c:pt>
                <c:pt idx="341">
                  <c:v>0.44444444444444442</c:v>
                </c:pt>
                <c:pt idx="342">
                  <c:v>0.8571428571428571</c:v>
                </c:pt>
                <c:pt idx="343">
                  <c:v>0.25</c:v>
                </c:pt>
                <c:pt idx="344">
                  <c:v>0.1</c:v>
                </c:pt>
                <c:pt idx="345">
                  <c:v>0.4</c:v>
                </c:pt>
                <c:pt idx="346">
                  <c:v>0.5</c:v>
                </c:pt>
                <c:pt idx="347">
                  <c:v>0.5714285714285714</c:v>
                </c:pt>
                <c:pt idx="348">
                  <c:v>0.54545454545454541</c:v>
                </c:pt>
                <c:pt idx="349">
                  <c:v>0.5</c:v>
                </c:pt>
                <c:pt idx="350">
                  <c:v>0.22222222222222221</c:v>
                </c:pt>
                <c:pt idx="351">
                  <c:v>0</c:v>
                </c:pt>
                <c:pt idx="352">
                  <c:v>0.5</c:v>
                </c:pt>
                <c:pt idx="353">
                  <c:v>0.5714285714285714</c:v>
                </c:pt>
                <c:pt idx="354">
                  <c:v>0.5625</c:v>
                </c:pt>
                <c:pt idx="355">
                  <c:v>0.22222222222222221</c:v>
                </c:pt>
                <c:pt idx="356">
                  <c:v>0.375</c:v>
                </c:pt>
                <c:pt idx="357">
                  <c:v>0.75</c:v>
                </c:pt>
                <c:pt idx="358">
                  <c:v>0.44444444444444442</c:v>
                </c:pt>
                <c:pt idx="359">
                  <c:v>0.4</c:v>
                </c:pt>
                <c:pt idx="360">
                  <c:v>0.2</c:v>
                </c:pt>
                <c:pt idx="361">
                  <c:v>0.33333333333333331</c:v>
                </c:pt>
                <c:pt idx="362">
                  <c:v>0.4</c:v>
                </c:pt>
                <c:pt idx="363">
                  <c:v>0.25</c:v>
                </c:pt>
                <c:pt idx="364">
                  <c:v>0.375</c:v>
                </c:pt>
                <c:pt idx="365">
                  <c:v>0.36363636363636365</c:v>
                </c:pt>
                <c:pt idx="366">
                  <c:v>0.375</c:v>
                </c:pt>
                <c:pt idx="367">
                  <c:v>0</c:v>
                </c:pt>
                <c:pt idx="368">
                  <c:v>0.5</c:v>
                </c:pt>
                <c:pt idx="369">
                  <c:v>0.5</c:v>
                </c:pt>
                <c:pt idx="370">
                  <c:v>0.27272727272727271</c:v>
                </c:pt>
                <c:pt idx="371">
                  <c:v>0.1111111111111111</c:v>
                </c:pt>
                <c:pt idx="372">
                  <c:v>0.30769230769230771</c:v>
                </c:pt>
                <c:pt idx="373">
                  <c:v>0.44444444444444442</c:v>
                </c:pt>
                <c:pt idx="374">
                  <c:v>0</c:v>
                </c:pt>
                <c:pt idx="375">
                  <c:v>0.4</c:v>
                </c:pt>
                <c:pt idx="376">
                  <c:v>0.47058823529411764</c:v>
                </c:pt>
                <c:pt idx="377">
                  <c:v>0.5</c:v>
                </c:pt>
                <c:pt idx="378">
                  <c:v>0.5714285714285714</c:v>
                </c:pt>
                <c:pt idx="379">
                  <c:v>0.375</c:v>
                </c:pt>
                <c:pt idx="380">
                  <c:v>0.45454545454545453</c:v>
                </c:pt>
                <c:pt idx="381">
                  <c:v>0.33333333333333331</c:v>
                </c:pt>
                <c:pt idx="382">
                  <c:v>0.4375</c:v>
                </c:pt>
                <c:pt idx="383">
                  <c:v>0.33333333333333331</c:v>
                </c:pt>
                <c:pt idx="384">
                  <c:v>0.72727272727272729</c:v>
                </c:pt>
                <c:pt idx="385">
                  <c:v>0.66666666666666663</c:v>
                </c:pt>
                <c:pt idx="386">
                  <c:v>0.5</c:v>
                </c:pt>
                <c:pt idx="387">
                  <c:v>0.5</c:v>
                </c:pt>
                <c:pt idx="388">
                  <c:v>0.5714285714285714</c:v>
                </c:pt>
                <c:pt idx="389">
                  <c:v>0.33333333333333331</c:v>
                </c:pt>
                <c:pt idx="390">
                  <c:v>0.44444444444444442</c:v>
                </c:pt>
                <c:pt idx="391">
                  <c:v>0.22222222222222221</c:v>
                </c:pt>
                <c:pt idx="392">
                  <c:v>0.42857142857142855</c:v>
                </c:pt>
                <c:pt idx="393">
                  <c:v>0.7</c:v>
                </c:pt>
                <c:pt idx="394">
                  <c:v>0.2857142857142857</c:v>
                </c:pt>
                <c:pt idx="395">
                  <c:v>0.4</c:v>
                </c:pt>
                <c:pt idx="396">
                  <c:v>0.2</c:v>
                </c:pt>
                <c:pt idx="397">
                  <c:v>0.4</c:v>
                </c:pt>
                <c:pt idx="398">
                  <c:v>0.66666666666666663</c:v>
                </c:pt>
                <c:pt idx="399">
                  <c:v>0.33333333333333331</c:v>
                </c:pt>
                <c:pt idx="400">
                  <c:v>0.55555555555555558</c:v>
                </c:pt>
                <c:pt idx="401">
                  <c:v>0.45454545454545453</c:v>
                </c:pt>
                <c:pt idx="402">
                  <c:v>0.33333333333333331</c:v>
                </c:pt>
                <c:pt idx="403">
                  <c:v>0.5</c:v>
                </c:pt>
                <c:pt idx="404">
                  <c:v>0.16666666666666666</c:v>
                </c:pt>
                <c:pt idx="405">
                  <c:v>0.125</c:v>
                </c:pt>
                <c:pt idx="406">
                  <c:v>0.33333333333333331</c:v>
                </c:pt>
                <c:pt idx="407">
                  <c:v>0.46666666666666667</c:v>
                </c:pt>
                <c:pt idx="408">
                  <c:v>0.33333333333333331</c:v>
                </c:pt>
                <c:pt idx="409">
                  <c:v>0.33333333333333331</c:v>
                </c:pt>
                <c:pt idx="410">
                  <c:v>0.2857142857142857</c:v>
                </c:pt>
                <c:pt idx="411">
                  <c:v>0.22222222222222221</c:v>
                </c:pt>
                <c:pt idx="412">
                  <c:v>0.33333333333333331</c:v>
                </c:pt>
                <c:pt idx="413">
                  <c:v>0.5</c:v>
                </c:pt>
                <c:pt idx="414">
                  <c:v>0.5</c:v>
                </c:pt>
                <c:pt idx="415">
                  <c:v>0.55555555555555558</c:v>
                </c:pt>
                <c:pt idx="416">
                  <c:v>0.46153846153846156</c:v>
                </c:pt>
                <c:pt idx="417">
                  <c:v>0.21428571428571427</c:v>
                </c:pt>
                <c:pt idx="418">
                  <c:v>0.16666666666666666</c:v>
                </c:pt>
                <c:pt idx="419">
                  <c:v>0.14285714285714285</c:v>
                </c:pt>
                <c:pt idx="420">
                  <c:v>0.44444444444444442</c:v>
                </c:pt>
                <c:pt idx="421">
                  <c:v>0.2</c:v>
                </c:pt>
                <c:pt idx="422">
                  <c:v>0.38461538461538464</c:v>
                </c:pt>
                <c:pt idx="423">
                  <c:v>8.3333333333333329E-2</c:v>
                </c:pt>
                <c:pt idx="424">
                  <c:v>0</c:v>
                </c:pt>
                <c:pt idx="425">
                  <c:v>0.125</c:v>
                </c:pt>
                <c:pt idx="426">
                  <c:v>0.18181818181818182</c:v>
                </c:pt>
                <c:pt idx="427">
                  <c:v>0.5</c:v>
                </c:pt>
                <c:pt idx="428">
                  <c:v>0.41666666666666669</c:v>
                </c:pt>
                <c:pt idx="429">
                  <c:v>0.14285714285714285</c:v>
                </c:pt>
                <c:pt idx="430">
                  <c:v>0.33333333333333331</c:v>
                </c:pt>
                <c:pt idx="431">
                  <c:v>0.2857142857142857</c:v>
                </c:pt>
                <c:pt idx="432">
                  <c:v>0.25</c:v>
                </c:pt>
                <c:pt idx="433">
                  <c:v>0.14285714285714285</c:v>
                </c:pt>
                <c:pt idx="434">
                  <c:v>0.3</c:v>
                </c:pt>
                <c:pt idx="435">
                  <c:v>0.33333333333333331</c:v>
                </c:pt>
                <c:pt idx="436">
                  <c:v>0</c:v>
                </c:pt>
                <c:pt idx="437">
                  <c:v>0.3</c:v>
                </c:pt>
                <c:pt idx="438">
                  <c:v>0.75</c:v>
                </c:pt>
                <c:pt idx="439">
                  <c:v>0.125</c:v>
                </c:pt>
                <c:pt idx="440">
                  <c:v>0.61538461538461542</c:v>
                </c:pt>
                <c:pt idx="441">
                  <c:v>0.4</c:v>
                </c:pt>
                <c:pt idx="442">
                  <c:v>0.7142857142857143</c:v>
                </c:pt>
                <c:pt idx="443">
                  <c:v>0.25</c:v>
                </c:pt>
                <c:pt idx="444">
                  <c:v>9.0909090909090912E-2</c:v>
                </c:pt>
                <c:pt idx="445">
                  <c:v>0.4</c:v>
                </c:pt>
                <c:pt idx="446">
                  <c:v>0.5</c:v>
                </c:pt>
                <c:pt idx="447">
                  <c:v>0.5714285714285714</c:v>
                </c:pt>
                <c:pt idx="448">
                  <c:v>0.44444444444444442</c:v>
                </c:pt>
                <c:pt idx="449">
                  <c:v>0.375</c:v>
                </c:pt>
                <c:pt idx="450">
                  <c:v>0.16666666666666666</c:v>
                </c:pt>
                <c:pt idx="451">
                  <c:v>0</c:v>
                </c:pt>
                <c:pt idx="452">
                  <c:v>0.4</c:v>
                </c:pt>
                <c:pt idx="453">
                  <c:v>0.5</c:v>
                </c:pt>
                <c:pt idx="454">
                  <c:v>0.53333333333333333</c:v>
                </c:pt>
                <c:pt idx="455">
                  <c:v>0.2</c:v>
                </c:pt>
                <c:pt idx="456">
                  <c:v>0.22222222222222221</c:v>
                </c:pt>
                <c:pt idx="457">
                  <c:v>0.66666666666666663</c:v>
                </c:pt>
                <c:pt idx="458">
                  <c:v>0.44444444444444442</c:v>
                </c:pt>
                <c:pt idx="459">
                  <c:v>0.25</c:v>
                </c:pt>
                <c:pt idx="460">
                  <c:v>0.18181818181818182</c:v>
                </c:pt>
                <c:pt idx="461">
                  <c:v>0.33333333333333331</c:v>
                </c:pt>
                <c:pt idx="462">
                  <c:v>0.2857142857142857</c:v>
                </c:pt>
                <c:pt idx="463">
                  <c:v>0.25</c:v>
                </c:pt>
                <c:pt idx="464">
                  <c:v>0.5</c:v>
                </c:pt>
                <c:pt idx="465">
                  <c:v>0.30769230769230771</c:v>
                </c:pt>
                <c:pt idx="466">
                  <c:v>0.33333333333333331</c:v>
                </c:pt>
                <c:pt idx="467">
                  <c:v>0</c:v>
                </c:pt>
                <c:pt idx="468">
                  <c:v>0.5</c:v>
                </c:pt>
                <c:pt idx="469">
                  <c:v>0.16666666666666666</c:v>
                </c:pt>
                <c:pt idx="470">
                  <c:v>0.16666666666666666</c:v>
                </c:pt>
                <c:pt idx="471">
                  <c:v>0.16666666666666666</c:v>
                </c:pt>
                <c:pt idx="472">
                  <c:v>0.23076923076923078</c:v>
                </c:pt>
                <c:pt idx="473">
                  <c:v>0.4</c:v>
                </c:pt>
                <c:pt idx="474">
                  <c:v>0</c:v>
                </c:pt>
                <c:pt idx="475">
                  <c:v>0.2</c:v>
                </c:pt>
                <c:pt idx="476">
                  <c:v>0.36842105263157893</c:v>
                </c:pt>
                <c:pt idx="477">
                  <c:v>0.42857142857142855</c:v>
                </c:pt>
                <c:pt idx="478">
                  <c:v>0.66666666666666663</c:v>
                </c:pt>
                <c:pt idx="479">
                  <c:v>0.33333333333333331</c:v>
                </c:pt>
                <c:pt idx="480">
                  <c:v>0.33333333333333331</c:v>
                </c:pt>
                <c:pt idx="481">
                  <c:v>0.25</c:v>
                </c:pt>
                <c:pt idx="482">
                  <c:v>0.375</c:v>
                </c:pt>
                <c:pt idx="483">
                  <c:v>0.33333333333333331</c:v>
                </c:pt>
                <c:pt idx="484">
                  <c:v>0.53846153846153844</c:v>
                </c:pt>
                <c:pt idx="485">
                  <c:v>0.42857142857142855</c:v>
                </c:pt>
                <c:pt idx="486">
                  <c:v>0.5</c:v>
                </c:pt>
                <c:pt idx="487">
                  <c:v>0.3</c:v>
                </c:pt>
                <c:pt idx="488">
                  <c:v>0.46153846153846156</c:v>
                </c:pt>
                <c:pt idx="489">
                  <c:v>0.2857142857142857</c:v>
                </c:pt>
                <c:pt idx="490">
                  <c:v>0.5</c:v>
                </c:pt>
                <c:pt idx="491">
                  <c:v>0.25</c:v>
                </c:pt>
                <c:pt idx="492">
                  <c:v>0.375</c:v>
                </c:pt>
                <c:pt idx="493">
                  <c:v>0.75</c:v>
                </c:pt>
                <c:pt idx="494">
                  <c:v>0.14285714285714285</c:v>
                </c:pt>
                <c:pt idx="495">
                  <c:v>0.33333333333333331</c:v>
                </c:pt>
                <c:pt idx="496">
                  <c:v>0.16666666666666666</c:v>
                </c:pt>
                <c:pt idx="497">
                  <c:v>0.4</c:v>
                </c:pt>
                <c:pt idx="498">
                  <c:v>0.5</c:v>
                </c:pt>
                <c:pt idx="499">
                  <c:v>0.19047619047619047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58-45C9-B7B2-8477C49E5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853568"/>
        <c:axId val="680847664"/>
      </c:scatterChart>
      <c:valAx>
        <c:axId val="68085356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847664"/>
        <c:crosses val="autoZero"/>
        <c:crossBetween val="midCat"/>
      </c:valAx>
      <c:valAx>
        <c:axId val="68084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85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'Scenario Visualization'!$Q$2:$R$2</c:f>
              <c:strCache>
                <c:ptCount val="1"/>
                <c:pt idx="0">
                  <c:v>AEP per 1,000 nonpregnant-aware, nonsteril women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9581548274207659"/>
                  <c:y val="-0.303272739055766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'Scenario Visualization'!$Q$4:$Q$503</c:f>
              <c:numCache>
                <c:formatCode>0%</c:formatCode>
                <c:ptCount val="500"/>
                <c:pt idx="0">
                  <c:v>-0.4</c:v>
                </c:pt>
                <c:pt idx="1">
                  <c:v>-0.4</c:v>
                </c:pt>
                <c:pt idx="2">
                  <c:v>-0.4</c:v>
                </c:pt>
                <c:pt idx="3">
                  <c:v>-0.4</c:v>
                </c:pt>
                <c:pt idx="4">
                  <c:v>-0.4</c:v>
                </c:pt>
                <c:pt idx="5">
                  <c:v>-0.4</c:v>
                </c:pt>
                <c:pt idx="6">
                  <c:v>-0.4</c:v>
                </c:pt>
                <c:pt idx="7">
                  <c:v>-0.4</c:v>
                </c:pt>
                <c:pt idx="8">
                  <c:v>-0.4</c:v>
                </c:pt>
                <c:pt idx="9">
                  <c:v>-0.4</c:v>
                </c:pt>
                <c:pt idx="10">
                  <c:v>-0.4</c:v>
                </c:pt>
                <c:pt idx="11">
                  <c:v>-0.4</c:v>
                </c:pt>
                <c:pt idx="12">
                  <c:v>-0.4</c:v>
                </c:pt>
                <c:pt idx="13">
                  <c:v>-0.4</c:v>
                </c:pt>
                <c:pt idx="14">
                  <c:v>-0.4</c:v>
                </c:pt>
                <c:pt idx="15">
                  <c:v>-0.4</c:v>
                </c:pt>
                <c:pt idx="16">
                  <c:v>-0.4</c:v>
                </c:pt>
                <c:pt idx="17">
                  <c:v>-0.4</c:v>
                </c:pt>
                <c:pt idx="18">
                  <c:v>-0.4</c:v>
                </c:pt>
                <c:pt idx="19">
                  <c:v>-0.4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  <c:pt idx="25">
                  <c:v>-0.4</c:v>
                </c:pt>
                <c:pt idx="26">
                  <c:v>-0.4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-0.4</c:v>
                </c:pt>
                <c:pt idx="32">
                  <c:v>-0.4</c:v>
                </c:pt>
                <c:pt idx="33">
                  <c:v>-0.4</c:v>
                </c:pt>
                <c:pt idx="34">
                  <c:v>-0.4</c:v>
                </c:pt>
                <c:pt idx="35">
                  <c:v>-0.4</c:v>
                </c:pt>
                <c:pt idx="36">
                  <c:v>-0.4</c:v>
                </c:pt>
                <c:pt idx="37">
                  <c:v>-0.4</c:v>
                </c:pt>
                <c:pt idx="38">
                  <c:v>-0.4</c:v>
                </c:pt>
                <c:pt idx="39">
                  <c:v>-0.4</c:v>
                </c:pt>
                <c:pt idx="40">
                  <c:v>-0.4</c:v>
                </c:pt>
                <c:pt idx="41">
                  <c:v>-0.4</c:v>
                </c:pt>
                <c:pt idx="42">
                  <c:v>-0.4</c:v>
                </c:pt>
                <c:pt idx="43">
                  <c:v>-0.4</c:v>
                </c:pt>
                <c:pt idx="44">
                  <c:v>-0.4</c:v>
                </c:pt>
                <c:pt idx="45">
                  <c:v>-0.4</c:v>
                </c:pt>
                <c:pt idx="46">
                  <c:v>-0.4</c:v>
                </c:pt>
                <c:pt idx="47">
                  <c:v>-0.4</c:v>
                </c:pt>
                <c:pt idx="48">
                  <c:v>-0.4</c:v>
                </c:pt>
                <c:pt idx="49">
                  <c:v>-0.4</c:v>
                </c:pt>
                <c:pt idx="50">
                  <c:v>-0.4</c:v>
                </c:pt>
                <c:pt idx="51">
                  <c:v>-0.4</c:v>
                </c:pt>
                <c:pt idx="52">
                  <c:v>-0.4</c:v>
                </c:pt>
                <c:pt idx="53">
                  <c:v>-0.4</c:v>
                </c:pt>
                <c:pt idx="54">
                  <c:v>-0.4</c:v>
                </c:pt>
                <c:pt idx="55">
                  <c:v>-0.4</c:v>
                </c:pt>
                <c:pt idx="56">
                  <c:v>-0.4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-0.4</c:v>
                </c:pt>
                <c:pt idx="62">
                  <c:v>-0.4</c:v>
                </c:pt>
                <c:pt idx="63">
                  <c:v>-0.4</c:v>
                </c:pt>
                <c:pt idx="64">
                  <c:v>-0.4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-0.4</c:v>
                </c:pt>
                <c:pt idx="69">
                  <c:v>-0.4</c:v>
                </c:pt>
                <c:pt idx="70">
                  <c:v>-0.4</c:v>
                </c:pt>
                <c:pt idx="71">
                  <c:v>-0.4</c:v>
                </c:pt>
                <c:pt idx="72">
                  <c:v>-0.4</c:v>
                </c:pt>
                <c:pt idx="73">
                  <c:v>-0.4</c:v>
                </c:pt>
                <c:pt idx="74">
                  <c:v>-0.4</c:v>
                </c:pt>
                <c:pt idx="75">
                  <c:v>-0.4</c:v>
                </c:pt>
                <c:pt idx="76">
                  <c:v>-0.4</c:v>
                </c:pt>
                <c:pt idx="77">
                  <c:v>-0.4</c:v>
                </c:pt>
                <c:pt idx="78">
                  <c:v>-0.4</c:v>
                </c:pt>
                <c:pt idx="79">
                  <c:v>-0.4</c:v>
                </c:pt>
                <c:pt idx="80">
                  <c:v>-0.4</c:v>
                </c:pt>
                <c:pt idx="81">
                  <c:v>-0.4</c:v>
                </c:pt>
                <c:pt idx="82">
                  <c:v>-0.4</c:v>
                </c:pt>
                <c:pt idx="83">
                  <c:v>-0.4</c:v>
                </c:pt>
                <c:pt idx="84">
                  <c:v>-0.4</c:v>
                </c:pt>
                <c:pt idx="85">
                  <c:v>-0.4</c:v>
                </c:pt>
                <c:pt idx="86">
                  <c:v>-0.4</c:v>
                </c:pt>
                <c:pt idx="87">
                  <c:v>-0.4</c:v>
                </c:pt>
                <c:pt idx="88">
                  <c:v>-0.4</c:v>
                </c:pt>
                <c:pt idx="89">
                  <c:v>-0.4</c:v>
                </c:pt>
                <c:pt idx="90">
                  <c:v>-0.4</c:v>
                </c:pt>
                <c:pt idx="91">
                  <c:v>-0.4</c:v>
                </c:pt>
                <c:pt idx="92">
                  <c:v>-0.4</c:v>
                </c:pt>
                <c:pt idx="93">
                  <c:v>-0.4</c:v>
                </c:pt>
                <c:pt idx="94">
                  <c:v>-0.4</c:v>
                </c:pt>
                <c:pt idx="95">
                  <c:v>-0.4</c:v>
                </c:pt>
                <c:pt idx="96">
                  <c:v>-0.4</c:v>
                </c:pt>
                <c:pt idx="97">
                  <c:v>-0.4</c:v>
                </c:pt>
                <c:pt idx="98">
                  <c:v>-0.4</c:v>
                </c:pt>
                <c:pt idx="99">
                  <c:v>-0.4</c:v>
                </c:pt>
                <c:pt idx="100">
                  <c:v>-0.3</c:v>
                </c:pt>
                <c:pt idx="101">
                  <c:v>-0.3</c:v>
                </c:pt>
                <c:pt idx="102">
                  <c:v>-0.3</c:v>
                </c:pt>
                <c:pt idx="103">
                  <c:v>-0.3</c:v>
                </c:pt>
                <c:pt idx="104">
                  <c:v>-0.3</c:v>
                </c:pt>
                <c:pt idx="105">
                  <c:v>-0.3</c:v>
                </c:pt>
                <c:pt idx="106">
                  <c:v>-0.3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-0.3</c:v>
                </c:pt>
                <c:pt idx="125">
                  <c:v>-0.3</c:v>
                </c:pt>
                <c:pt idx="126">
                  <c:v>-0.3</c:v>
                </c:pt>
                <c:pt idx="127">
                  <c:v>-0.3</c:v>
                </c:pt>
                <c:pt idx="128">
                  <c:v>-0.3</c:v>
                </c:pt>
                <c:pt idx="129">
                  <c:v>-0.3</c:v>
                </c:pt>
                <c:pt idx="130">
                  <c:v>-0.3</c:v>
                </c:pt>
                <c:pt idx="131">
                  <c:v>-0.3</c:v>
                </c:pt>
                <c:pt idx="132">
                  <c:v>-0.3</c:v>
                </c:pt>
                <c:pt idx="133">
                  <c:v>-0.3</c:v>
                </c:pt>
                <c:pt idx="134">
                  <c:v>-0.3</c:v>
                </c:pt>
                <c:pt idx="135">
                  <c:v>-0.3</c:v>
                </c:pt>
                <c:pt idx="136">
                  <c:v>-0.3</c:v>
                </c:pt>
                <c:pt idx="137">
                  <c:v>-0.3</c:v>
                </c:pt>
                <c:pt idx="138">
                  <c:v>-0.3</c:v>
                </c:pt>
                <c:pt idx="139">
                  <c:v>-0.3</c:v>
                </c:pt>
                <c:pt idx="140">
                  <c:v>-0.3</c:v>
                </c:pt>
                <c:pt idx="141">
                  <c:v>-0.3</c:v>
                </c:pt>
                <c:pt idx="142">
                  <c:v>-0.3</c:v>
                </c:pt>
                <c:pt idx="143">
                  <c:v>-0.3</c:v>
                </c:pt>
                <c:pt idx="144">
                  <c:v>-0.3</c:v>
                </c:pt>
                <c:pt idx="145">
                  <c:v>-0.3</c:v>
                </c:pt>
                <c:pt idx="146">
                  <c:v>-0.3</c:v>
                </c:pt>
                <c:pt idx="147">
                  <c:v>-0.3</c:v>
                </c:pt>
                <c:pt idx="148">
                  <c:v>-0.3</c:v>
                </c:pt>
                <c:pt idx="149">
                  <c:v>-0.3</c:v>
                </c:pt>
                <c:pt idx="150">
                  <c:v>-0.3</c:v>
                </c:pt>
                <c:pt idx="151">
                  <c:v>-0.3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-0.3</c:v>
                </c:pt>
                <c:pt idx="165">
                  <c:v>-0.3</c:v>
                </c:pt>
                <c:pt idx="166">
                  <c:v>-0.3</c:v>
                </c:pt>
                <c:pt idx="167">
                  <c:v>-0.3</c:v>
                </c:pt>
                <c:pt idx="168">
                  <c:v>-0.3</c:v>
                </c:pt>
                <c:pt idx="169">
                  <c:v>-0.3</c:v>
                </c:pt>
                <c:pt idx="170">
                  <c:v>-0.3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-0.3</c:v>
                </c:pt>
                <c:pt idx="179">
                  <c:v>-0.3</c:v>
                </c:pt>
                <c:pt idx="180">
                  <c:v>-0.3</c:v>
                </c:pt>
                <c:pt idx="181">
                  <c:v>-0.3</c:v>
                </c:pt>
                <c:pt idx="182">
                  <c:v>-0.3</c:v>
                </c:pt>
                <c:pt idx="183">
                  <c:v>-0.3</c:v>
                </c:pt>
                <c:pt idx="184">
                  <c:v>-0.3</c:v>
                </c:pt>
                <c:pt idx="185">
                  <c:v>-0.3</c:v>
                </c:pt>
                <c:pt idx="186">
                  <c:v>-0.3</c:v>
                </c:pt>
                <c:pt idx="187">
                  <c:v>-0.3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-0.3</c:v>
                </c:pt>
                <c:pt idx="192">
                  <c:v>-0.3</c:v>
                </c:pt>
                <c:pt idx="193">
                  <c:v>-0.3</c:v>
                </c:pt>
                <c:pt idx="194">
                  <c:v>-0.3</c:v>
                </c:pt>
                <c:pt idx="195">
                  <c:v>-0.3</c:v>
                </c:pt>
                <c:pt idx="196">
                  <c:v>-0.3</c:v>
                </c:pt>
                <c:pt idx="197">
                  <c:v>-0.3</c:v>
                </c:pt>
                <c:pt idx="198">
                  <c:v>-0.3</c:v>
                </c:pt>
                <c:pt idx="199">
                  <c:v>-0.3</c:v>
                </c:pt>
                <c:pt idx="200">
                  <c:v>-0.2</c:v>
                </c:pt>
                <c:pt idx="201">
                  <c:v>-0.2</c:v>
                </c:pt>
                <c:pt idx="202">
                  <c:v>-0.2</c:v>
                </c:pt>
                <c:pt idx="203">
                  <c:v>-0.2</c:v>
                </c:pt>
                <c:pt idx="204">
                  <c:v>-0.2</c:v>
                </c:pt>
                <c:pt idx="205">
                  <c:v>-0.2</c:v>
                </c:pt>
                <c:pt idx="206">
                  <c:v>-0.2</c:v>
                </c:pt>
                <c:pt idx="207">
                  <c:v>-0.2</c:v>
                </c:pt>
                <c:pt idx="208">
                  <c:v>-0.2</c:v>
                </c:pt>
                <c:pt idx="209">
                  <c:v>-0.2</c:v>
                </c:pt>
                <c:pt idx="210">
                  <c:v>-0.2</c:v>
                </c:pt>
                <c:pt idx="211">
                  <c:v>-0.2</c:v>
                </c:pt>
                <c:pt idx="212">
                  <c:v>-0.2</c:v>
                </c:pt>
                <c:pt idx="213">
                  <c:v>-0.2</c:v>
                </c:pt>
                <c:pt idx="214">
                  <c:v>-0.2</c:v>
                </c:pt>
                <c:pt idx="215">
                  <c:v>-0.2</c:v>
                </c:pt>
                <c:pt idx="216">
                  <c:v>-0.2</c:v>
                </c:pt>
                <c:pt idx="217">
                  <c:v>-0.2</c:v>
                </c:pt>
                <c:pt idx="218">
                  <c:v>-0.2</c:v>
                </c:pt>
                <c:pt idx="219">
                  <c:v>-0.2</c:v>
                </c:pt>
                <c:pt idx="220">
                  <c:v>-0.2</c:v>
                </c:pt>
                <c:pt idx="221">
                  <c:v>-0.2</c:v>
                </c:pt>
                <c:pt idx="222">
                  <c:v>-0.2</c:v>
                </c:pt>
                <c:pt idx="223">
                  <c:v>-0.2</c:v>
                </c:pt>
                <c:pt idx="224">
                  <c:v>-0.2</c:v>
                </c:pt>
                <c:pt idx="225">
                  <c:v>-0.2</c:v>
                </c:pt>
                <c:pt idx="226">
                  <c:v>-0.2</c:v>
                </c:pt>
                <c:pt idx="227">
                  <c:v>-0.2</c:v>
                </c:pt>
                <c:pt idx="228">
                  <c:v>-0.2</c:v>
                </c:pt>
                <c:pt idx="229">
                  <c:v>-0.2</c:v>
                </c:pt>
                <c:pt idx="230">
                  <c:v>-0.2</c:v>
                </c:pt>
                <c:pt idx="231">
                  <c:v>-0.2</c:v>
                </c:pt>
                <c:pt idx="232">
                  <c:v>-0.2</c:v>
                </c:pt>
                <c:pt idx="233">
                  <c:v>-0.2</c:v>
                </c:pt>
                <c:pt idx="234">
                  <c:v>-0.2</c:v>
                </c:pt>
                <c:pt idx="235">
                  <c:v>-0.2</c:v>
                </c:pt>
                <c:pt idx="236">
                  <c:v>-0.2</c:v>
                </c:pt>
                <c:pt idx="237">
                  <c:v>-0.2</c:v>
                </c:pt>
                <c:pt idx="238">
                  <c:v>-0.2</c:v>
                </c:pt>
                <c:pt idx="239">
                  <c:v>-0.2</c:v>
                </c:pt>
                <c:pt idx="240">
                  <c:v>-0.2</c:v>
                </c:pt>
                <c:pt idx="241">
                  <c:v>-0.2</c:v>
                </c:pt>
                <c:pt idx="242">
                  <c:v>-0.2</c:v>
                </c:pt>
                <c:pt idx="243">
                  <c:v>-0.2</c:v>
                </c:pt>
                <c:pt idx="244">
                  <c:v>-0.2</c:v>
                </c:pt>
                <c:pt idx="245">
                  <c:v>-0.2</c:v>
                </c:pt>
                <c:pt idx="246">
                  <c:v>-0.2</c:v>
                </c:pt>
                <c:pt idx="247">
                  <c:v>-0.2</c:v>
                </c:pt>
                <c:pt idx="248">
                  <c:v>-0.2</c:v>
                </c:pt>
                <c:pt idx="249">
                  <c:v>-0.2</c:v>
                </c:pt>
                <c:pt idx="250">
                  <c:v>-0.2</c:v>
                </c:pt>
                <c:pt idx="251">
                  <c:v>-0.2</c:v>
                </c:pt>
                <c:pt idx="252">
                  <c:v>-0.2</c:v>
                </c:pt>
                <c:pt idx="253">
                  <c:v>-0.2</c:v>
                </c:pt>
                <c:pt idx="254">
                  <c:v>-0.2</c:v>
                </c:pt>
                <c:pt idx="255">
                  <c:v>-0.2</c:v>
                </c:pt>
                <c:pt idx="256">
                  <c:v>-0.2</c:v>
                </c:pt>
                <c:pt idx="257">
                  <c:v>-0.2</c:v>
                </c:pt>
                <c:pt idx="258">
                  <c:v>-0.2</c:v>
                </c:pt>
                <c:pt idx="259">
                  <c:v>-0.2</c:v>
                </c:pt>
                <c:pt idx="260">
                  <c:v>-0.2</c:v>
                </c:pt>
                <c:pt idx="261">
                  <c:v>-0.2</c:v>
                </c:pt>
                <c:pt idx="262">
                  <c:v>-0.2</c:v>
                </c:pt>
                <c:pt idx="263">
                  <c:v>-0.2</c:v>
                </c:pt>
                <c:pt idx="264">
                  <c:v>-0.2</c:v>
                </c:pt>
                <c:pt idx="265">
                  <c:v>-0.2</c:v>
                </c:pt>
                <c:pt idx="266">
                  <c:v>-0.2</c:v>
                </c:pt>
                <c:pt idx="267">
                  <c:v>-0.2</c:v>
                </c:pt>
                <c:pt idx="268">
                  <c:v>-0.2</c:v>
                </c:pt>
                <c:pt idx="269">
                  <c:v>-0.2</c:v>
                </c:pt>
                <c:pt idx="270">
                  <c:v>-0.2</c:v>
                </c:pt>
                <c:pt idx="271">
                  <c:v>-0.2</c:v>
                </c:pt>
                <c:pt idx="272">
                  <c:v>-0.2</c:v>
                </c:pt>
                <c:pt idx="273">
                  <c:v>-0.2</c:v>
                </c:pt>
                <c:pt idx="274">
                  <c:v>-0.2</c:v>
                </c:pt>
                <c:pt idx="275">
                  <c:v>-0.2</c:v>
                </c:pt>
                <c:pt idx="276">
                  <c:v>-0.2</c:v>
                </c:pt>
                <c:pt idx="277">
                  <c:v>-0.2</c:v>
                </c:pt>
                <c:pt idx="278">
                  <c:v>-0.2</c:v>
                </c:pt>
                <c:pt idx="279">
                  <c:v>-0.2</c:v>
                </c:pt>
                <c:pt idx="280">
                  <c:v>-0.2</c:v>
                </c:pt>
                <c:pt idx="281">
                  <c:v>-0.2</c:v>
                </c:pt>
                <c:pt idx="282">
                  <c:v>-0.2</c:v>
                </c:pt>
                <c:pt idx="283">
                  <c:v>-0.2</c:v>
                </c:pt>
                <c:pt idx="284">
                  <c:v>-0.2</c:v>
                </c:pt>
                <c:pt idx="285">
                  <c:v>-0.2</c:v>
                </c:pt>
                <c:pt idx="286">
                  <c:v>-0.2</c:v>
                </c:pt>
                <c:pt idx="287">
                  <c:v>-0.2</c:v>
                </c:pt>
                <c:pt idx="288">
                  <c:v>-0.2</c:v>
                </c:pt>
                <c:pt idx="289">
                  <c:v>-0.2</c:v>
                </c:pt>
                <c:pt idx="290">
                  <c:v>-0.2</c:v>
                </c:pt>
                <c:pt idx="291">
                  <c:v>-0.2</c:v>
                </c:pt>
                <c:pt idx="292">
                  <c:v>-0.2</c:v>
                </c:pt>
                <c:pt idx="293">
                  <c:v>-0.2</c:v>
                </c:pt>
                <c:pt idx="294">
                  <c:v>-0.2</c:v>
                </c:pt>
                <c:pt idx="295">
                  <c:v>-0.2</c:v>
                </c:pt>
                <c:pt idx="296">
                  <c:v>-0.2</c:v>
                </c:pt>
                <c:pt idx="297">
                  <c:v>-0.2</c:v>
                </c:pt>
                <c:pt idx="298">
                  <c:v>-0.2</c:v>
                </c:pt>
                <c:pt idx="299">
                  <c:v>-0.2</c:v>
                </c:pt>
                <c:pt idx="300">
                  <c:v>-0.1</c:v>
                </c:pt>
                <c:pt idx="301">
                  <c:v>-0.1</c:v>
                </c:pt>
                <c:pt idx="302">
                  <c:v>-0.1</c:v>
                </c:pt>
                <c:pt idx="303">
                  <c:v>-0.1</c:v>
                </c:pt>
                <c:pt idx="304">
                  <c:v>-0.1</c:v>
                </c:pt>
                <c:pt idx="305">
                  <c:v>-0.1</c:v>
                </c:pt>
                <c:pt idx="306">
                  <c:v>-0.1</c:v>
                </c:pt>
                <c:pt idx="307">
                  <c:v>-0.1</c:v>
                </c:pt>
                <c:pt idx="308">
                  <c:v>-0.1</c:v>
                </c:pt>
                <c:pt idx="309">
                  <c:v>-0.1</c:v>
                </c:pt>
                <c:pt idx="310">
                  <c:v>-0.1</c:v>
                </c:pt>
                <c:pt idx="311">
                  <c:v>-0.1</c:v>
                </c:pt>
                <c:pt idx="312">
                  <c:v>-0.1</c:v>
                </c:pt>
                <c:pt idx="313">
                  <c:v>-0.1</c:v>
                </c:pt>
                <c:pt idx="314">
                  <c:v>-0.1</c:v>
                </c:pt>
                <c:pt idx="315">
                  <c:v>-0.1</c:v>
                </c:pt>
                <c:pt idx="316">
                  <c:v>-0.1</c:v>
                </c:pt>
                <c:pt idx="317">
                  <c:v>-0.1</c:v>
                </c:pt>
                <c:pt idx="318">
                  <c:v>-0.1</c:v>
                </c:pt>
                <c:pt idx="319">
                  <c:v>-0.1</c:v>
                </c:pt>
                <c:pt idx="320">
                  <c:v>-0.1</c:v>
                </c:pt>
                <c:pt idx="321">
                  <c:v>-0.1</c:v>
                </c:pt>
                <c:pt idx="322">
                  <c:v>-0.1</c:v>
                </c:pt>
                <c:pt idx="323">
                  <c:v>-0.1</c:v>
                </c:pt>
                <c:pt idx="324">
                  <c:v>-0.1</c:v>
                </c:pt>
                <c:pt idx="325">
                  <c:v>-0.1</c:v>
                </c:pt>
                <c:pt idx="326">
                  <c:v>-0.1</c:v>
                </c:pt>
                <c:pt idx="327">
                  <c:v>-0.1</c:v>
                </c:pt>
                <c:pt idx="328">
                  <c:v>-0.1</c:v>
                </c:pt>
                <c:pt idx="329">
                  <c:v>-0.1</c:v>
                </c:pt>
                <c:pt idx="330">
                  <c:v>-0.1</c:v>
                </c:pt>
                <c:pt idx="331">
                  <c:v>-0.1</c:v>
                </c:pt>
                <c:pt idx="332">
                  <c:v>-0.1</c:v>
                </c:pt>
                <c:pt idx="333">
                  <c:v>-0.1</c:v>
                </c:pt>
                <c:pt idx="334">
                  <c:v>-0.1</c:v>
                </c:pt>
                <c:pt idx="335">
                  <c:v>-0.1</c:v>
                </c:pt>
                <c:pt idx="336">
                  <c:v>-0.1</c:v>
                </c:pt>
                <c:pt idx="337">
                  <c:v>-0.1</c:v>
                </c:pt>
                <c:pt idx="338">
                  <c:v>-0.1</c:v>
                </c:pt>
                <c:pt idx="339">
                  <c:v>-0.1</c:v>
                </c:pt>
                <c:pt idx="340">
                  <c:v>-0.1</c:v>
                </c:pt>
                <c:pt idx="341">
                  <c:v>-0.1</c:v>
                </c:pt>
                <c:pt idx="342">
                  <c:v>-0.1</c:v>
                </c:pt>
                <c:pt idx="343">
                  <c:v>-0.1</c:v>
                </c:pt>
                <c:pt idx="344">
                  <c:v>-0.1</c:v>
                </c:pt>
                <c:pt idx="345">
                  <c:v>-0.1</c:v>
                </c:pt>
                <c:pt idx="346">
                  <c:v>-0.1</c:v>
                </c:pt>
                <c:pt idx="347">
                  <c:v>-0.1</c:v>
                </c:pt>
                <c:pt idx="348">
                  <c:v>-0.1</c:v>
                </c:pt>
                <c:pt idx="349">
                  <c:v>-0.1</c:v>
                </c:pt>
                <c:pt idx="350">
                  <c:v>-0.1</c:v>
                </c:pt>
                <c:pt idx="351">
                  <c:v>-0.1</c:v>
                </c:pt>
                <c:pt idx="352">
                  <c:v>-0.1</c:v>
                </c:pt>
                <c:pt idx="353">
                  <c:v>-0.1</c:v>
                </c:pt>
                <c:pt idx="354">
                  <c:v>-0.1</c:v>
                </c:pt>
                <c:pt idx="355">
                  <c:v>-0.1</c:v>
                </c:pt>
                <c:pt idx="356">
                  <c:v>-0.1</c:v>
                </c:pt>
                <c:pt idx="357">
                  <c:v>-0.1</c:v>
                </c:pt>
                <c:pt idx="358">
                  <c:v>-0.1</c:v>
                </c:pt>
                <c:pt idx="359">
                  <c:v>-0.1</c:v>
                </c:pt>
                <c:pt idx="360">
                  <c:v>-0.1</c:v>
                </c:pt>
                <c:pt idx="361">
                  <c:v>-0.1</c:v>
                </c:pt>
                <c:pt idx="362">
                  <c:v>-0.1</c:v>
                </c:pt>
                <c:pt idx="363">
                  <c:v>-0.1</c:v>
                </c:pt>
                <c:pt idx="364">
                  <c:v>-0.1</c:v>
                </c:pt>
                <c:pt idx="365">
                  <c:v>-0.1</c:v>
                </c:pt>
                <c:pt idx="366">
                  <c:v>-0.1</c:v>
                </c:pt>
                <c:pt idx="367">
                  <c:v>-0.1</c:v>
                </c:pt>
                <c:pt idx="368">
                  <c:v>-0.1</c:v>
                </c:pt>
                <c:pt idx="369">
                  <c:v>-0.1</c:v>
                </c:pt>
                <c:pt idx="370">
                  <c:v>-0.1</c:v>
                </c:pt>
                <c:pt idx="371">
                  <c:v>-0.1</c:v>
                </c:pt>
                <c:pt idx="372">
                  <c:v>-0.1</c:v>
                </c:pt>
                <c:pt idx="373">
                  <c:v>-0.1</c:v>
                </c:pt>
                <c:pt idx="374">
                  <c:v>-0.1</c:v>
                </c:pt>
                <c:pt idx="375">
                  <c:v>-0.1</c:v>
                </c:pt>
                <c:pt idx="376">
                  <c:v>-0.1</c:v>
                </c:pt>
                <c:pt idx="377">
                  <c:v>-0.1</c:v>
                </c:pt>
                <c:pt idx="378">
                  <c:v>-0.1</c:v>
                </c:pt>
                <c:pt idx="379">
                  <c:v>-0.1</c:v>
                </c:pt>
                <c:pt idx="380">
                  <c:v>-0.1</c:v>
                </c:pt>
                <c:pt idx="381">
                  <c:v>-0.1</c:v>
                </c:pt>
                <c:pt idx="382">
                  <c:v>-0.1</c:v>
                </c:pt>
                <c:pt idx="383">
                  <c:v>-0.1</c:v>
                </c:pt>
                <c:pt idx="384">
                  <c:v>-0.1</c:v>
                </c:pt>
                <c:pt idx="385">
                  <c:v>-0.1</c:v>
                </c:pt>
                <c:pt idx="386">
                  <c:v>-0.1</c:v>
                </c:pt>
                <c:pt idx="387">
                  <c:v>-0.1</c:v>
                </c:pt>
                <c:pt idx="388">
                  <c:v>-0.1</c:v>
                </c:pt>
                <c:pt idx="389">
                  <c:v>-0.1</c:v>
                </c:pt>
                <c:pt idx="390">
                  <c:v>-0.1</c:v>
                </c:pt>
                <c:pt idx="391">
                  <c:v>-0.1</c:v>
                </c:pt>
                <c:pt idx="392">
                  <c:v>-0.1</c:v>
                </c:pt>
                <c:pt idx="393">
                  <c:v>-0.1</c:v>
                </c:pt>
                <c:pt idx="394">
                  <c:v>-0.1</c:v>
                </c:pt>
                <c:pt idx="395">
                  <c:v>-0.1</c:v>
                </c:pt>
                <c:pt idx="396">
                  <c:v>-0.1</c:v>
                </c:pt>
                <c:pt idx="397">
                  <c:v>-0.1</c:v>
                </c:pt>
                <c:pt idx="398">
                  <c:v>-0.1</c:v>
                </c:pt>
                <c:pt idx="399">
                  <c:v>-0.1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'Scenario Visualization'!$R$4:$R$503</c:f>
              <c:numCache>
                <c:formatCode>#,##0.0</c:formatCode>
                <c:ptCount val="500"/>
                <c:pt idx="0">
                  <c:v>26.455026455026456</c:v>
                </c:pt>
                <c:pt idx="1">
                  <c:v>36.458333333333336</c:v>
                </c:pt>
                <c:pt idx="2">
                  <c:v>31.746031746031747</c:v>
                </c:pt>
                <c:pt idx="3">
                  <c:v>48.648648648648646</c:v>
                </c:pt>
                <c:pt idx="4">
                  <c:v>26.595744680851062</c:v>
                </c:pt>
                <c:pt idx="5">
                  <c:v>20.833333333333332</c:v>
                </c:pt>
                <c:pt idx="6">
                  <c:v>23.121387283236995</c:v>
                </c:pt>
                <c:pt idx="7">
                  <c:v>54.644808743169399</c:v>
                </c:pt>
                <c:pt idx="8">
                  <c:v>32.432432432432435</c:v>
                </c:pt>
                <c:pt idx="9">
                  <c:v>53.475935828877006</c:v>
                </c:pt>
                <c:pt idx="10">
                  <c:v>40.697674418604649</c:v>
                </c:pt>
                <c:pt idx="11">
                  <c:v>41.666666666666664</c:v>
                </c:pt>
                <c:pt idx="12">
                  <c:v>25.773195876288661</c:v>
                </c:pt>
                <c:pt idx="13">
                  <c:v>16.759776536312849</c:v>
                </c:pt>
                <c:pt idx="14">
                  <c:v>20.512820512820515</c:v>
                </c:pt>
                <c:pt idx="15">
                  <c:v>28.40909090909091</c:v>
                </c:pt>
                <c:pt idx="16">
                  <c:v>32.967032967032964</c:v>
                </c:pt>
                <c:pt idx="17">
                  <c:v>37.037037037037038</c:v>
                </c:pt>
                <c:pt idx="18">
                  <c:v>26.737967914438503</c:v>
                </c:pt>
                <c:pt idx="19">
                  <c:v>5.9880239520958085</c:v>
                </c:pt>
                <c:pt idx="20">
                  <c:v>45.454545454545453</c:v>
                </c:pt>
                <c:pt idx="21">
                  <c:v>20.725388601036268</c:v>
                </c:pt>
                <c:pt idx="22">
                  <c:v>45.918367346938773</c:v>
                </c:pt>
                <c:pt idx="23">
                  <c:v>44.19889502762431</c:v>
                </c:pt>
                <c:pt idx="24">
                  <c:v>30.76923076923077</c:v>
                </c:pt>
                <c:pt idx="25">
                  <c:v>60.439560439560438</c:v>
                </c:pt>
                <c:pt idx="26">
                  <c:v>43.243243243243242</c:v>
                </c:pt>
                <c:pt idx="27">
                  <c:v>28.735632183908045</c:v>
                </c:pt>
                <c:pt idx="28">
                  <c:v>24.752475247524753</c:v>
                </c:pt>
                <c:pt idx="29">
                  <c:v>36.809815950920246</c:v>
                </c:pt>
                <c:pt idx="30">
                  <c:v>29.239766081871345</c:v>
                </c:pt>
                <c:pt idx="31">
                  <c:v>52.083333333333336</c:v>
                </c:pt>
                <c:pt idx="32">
                  <c:v>45.685279187817258</c:v>
                </c:pt>
                <c:pt idx="33">
                  <c:v>17.045454545454547</c:v>
                </c:pt>
                <c:pt idx="34">
                  <c:v>32.432432432432435</c:v>
                </c:pt>
                <c:pt idx="35">
                  <c:v>41.025641025641029</c:v>
                </c:pt>
                <c:pt idx="36">
                  <c:v>17.964071856287426</c:v>
                </c:pt>
                <c:pt idx="37">
                  <c:v>37.234042553191486</c:v>
                </c:pt>
                <c:pt idx="38">
                  <c:v>64.516129032258064</c:v>
                </c:pt>
                <c:pt idx="39">
                  <c:v>48.484848484848484</c:v>
                </c:pt>
                <c:pt idx="40">
                  <c:v>60.10928961748634</c:v>
                </c:pt>
                <c:pt idx="41">
                  <c:v>36.269430051813472</c:v>
                </c:pt>
                <c:pt idx="42">
                  <c:v>49.723756906077348</c:v>
                </c:pt>
                <c:pt idx="43">
                  <c:v>15.151515151515152</c:v>
                </c:pt>
                <c:pt idx="44">
                  <c:v>40</c:v>
                </c:pt>
                <c:pt idx="45">
                  <c:v>28.571428571428573</c:v>
                </c:pt>
                <c:pt idx="46">
                  <c:v>41.237113402061858</c:v>
                </c:pt>
                <c:pt idx="47">
                  <c:v>5.5865921787709496</c:v>
                </c:pt>
                <c:pt idx="48">
                  <c:v>49.450549450549453</c:v>
                </c:pt>
                <c:pt idx="49">
                  <c:v>35</c:v>
                </c:pt>
                <c:pt idx="50">
                  <c:v>36.585365853658537</c:v>
                </c:pt>
                <c:pt idx="51">
                  <c:v>15.957446808510639</c:v>
                </c:pt>
                <c:pt idx="52">
                  <c:v>44.19889502762431</c:v>
                </c:pt>
                <c:pt idx="53">
                  <c:v>37.5</c:v>
                </c:pt>
                <c:pt idx="54">
                  <c:v>39.800995024875618</c:v>
                </c:pt>
                <c:pt idx="55">
                  <c:v>72.222222222222229</c:v>
                </c:pt>
                <c:pt idx="56">
                  <c:v>24.539877300613497</c:v>
                </c:pt>
                <c:pt idx="57">
                  <c:v>47.846889952153113</c:v>
                </c:pt>
                <c:pt idx="58">
                  <c:v>16.483516483516482</c:v>
                </c:pt>
                <c:pt idx="59">
                  <c:v>39.772727272727273</c:v>
                </c:pt>
                <c:pt idx="60">
                  <c:v>37.558685446009392</c:v>
                </c:pt>
                <c:pt idx="61">
                  <c:v>27.3224043715847</c:v>
                </c:pt>
                <c:pt idx="62">
                  <c:v>43.478260869565219</c:v>
                </c:pt>
                <c:pt idx="63">
                  <c:v>30.456852791878173</c:v>
                </c:pt>
                <c:pt idx="64">
                  <c:v>33.898305084745765</c:v>
                </c:pt>
                <c:pt idx="65">
                  <c:v>60.439560439560438</c:v>
                </c:pt>
                <c:pt idx="66">
                  <c:v>60.301507537688444</c:v>
                </c:pt>
                <c:pt idx="67">
                  <c:v>35</c:v>
                </c:pt>
                <c:pt idx="68">
                  <c:v>14.388489208633093</c:v>
                </c:pt>
                <c:pt idx="69">
                  <c:v>17.543859649122808</c:v>
                </c:pt>
                <c:pt idx="70">
                  <c:v>45.197740112994353</c:v>
                </c:pt>
                <c:pt idx="71">
                  <c:v>48.543689320388353</c:v>
                </c:pt>
                <c:pt idx="72">
                  <c:v>29.126213592233011</c:v>
                </c:pt>
                <c:pt idx="73">
                  <c:v>34.285714285714285</c:v>
                </c:pt>
                <c:pt idx="74">
                  <c:v>33.707865168539328</c:v>
                </c:pt>
                <c:pt idx="75">
                  <c:v>25.316455696202532</c:v>
                </c:pt>
                <c:pt idx="76">
                  <c:v>76.142131979695435</c:v>
                </c:pt>
                <c:pt idx="77">
                  <c:v>50.251256281407038</c:v>
                </c:pt>
                <c:pt idx="78">
                  <c:v>39.024390243902438</c:v>
                </c:pt>
                <c:pt idx="79">
                  <c:v>26.455026455026456</c:v>
                </c:pt>
                <c:pt idx="80">
                  <c:v>44.585987261146499</c:v>
                </c:pt>
                <c:pt idx="81">
                  <c:v>58.201058201058203</c:v>
                </c:pt>
                <c:pt idx="82">
                  <c:v>69.892473118279568</c:v>
                </c:pt>
                <c:pt idx="83">
                  <c:v>31.088082901554404</c:v>
                </c:pt>
                <c:pt idx="84">
                  <c:v>43.478260869565219</c:v>
                </c:pt>
                <c:pt idx="85">
                  <c:v>49.382716049382715</c:v>
                </c:pt>
                <c:pt idx="86">
                  <c:v>5.7142857142857144</c:v>
                </c:pt>
                <c:pt idx="87">
                  <c:v>28.089887640449437</c:v>
                </c:pt>
                <c:pt idx="88">
                  <c:v>67.961165048543691</c:v>
                </c:pt>
                <c:pt idx="89">
                  <c:v>59.171597633136095</c:v>
                </c:pt>
                <c:pt idx="90">
                  <c:v>21.739130434782609</c:v>
                </c:pt>
                <c:pt idx="91">
                  <c:v>28.735632183908045</c:v>
                </c:pt>
                <c:pt idx="92">
                  <c:v>64.705882352941174</c:v>
                </c:pt>
                <c:pt idx="93">
                  <c:v>53.921568627450981</c:v>
                </c:pt>
                <c:pt idx="94">
                  <c:v>47.61904761904762</c:v>
                </c:pt>
                <c:pt idx="95">
                  <c:v>35.897435897435898</c:v>
                </c:pt>
                <c:pt idx="96">
                  <c:v>23.668639053254438</c:v>
                </c:pt>
                <c:pt idx="97">
                  <c:v>28.089887640449437</c:v>
                </c:pt>
                <c:pt idx="98">
                  <c:v>74.285714285714292</c:v>
                </c:pt>
                <c:pt idx="99">
                  <c:v>88.082901554404145</c:v>
                </c:pt>
                <c:pt idx="100">
                  <c:v>26.041666666666668</c:v>
                </c:pt>
                <c:pt idx="101">
                  <c:v>36.842105263157897</c:v>
                </c:pt>
                <c:pt idx="102">
                  <c:v>31.914893617021278</c:v>
                </c:pt>
                <c:pt idx="103">
                  <c:v>48.913043478260867</c:v>
                </c:pt>
                <c:pt idx="104">
                  <c:v>36.64921465968586</c:v>
                </c:pt>
                <c:pt idx="105">
                  <c:v>15.544041450777202</c:v>
                </c:pt>
                <c:pt idx="106">
                  <c:v>22.988505747126435</c:v>
                </c:pt>
                <c:pt idx="107">
                  <c:v>54.644808743169399</c:v>
                </c:pt>
                <c:pt idx="108">
                  <c:v>21.390374331550802</c:v>
                </c:pt>
                <c:pt idx="109">
                  <c:v>47.368421052631582</c:v>
                </c:pt>
                <c:pt idx="110">
                  <c:v>40.462427745664741</c:v>
                </c:pt>
                <c:pt idx="111">
                  <c:v>25.510204081632654</c:v>
                </c:pt>
                <c:pt idx="112">
                  <c:v>15.544041450777202</c:v>
                </c:pt>
                <c:pt idx="113">
                  <c:v>16.574585635359117</c:v>
                </c:pt>
                <c:pt idx="114">
                  <c:v>25.252525252525253</c:v>
                </c:pt>
                <c:pt idx="115">
                  <c:v>34.285714285714285</c:v>
                </c:pt>
                <c:pt idx="116">
                  <c:v>38.888888888888886</c:v>
                </c:pt>
                <c:pt idx="117">
                  <c:v>36.842105263157897</c:v>
                </c:pt>
                <c:pt idx="118">
                  <c:v>25.773195876288661</c:v>
                </c:pt>
                <c:pt idx="119">
                  <c:v>11.834319526627219</c:v>
                </c:pt>
                <c:pt idx="120">
                  <c:v>33.333333333333336</c:v>
                </c:pt>
                <c:pt idx="121">
                  <c:v>20.833333333333332</c:v>
                </c:pt>
                <c:pt idx="122">
                  <c:v>39.408866995073893</c:v>
                </c:pt>
                <c:pt idx="123">
                  <c:v>38.46153846153846</c:v>
                </c:pt>
                <c:pt idx="124">
                  <c:v>25.641025641025642</c:v>
                </c:pt>
                <c:pt idx="125">
                  <c:v>60.773480662983424</c:v>
                </c:pt>
                <c:pt idx="126">
                  <c:v>48.913043478260867</c:v>
                </c:pt>
                <c:pt idx="127">
                  <c:v>33.149171270718234</c:v>
                </c:pt>
                <c:pt idx="128">
                  <c:v>24.752475247524753</c:v>
                </c:pt>
                <c:pt idx="129">
                  <c:v>29.940119760479043</c:v>
                </c:pt>
                <c:pt idx="130">
                  <c:v>17.241379310344829</c:v>
                </c:pt>
                <c:pt idx="131">
                  <c:v>51.813471502590673</c:v>
                </c:pt>
                <c:pt idx="132">
                  <c:v>40.816326530612244</c:v>
                </c:pt>
                <c:pt idx="133">
                  <c:v>17.142857142857142</c:v>
                </c:pt>
                <c:pt idx="134">
                  <c:v>21.621621621621621</c:v>
                </c:pt>
                <c:pt idx="135">
                  <c:v>25.252525252525253</c:v>
                </c:pt>
                <c:pt idx="136">
                  <c:v>11.764705882352942</c:v>
                </c:pt>
                <c:pt idx="137">
                  <c:v>42.328042328042329</c:v>
                </c:pt>
                <c:pt idx="138">
                  <c:v>53.763440860215056</c:v>
                </c:pt>
                <c:pt idx="139">
                  <c:v>29.761904761904763</c:v>
                </c:pt>
                <c:pt idx="140">
                  <c:v>42.328042328042329</c:v>
                </c:pt>
                <c:pt idx="141">
                  <c:v>35.714285714285715</c:v>
                </c:pt>
                <c:pt idx="142">
                  <c:v>43.478260869565219</c:v>
                </c:pt>
                <c:pt idx="143">
                  <c:v>20.100502512562816</c:v>
                </c:pt>
                <c:pt idx="144">
                  <c:v>40</c:v>
                </c:pt>
                <c:pt idx="145">
                  <c:v>27.777777777777779</c:v>
                </c:pt>
                <c:pt idx="146">
                  <c:v>35.714285714285715</c:v>
                </c:pt>
                <c:pt idx="147">
                  <c:v>11.049723756906078</c:v>
                </c:pt>
                <c:pt idx="148">
                  <c:v>49.723756906077348</c:v>
                </c:pt>
                <c:pt idx="149">
                  <c:v>24.509803921568629</c:v>
                </c:pt>
                <c:pt idx="150">
                  <c:v>41.420118343195263</c:v>
                </c:pt>
                <c:pt idx="151">
                  <c:v>21.621621621621621</c:v>
                </c:pt>
                <c:pt idx="152">
                  <c:v>49.450549450549453</c:v>
                </c:pt>
                <c:pt idx="153">
                  <c:v>48.484848484848484</c:v>
                </c:pt>
                <c:pt idx="154">
                  <c:v>45.918367346938773</c:v>
                </c:pt>
                <c:pt idx="155">
                  <c:v>78.651685393258433</c:v>
                </c:pt>
                <c:pt idx="156">
                  <c:v>18.518518518518519</c:v>
                </c:pt>
                <c:pt idx="157">
                  <c:v>51.401869158878505</c:v>
                </c:pt>
                <c:pt idx="158">
                  <c:v>16.393442622950818</c:v>
                </c:pt>
                <c:pt idx="159">
                  <c:v>39.106145251396647</c:v>
                </c:pt>
                <c:pt idx="160">
                  <c:v>37.914691943127963</c:v>
                </c:pt>
                <c:pt idx="161">
                  <c:v>27.472527472527471</c:v>
                </c:pt>
                <c:pt idx="162">
                  <c:v>42.780748663101605</c:v>
                </c:pt>
                <c:pt idx="163">
                  <c:v>30.303030303030305</c:v>
                </c:pt>
                <c:pt idx="164">
                  <c:v>21.978021978021978</c:v>
                </c:pt>
                <c:pt idx="165">
                  <c:v>49.723756906077348</c:v>
                </c:pt>
                <c:pt idx="166">
                  <c:v>50</c:v>
                </c:pt>
                <c:pt idx="167">
                  <c:v>35</c:v>
                </c:pt>
                <c:pt idx="168">
                  <c:v>13.986013986013987</c:v>
                </c:pt>
                <c:pt idx="169">
                  <c:v>17.441860465116278</c:v>
                </c:pt>
                <c:pt idx="170">
                  <c:v>45.454545454545453</c:v>
                </c:pt>
                <c:pt idx="171">
                  <c:v>49.019607843137258</c:v>
                </c:pt>
                <c:pt idx="172">
                  <c:v>24.154589371980677</c:v>
                </c:pt>
                <c:pt idx="173">
                  <c:v>33.898305084745765</c:v>
                </c:pt>
                <c:pt idx="174">
                  <c:v>16.759776536312849</c:v>
                </c:pt>
                <c:pt idx="175">
                  <c:v>31.055900621118013</c:v>
                </c:pt>
                <c:pt idx="176">
                  <c:v>74.626865671641795</c:v>
                </c:pt>
                <c:pt idx="177">
                  <c:v>44.776119402985074</c:v>
                </c:pt>
                <c:pt idx="178">
                  <c:v>44.554455445544555</c:v>
                </c:pt>
                <c:pt idx="179">
                  <c:v>21.390374331550802</c:v>
                </c:pt>
                <c:pt idx="180">
                  <c:v>37.735849056603776</c:v>
                </c:pt>
                <c:pt idx="181">
                  <c:v>52.910052910052912</c:v>
                </c:pt>
                <c:pt idx="182">
                  <c:v>75.675675675675677</c:v>
                </c:pt>
                <c:pt idx="183">
                  <c:v>31.088082901554404</c:v>
                </c:pt>
                <c:pt idx="184">
                  <c:v>37.634408602150536</c:v>
                </c:pt>
                <c:pt idx="185">
                  <c:v>47.61904761904762</c:v>
                </c:pt>
                <c:pt idx="186">
                  <c:v>11.627906976744185</c:v>
                </c:pt>
                <c:pt idx="187">
                  <c:v>22.099447513812155</c:v>
                </c:pt>
                <c:pt idx="188">
                  <c:v>61.904761904761905</c:v>
                </c:pt>
                <c:pt idx="189">
                  <c:v>45.977011494252871</c:v>
                </c:pt>
                <c:pt idx="190">
                  <c:v>21.621621621621621</c:v>
                </c:pt>
                <c:pt idx="191">
                  <c:v>28.901734104046241</c:v>
                </c:pt>
                <c:pt idx="192">
                  <c:v>59.523809523809526</c:v>
                </c:pt>
                <c:pt idx="193">
                  <c:v>59.11330049261084</c:v>
                </c:pt>
                <c:pt idx="194">
                  <c:v>47.368421052631582</c:v>
                </c:pt>
                <c:pt idx="195">
                  <c:v>25</c:v>
                </c:pt>
                <c:pt idx="196">
                  <c:v>23.952095808383234</c:v>
                </c:pt>
                <c:pt idx="197">
                  <c:v>33.707865168539328</c:v>
                </c:pt>
                <c:pt idx="198">
                  <c:v>56.81818181818182</c:v>
                </c:pt>
                <c:pt idx="199">
                  <c:v>75</c:v>
                </c:pt>
                <c:pt idx="200">
                  <c:v>25.906735751295336</c:v>
                </c:pt>
                <c:pt idx="201">
                  <c:v>26.178010471204189</c:v>
                </c:pt>
                <c:pt idx="202">
                  <c:v>37.037037037037038</c:v>
                </c:pt>
                <c:pt idx="203">
                  <c:v>43.715846994535518</c:v>
                </c:pt>
                <c:pt idx="204">
                  <c:v>26.178010471204189</c:v>
                </c:pt>
                <c:pt idx="205">
                  <c:v>10.471204188481675</c:v>
                </c:pt>
                <c:pt idx="206">
                  <c:v>29.411764705882351</c:v>
                </c:pt>
                <c:pt idx="207">
                  <c:v>59.45945945945946</c:v>
                </c:pt>
                <c:pt idx="208">
                  <c:v>16.042780748663102</c:v>
                </c:pt>
                <c:pt idx="209">
                  <c:v>41.450777202072537</c:v>
                </c:pt>
                <c:pt idx="210">
                  <c:v>40.697674418604649</c:v>
                </c:pt>
                <c:pt idx="211">
                  <c:v>31.25</c:v>
                </c:pt>
                <c:pt idx="212">
                  <c:v>15.228426395939087</c:v>
                </c:pt>
                <c:pt idx="213">
                  <c:v>16.393442622950818</c:v>
                </c:pt>
                <c:pt idx="214">
                  <c:v>20.202020202020201</c:v>
                </c:pt>
                <c:pt idx="215">
                  <c:v>34.682080924855491</c:v>
                </c:pt>
                <c:pt idx="216">
                  <c:v>27.624309392265193</c:v>
                </c:pt>
                <c:pt idx="217">
                  <c:v>41.666666666666664</c:v>
                </c:pt>
                <c:pt idx="218">
                  <c:v>20.512820512820515</c:v>
                </c:pt>
                <c:pt idx="219">
                  <c:v>11.904761904761905</c:v>
                </c:pt>
                <c:pt idx="220">
                  <c:v>38.674033149171272</c:v>
                </c:pt>
                <c:pt idx="221">
                  <c:v>20.512820512820515</c:v>
                </c:pt>
                <c:pt idx="222">
                  <c:v>39.800995024875618</c:v>
                </c:pt>
                <c:pt idx="223">
                  <c:v>32.967032967032964</c:v>
                </c:pt>
                <c:pt idx="224">
                  <c:v>25.510204081632654</c:v>
                </c:pt>
                <c:pt idx="225">
                  <c:v>59.45945945945946</c:v>
                </c:pt>
                <c:pt idx="226">
                  <c:v>37.837837837837839</c:v>
                </c:pt>
                <c:pt idx="227">
                  <c:v>21.978021978021978</c:v>
                </c:pt>
                <c:pt idx="228">
                  <c:v>24.752475247524753</c:v>
                </c:pt>
                <c:pt idx="229">
                  <c:v>29.239766081871345</c:v>
                </c:pt>
                <c:pt idx="230">
                  <c:v>11.428571428571429</c:v>
                </c:pt>
                <c:pt idx="231">
                  <c:v>46.153846153846153</c:v>
                </c:pt>
                <c:pt idx="232">
                  <c:v>35.714285714285715</c:v>
                </c:pt>
                <c:pt idx="233">
                  <c:v>11.235955056179776</c:v>
                </c:pt>
                <c:pt idx="234">
                  <c:v>26.881720430107528</c:v>
                </c:pt>
                <c:pt idx="235">
                  <c:v>19.900497512437809</c:v>
                </c:pt>
                <c:pt idx="236">
                  <c:v>17.964071856287426</c:v>
                </c:pt>
                <c:pt idx="237">
                  <c:v>36.842105263157897</c:v>
                </c:pt>
                <c:pt idx="238">
                  <c:v>54.054054054054056</c:v>
                </c:pt>
                <c:pt idx="239">
                  <c:v>29.239766081871345</c:v>
                </c:pt>
                <c:pt idx="240">
                  <c:v>42.328042328042329</c:v>
                </c:pt>
                <c:pt idx="241">
                  <c:v>30.612244897959183</c:v>
                </c:pt>
                <c:pt idx="242">
                  <c:v>43.478260869565219</c:v>
                </c:pt>
                <c:pt idx="243">
                  <c:v>20.100502512562816</c:v>
                </c:pt>
                <c:pt idx="244">
                  <c:v>34.285714285714285</c:v>
                </c:pt>
                <c:pt idx="245">
                  <c:v>21.978021978021978</c:v>
                </c:pt>
                <c:pt idx="246">
                  <c:v>30.612244897959183</c:v>
                </c:pt>
                <c:pt idx="247">
                  <c:v>16.759776536312849</c:v>
                </c:pt>
                <c:pt idx="248">
                  <c:v>37.837837837837839</c:v>
                </c:pt>
                <c:pt idx="249">
                  <c:v>19.138755980861244</c:v>
                </c:pt>
                <c:pt idx="250">
                  <c:v>46.783625730994153</c:v>
                </c:pt>
                <c:pt idx="251">
                  <c:v>21.50537634408602</c:v>
                </c:pt>
                <c:pt idx="252">
                  <c:v>38.888888888888886</c:v>
                </c:pt>
                <c:pt idx="253">
                  <c:v>54.545454545454547</c:v>
                </c:pt>
                <c:pt idx="254">
                  <c:v>35.714285714285715</c:v>
                </c:pt>
                <c:pt idx="255">
                  <c:v>67.79661016949153</c:v>
                </c:pt>
                <c:pt idx="256">
                  <c:v>12.269938650306749</c:v>
                </c:pt>
                <c:pt idx="257">
                  <c:v>46.948356807511736</c:v>
                </c:pt>
                <c:pt idx="258">
                  <c:v>33.333333333333336</c:v>
                </c:pt>
                <c:pt idx="259">
                  <c:v>45.714285714285715</c:v>
                </c:pt>
                <c:pt idx="260">
                  <c:v>28.037383177570092</c:v>
                </c:pt>
                <c:pt idx="261">
                  <c:v>21.857923497267759</c:v>
                </c:pt>
                <c:pt idx="262">
                  <c:v>36.458333333333336</c:v>
                </c:pt>
                <c:pt idx="263">
                  <c:v>30.150753768844222</c:v>
                </c:pt>
                <c:pt idx="264">
                  <c:v>21.978021978021978</c:v>
                </c:pt>
                <c:pt idx="265">
                  <c:v>38.043478260869563</c:v>
                </c:pt>
                <c:pt idx="266">
                  <c:v>39.215686274509807</c:v>
                </c:pt>
                <c:pt idx="267">
                  <c:v>19.704433497536947</c:v>
                </c:pt>
                <c:pt idx="268">
                  <c:v>14.184397163120567</c:v>
                </c:pt>
                <c:pt idx="269">
                  <c:v>29.239766081871345</c:v>
                </c:pt>
                <c:pt idx="270">
                  <c:v>46.511627906976742</c:v>
                </c:pt>
                <c:pt idx="271">
                  <c:v>43.902439024390247</c:v>
                </c:pt>
                <c:pt idx="272">
                  <c:v>24.390243902439025</c:v>
                </c:pt>
                <c:pt idx="273">
                  <c:v>28.40909090909091</c:v>
                </c:pt>
                <c:pt idx="274">
                  <c:v>16.759776536312849</c:v>
                </c:pt>
                <c:pt idx="275">
                  <c:v>24.242424242424242</c:v>
                </c:pt>
                <c:pt idx="276">
                  <c:v>65.656565656565661</c:v>
                </c:pt>
                <c:pt idx="277">
                  <c:v>40</c:v>
                </c:pt>
                <c:pt idx="278">
                  <c:v>45</c:v>
                </c:pt>
                <c:pt idx="279">
                  <c:v>21.164021164021165</c:v>
                </c:pt>
                <c:pt idx="280">
                  <c:v>43.209876543209873</c:v>
                </c:pt>
                <c:pt idx="281">
                  <c:v>41.8848167539267</c:v>
                </c:pt>
                <c:pt idx="282">
                  <c:v>69.518716577540104</c:v>
                </c:pt>
                <c:pt idx="283">
                  <c:v>37.037037037037038</c:v>
                </c:pt>
                <c:pt idx="284">
                  <c:v>36.64921465968586</c:v>
                </c:pt>
                <c:pt idx="285">
                  <c:v>47.058823529411768</c:v>
                </c:pt>
                <c:pt idx="286">
                  <c:v>5.7803468208092488</c:v>
                </c:pt>
                <c:pt idx="287">
                  <c:v>22.099447513812155</c:v>
                </c:pt>
                <c:pt idx="288">
                  <c:v>62.5</c:v>
                </c:pt>
                <c:pt idx="289">
                  <c:v>34.285714285714285</c:v>
                </c:pt>
                <c:pt idx="290">
                  <c:v>27.027027027027028</c:v>
                </c:pt>
                <c:pt idx="291">
                  <c:v>28.571428571428573</c:v>
                </c:pt>
                <c:pt idx="292">
                  <c:v>53.571428571428569</c:v>
                </c:pt>
                <c:pt idx="293">
                  <c:v>59.11330049261084</c:v>
                </c:pt>
                <c:pt idx="294">
                  <c:v>52.356020942408378</c:v>
                </c:pt>
                <c:pt idx="295">
                  <c:v>19.900497512437809</c:v>
                </c:pt>
                <c:pt idx="296">
                  <c:v>17.857142857142858</c:v>
                </c:pt>
                <c:pt idx="297">
                  <c:v>22.346368715083798</c:v>
                </c:pt>
                <c:pt idx="298">
                  <c:v>56.179775280898873</c:v>
                </c:pt>
                <c:pt idx="299">
                  <c:v>59.405940594059409</c:v>
                </c:pt>
                <c:pt idx="300">
                  <c:v>25.510204081632654</c:v>
                </c:pt>
                <c:pt idx="301">
                  <c:v>31.413612565445025</c:v>
                </c:pt>
                <c:pt idx="302">
                  <c:v>36.458333333333336</c:v>
                </c:pt>
                <c:pt idx="303">
                  <c:v>53.191489361702125</c:v>
                </c:pt>
                <c:pt idx="304">
                  <c:v>25.773195876288661</c:v>
                </c:pt>
                <c:pt idx="305">
                  <c:v>10.989010989010989</c:v>
                </c:pt>
                <c:pt idx="306">
                  <c:v>29.069767441860463</c:v>
                </c:pt>
                <c:pt idx="307">
                  <c:v>58.823529411764703</c:v>
                </c:pt>
                <c:pt idx="308">
                  <c:v>27.3224043715847</c:v>
                </c:pt>
                <c:pt idx="309">
                  <c:v>30.612244897959183</c:v>
                </c:pt>
                <c:pt idx="310">
                  <c:v>39.772727272727273</c:v>
                </c:pt>
                <c:pt idx="311">
                  <c:v>25</c:v>
                </c:pt>
                <c:pt idx="312">
                  <c:v>10.1010101010101</c:v>
                </c:pt>
                <c:pt idx="313">
                  <c:v>16.483516483516482</c:v>
                </c:pt>
                <c:pt idx="314">
                  <c:v>15</c:v>
                </c:pt>
                <c:pt idx="315">
                  <c:v>40.697674418604649</c:v>
                </c:pt>
                <c:pt idx="316">
                  <c:v>32.967032967032964</c:v>
                </c:pt>
                <c:pt idx="317">
                  <c:v>35.714285714285715</c:v>
                </c:pt>
                <c:pt idx="318">
                  <c:v>26.455026455026456</c:v>
                </c:pt>
                <c:pt idx="319">
                  <c:v>11.976047904191617</c:v>
                </c:pt>
                <c:pt idx="320">
                  <c:v>32.258064516129032</c:v>
                </c:pt>
                <c:pt idx="321">
                  <c:v>20.725388601036268</c:v>
                </c:pt>
                <c:pt idx="322">
                  <c:v>35.175879396984925</c:v>
                </c:pt>
                <c:pt idx="323">
                  <c:v>21.978021978021978</c:v>
                </c:pt>
                <c:pt idx="324">
                  <c:v>20.100502512562816</c:v>
                </c:pt>
                <c:pt idx="325">
                  <c:v>47.368421052631582</c:v>
                </c:pt>
                <c:pt idx="326">
                  <c:v>38.043478260869563</c:v>
                </c:pt>
                <c:pt idx="327">
                  <c:v>22.099447513812155</c:v>
                </c:pt>
                <c:pt idx="328">
                  <c:v>35</c:v>
                </c:pt>
                <c:pt idx="329">
                  <c:v>40.935672514619881</c:v>
                </c:pt>
                <c:pt idx="330">
                  <c:v>11.428571428571429</c:v>
                </c:pt>
                <c:pt idx="331">
                  <c:v>36.458333333333336</c:v>
                </c:pt>
                <c:pt idx="332">
                  <c:v>30.612244897959183</c:v>
                </c:pt>
                <c:pt idx="333">
                  <c:v>11.111111111111111</c:v>
                </c:pt>
                <c:pt idx="334">
                  <c:v>31.914893617021278</c:v>
                </c:pt>
                <c:pt idx="335">
                  <c:v>14.851485148514852</c:v>
                </c:pt>
                <c:pt idx="336">
                  <c:v>11.904761904761905</c:v>
                </c:pt>
                <c:pt idx="337">
                  <c:v>42.780748663101605</c:v>
                </c:pt>
                <c:pt idx="338">
                  <c:v>54.644808743169399</c:v>
                </c:pt>
                <c:pt idx="339">
                  <c:v>17.441860465116278</c:v>
                </c:pt>
                <c:pt idx="340">
                  <c:v>52.910052910052912</c:v>
                </c:pt>
                <c:pt idx="341">
                  <c:v>20.202020202020201</c:v>
                </c:pt>
                <c:pt idx="342">
                  <c:v>42.780748663101605</c:v>
                </c:pt>
                <c:pt idx="343">
                  <c:v>25.252525252525253</c:v>
                </c:pt>
                <c:pt idx="344">
                  <c:v>22.598870056497177</c:v>
                </c:pt>
                <c:pt idx="345">
                  <c:v>10.695187165775401</c:v>
                </c:pt>
                <c:pt idx="346">
                  <c:v>25.125628140703519</c:v>
                </c:pt>
                <c:pt idx="347">
                  <c:v>16.304347826086957</c:v>
                </c:pt>
                <c:pt idx="348">
                  <c:v>27.027027027027028</c:v>
                </c:pt>
                <c:pt idx="349">
                  <c:v>24.03846153846154</c:v>
                </c:pt>
                <c:pt idx="350">
                  <c:v>28.248587570621471</c:v>
                </c:pt>
                <c:pt idx="351">
                  <c:v>16.304347826086957</c:v>
                </c:pt>
                <c:pt idx="352">
                  <c:v>32.967032967032964</c:v>
                </c:pt>
                <c:pt idx="353">
                  <c:v>54.216867469879517</c:v>
                </c:pt>
                <c:pt idx="354">
                  <c:v>51.282051282051285</c:v>
                </c:pt>
                <c:pt idx="355">
                  <c:v>55.555555555555557</c:v>
                </c:pt>
                <c:pt idx="356">
                  <c:v>18.518518518518519</c:v>
                </c:pt>
                <c:pt idx="357">
                  <c:v>46.948356807511736</c:v>
                </c:pt>
                <c:pt idx="358">
                  <c:v>33.707865168539328</c:v>
                </c:pt>
                <c:pt idx="359">
                  <c:v>38.674033149171272</c:v>
                </c:pt>
                <c:pt idx="360">
                  <c:v>23.474178403755868</c:v>
                </c:pt>
                <c:pt idx="361">
                  <c:v>21.857923497267759</c:v>
                </c:pt>
                <c:pt idx="362">
                  <c:v>20.833333333333332</c:v>
                </c:pt>
                <c:pt idx="363">
                  <c:v>14.851485148514852</c:v>
                </c:pt>
                <c:pt idx="364">
                  <c:v>21.857923497267759</c:v>
                </c:pt>
                <c:pt idx="365">
                  <c:v>36.64921465968586</c:v>
                </c:pt>
                <c:pt idx="366">
                  <c:v>43.478260869565219</c:v>
                </c:pt>
                <c:pt idx="367">
                  <c:v>4.8076923076923075</c:v>
                </c:pt>
                <c:pt idx="368">
                  <c:v>13.888888888888889</c:v>
                </c:pt>
                <c:pt idx="369">
                  <c:v>22.988505747126435</c:v>
                </c:pt>
                <c:pt idx="370">
                  <c:v>40</c:v>
                </c:pt>
                <c:pt idx="371">
                  <c:v>34.653465346534652</c:v>
                </c:pt>
                <c:pt idx="372">
                  <c:v>24.154589371980677</c:v>
                </c:pt>
                <c:pt idx="373">
                  <c:v>22.222222222222221</c:v>
                </c:pt>
                <c:pt idx="374">
                  <c:v>16.574585635359117</c:v>
                </c:pt>
                <c:pt idx="375">
                  <c:v>23.952095808383234</c:v>
                </c:pt>
                <c:pt idx="376">
                  <c:v>54.187192118226598</c:v>
                </c:pt>
                <c:pt idx="377">
                  <c:v>34.482758620689658</c:v>
                </c:pt>
                <c:pt idx="378">
                  <c:v>34.313725490196077</c:v>
                </c:pt>
                <c:pt idx="379">
                  <c:v>20.94240837696335</c:v>
                </c:pt>
                <c:pt idx="380">
                  <c:v>30.487804878048781</c:v>
                </c:pt>
                <c:pt idx="381">
                  <c:v>43.01075268817204</c:v>
                </c:pt>
                <c:pt idx="382">
                  <c:v>63.829787234042556</c:v>
                </c:pt>
                <c:pt idx="383">
                  <c:v>31.578947368421051</c:v>
                </c:pt>
                <c:pt idx="384">
                  <c:v>42.553191489361701</c:v>
                </c:pt>
                <c:pt idx="385">
                  <c:v>47.058823529411768</c:v>
                </c:pt>
                <c:pt idx="386">
                  <c:v>11.627906976744185</c:v>
                </c:pt>
                <c:pt idx="387">
                  <c:v>15.957446808510639</c:v>
                </c:pt>
                <c:pt idx="388">
                  <c:v>52.132701421800945</c:v>
                </c:pt>
                <c:pt idx="389">
                  <c:v>22.471910112359552</c:v>
                </c:pt>
                <c:pt idx="390">
                  <c:v>26.595744680851062</c:v>
                </c:pt>
                <c:pt idx="391">
                  <c:v>22.727272727272727</c:v>
                </c:pt>
                <c:pt idx="392">
                  <c:v>46.24277456647399</c:v>
                </c:pt>
                <c:pt idx="393">
                  <c:v>48.543689320388353</c:v>
                </c:pt>
                <c:pt idx="394">
                  <c:v>40.816326530612244</c:v>
                </c:pt>
                <c:pt idx="395">
                  <c:v>20.304568527918782</c:v>
                </c:pt>
                <c:pt idx="396">
                  <c:v>17.857142857142858</c:v>
                </c:pt>
                <c:pt idx="397">
                  <c:v>28.40909090909091</c:v>
                </c:pt>
                <c:pt idx="398">
                  <c:v>50.279329608938546</c:v>
                </c:pt>
                <c:pt idx="399">
                  <c:v>39.215686274509807</c:v>
                </c:pt>
                <c:pt idx="400">
                  <c:v>26.041666666666668</c:v>
                </c:pt>
                <c:pt idx="401">
                  <c:v>36.64921465968586</c:v>
                </c:pt>
                <c:pt idx="402">
                  <c:v>30.927835051546392</c:v>
                </c:pt>
                <c:pt idx="403">
                  <c:v>42.780748663101605</c:v>
                </c:pt>
                <c:pt idx="404">
                  <c:v>25.641025641025642</c:v>
                </c:pt>
                <c:pt idx="405">
                  <c:v>16.574585635359117</c:v>
                </c:pt>
                <c:pt idx="406">
                  <c:v>29.069767441860463</c:v>
                </c:pt>
                <c:pt idx="407">
                  <c:v>52.910052910052912</c:v>
                </c:pt>
                <c:pt idx="408">
                  <c:v>27.472527472527471</c:v>
                </c:pt>
                <c:pt idx="409">
                  <c:v>36.458333333333336</c:v>
                </c:pt>
                <c:pt idx="410">
                  <c:v>33.333333333333336</c:v>
                </c:pt>
                <c:pt idx="411">
                  <c:v>20</c:v>
                </c:pt>
                <c:pt idx="412">
                  <c:v>10.050251256281408</c:v>
                </c:pt>
                <c:pt idx="413">
                  <c:v>16.393442622950818</c:v>
                </c:pt>
                <c:pt idx="414">
                  <c:v>20.202020202020201</c:v>
                </c:pt>
                <c:pt idx="415">
                  <c:v>46.511627906976742</c:v>
                </c:pt>
                <c:pt idx="416">
                  <c:v>54.644808743169399</c:v>
                </c:pt>
                <c:pt idx="417">
                  <c:v>41.025641025641029</c:v>
                </c:pt>
                <c:pt idx="418">
                  <c:v>26.041666666666668</c:v>
                </c:pt>
                <c:pt idx="419">
                  <c:v>11.764705882352942</c:v>
                </c:pt>
                <c:pt idx="420">
                  <c:v>26.315789473684209</c:v>
                </c:pt>
                <c:pt idx="421">
                  <c:v>20.408163265306122</c:v>
                </c:pt>
                <c:pt idx="422">
                  <c:v>40.816326530612244</c:v>
                </c:pt>
                <c:pt idx="423">
                  <c:v>16.129032258064516</c:v>
                </c:pt>
                <c:pt idx="424">
                  <c:v>14.925373134328359</c:v>
                </c:pt>
                <c:pt idx="425">
                  <c:v>36.269430051813472</c:v>
                </c:pt>
                <c:pt idx="426">
                  <c:v>37.433155080213901</c:v>
                </c:pt>
                <c:pt idx="427">
                  <c:v>21.857923497267759</c:v>
                </c:pt>
                <c:pt idx="428">
                  <c:v>35.175879396984925</c:v>
                </c:pt>
                <c:pt idx="429">
                  <c:v>41.176470588235297</c:v>
                </c:pt>
                <c:pt idx="430">
                  <c:v>5.5865921787709496</c:v>
                </c:pt>
                <c:pt idx="431">
                  <c:v>31.088082901554404</c:v>
                </c:pt>
                <c:pt idx="432">
                  <c:v>25.252525252525253</c:v>
                </c:pt>
                <c:pt idx="433">
                  <c:v>5.5248618784530388</c:v>
                </c:pt>
                <c:pt idx="434">
                  <c:v>36.082474226804123</c:v>
                </c:pt>
                <c:pt idx="435">
                  <c:v>15.075376884422111</c:v>
                </c:pt>
                <c:pt idx="436">
                  <c:v>11.904761904761905</c:v>
                </c:pt>
                <c:pt idx="437">
                  <c:v>42.10526315789474</c:v>
                </c:pt>
                <c:pt idx="438">
                  <c:v>60.10928961748634</c:v>
                </c:pt>
                <c:pt idx="439">
                  <c:v>5.8479532163742691</c:v>
                </c:pt>
                <c:pt idx="440">
                  <c:v>52.083333333333336</c:v>
                </c:pt>
                <c:pt idx="441">
                  <c:v>20.408163265306122</c:v>
                </c:pt>
                <c:pt idx="442">
                  <c:v>26.595744680851062</c:v>
                </c:pt>
                <c:pt idx="443">
                  <c:v>30.303030303030305</c:v>
                </c:pt>
                <c:pt idx="444">
                  <c:v>11.235955056179776</c:v>
                </c:pt>
                <c:pt idx="445">
                  <c:v>10.362694300518134</c:v>
                </c:pt>
                <c:pt idx="446">
                  <c:v>25.125628140703519</c:v>
                </c:pt>
                <c:pt idx="447">
                  <c:v>21.621621621621621</c:v>
                </c:pt>
                <c:pt idx="448">
                  <c:v>26.737967914438503</c:v>
                </c:pt>
                <c:pt idx="449">
                  <c:v>28.571428571428573</c:v>
                </c:pt>
                <c:pt idx="450">
                  <c:v>28.089887640449437</c:v>
                </c:pt>
                <c:pt idx="451">
                  <c:v>27.3224043715847</c:v>
                </c:pt>
                <c:pt idx="452">
                  <c:v>26.881720430107528</c:v>
                </c:pt>
                <c:pt idx="453">
                  <c:v>46.783625730994153</c:v>
                </c:pt>
                <c:pt idx="454">
                  <c:v>49.261083743842363</c:v>
                </c:pt>
                <c:pt idx="455">
                  <c:v>32.786885245901637</c:v>
                </c:pt>
                <c:pt idx="456">
                  <c:v>24.096385542168676</c:v>
                </c:pt>
                <c:pt idx="457">
                  <c:v>42.25352112676056</c:v>
                </c:pt>
                <c:pt idx="458">
                  <c:v>33.519553072625698</c:v>
                </c:pt>
                <c:pt idx="459">
                  <c:v>32.432432432432435</c:v>
                </c:pt>
                <c:pt idx="460">
                  <c:v>18.604651162790699</c:v>
                </c:pt>
                <c:pt idx="461">
                  <c:v>16.129032258064516</c:v>
                </c:pt>
                <c:pt idx="462">
                  <c:v>15.075376884422111</c:v>
                </c:pt>
                <c:pt idx="463">
                  <c:v>14.851485148514852</c:v>
                </c:pt>
                <c:pt idx="464">
                  <c:v>21.739130434782609</c:v>
                </c:pt>
                <c:pt idx="465">
                  <c:v>30.76923076923077</c:v>
                </c:pt>
                <c:pt idx="466">
                  <c:v>28.846153846153847</c:v>
                </c:pt>
                <c:pt idx="467">
                  <c:v>4.8076923076923075</c:v>
                </c:pt>
                <c:pt idx="468">
                  <c:v>20.97902097902098</c:v>
                </c:pt>
                <c:pt idx="469">
                  <c:v>22.471910112359552</c:v>
                </c:pt>
                <c:pt idx="470">
                  <c:v>40</c:v>
                </c:pt>
                <c:pt idx="471">
                  <c:v>35.532994923857871</c:v>
                </c:pt>
                <c:pt idx="472">
                  <c:v>19.801980198019802</c:v>
                </c:pt>
                <c:pt idx="473">
                  <c:v>27.624309392265193</c:v>
                </c:pt>
                <c:pt idx="474">
                  <c:v>16.759776536312849</c:v>
                </c:pt>
                <c:pt idx="475">
                  <c:v>23.80952380952381</c:v>
                </c:pt>
                <c:pt idx="476">
                  <c:v>53.921568627450981</c:v>
                </c:pt>
                <c:pt idx="477">
                  <c:v>29.55665024630542</c:v>
                </c:pt>
                <c:pt idx="478">
                  <c:v>24.630541871921181</c:v>
                </c:pt>
                <c:pt idx="479">
                  <c:v>15.873015873015873</c:v>
                </c:pt>
                <c:pt idx="480">
                  <c:v>30.674846625766872</c:v>
                </c:pt>
                <c:pt idx="481">
                  <c:v>31.746031746031747</c:v>
                </c:pt>
                <c:pt idx="482">
                  <c:v>58.51063829787234</c:v>
                </c:pt>
                <c:pt idx="483">
                  <c:v>26.315789473684209</c:v>
                </c:pt>
                <c:pt idx="484">
                  <c:v>36.842105263157897</c:v>
                </c:pt>
                <c:pt idx="485">
                  <c:v>40.462427745664741</c:v>
                </c:pt>
                <c:pt idx="486">
                  <c:v>17.142857142857142</c:v>
                </c:pt>
                <c:pt idx="487">
                  <c:v>26.881720430107528</c:v>
                </c:pt>
                <c:pt idx="488">
                  <c:v>57.142857142857146</c:v>
                </c:pt>
                <c:pt idx="489">
                  <c:v>22.222222222222221</c:v>
                </c:pt>
                <c:pt idx="490">
                  <c:v>26.178010471204189</c:v>
                </c:pt>
                <c:pt idx="491">
                  <c:v>28.40909090909091</c:v>
                </c:pt>
                <c:pt idx="492">
                  <c:v>39.548022598870055</c:v>
                </c:pt>
                <c:pt idx="493">
                  <c:v>47.169811320754718</c:v>
                </c:pt>
                <c:pt idx="494">
                  <c:v>40.201005025125632</c:v>
                </c:pt>
                <c:pt idx="495">
                  <c:v>20.408163265306122</c:v>
                </c:pt>
                <c:pt idx="496">
                  <c:v>11.904761904761905</c:v>
                </c:pt>
                <c:pt idx="497">
                  <c:v>34.482758620689658</c:v>
                </c:pt>
                <c:pt idx="498">
                  <c:v>37.634408602150536</c:v>
                </c:pt>
                <c:pt idx="499">
                  <c:v>34.313725490196077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42-4147-8D00-6C57BD84E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853568"/>
        <c:axId val="680847664"/>
      </c:scatterChart>
      <c:valAx>
        <c:axId val="68085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Decrease in Access to Contraceptives among "Safe Sex" Group</a:t>
                </a:r>
                <a:endParaRPr lang="en-US" sz="1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847664"/>
        <c:crosses val="autoZero"/>
        <c:crossBetween val="midCat"/>
      </c:valAx>
      <c:valAx>
        <c:axId val="68084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85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'Scenario Visualization'!$T$2:$U$2</c:f>
              <c:strCache>
                <c:ptCount val="1"/>
                <c:pt idx="0">
                  <c:v>AEP per 1,000 nonpregnant-aware, nonsteril women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7072446589337623"/>
                  <c:y val="-0.240412818768024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'Scenario Visualization'!$T$4:$T$503</c:f>
              <c:numCache>
                <c:formatCode>0%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0.3</c:v>
                </c:pt>
                <c:pt idx="301">
                  <c:v>0.3</c:v>
                </c:pt>
                <c:pt idx="302">
                  <c:v>0.3</c:v>
                </c:pt>
                <c:pt idx="303">
                  <c:v>0.3</c:v>
                </c:pt>
                <c:pt idx="304">
                  <c:v>0.3</c:v>
                </c:pt>
                <c:pt idx="305">
                  <c:v>0.3</c:v>
                </c:pt>
                <c:pt idx="306">
                  <c:v>0.3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0.3</c:v>
                </c:pt>
                <c:pt idx="333">
                  <c:v>0.3</c:v>
                </c:pt>
                <c:pt idx="334">
                  <c:v>0.3</c:v>
                </c:pt>
                <c:pt idx="335">
                  <c:v>0.3</c:v>
                </c:pt>
                <c:pt idx="336">
                  <c:v>0.3</c:v>
                </c:pt>
                <c:pt idx="337">
                  <c:v>0.3</c:v>
                </c:pt>
                <c:pt idx="338">
                  <c:v>0.3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0.3</c:v>
                </c:pt>
                <c:pt idx="347">
                  <c:v>0.3</c:v>
                </c:pt>
                <c:pt idx="348">
                  <c:v>0.3</c:v>
                </c:pt>
                <c:pt idx="349">
                  <c:v>0.3</c:v>
                </c:pt>
                <c:pt idx="350">
                  <c:v>0.3</c:v>
                </c:pt>
                <c:pt idx="351">
                  <c:v>0.3</c:v>
                </c:pt>
                <c:pt idx="352">
                  <c:v>0.3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0.3</c:v>
                </c:pt>
                <c:pt idx="360">
                  <c:v>0.3</c:v>
                </c:pt>
                <c:pt idx="361">
                  <c:v>0.3</c:v>
                </c:pt>
                <c:pt idx="362">
                  <c:v>0.3</c:v>
                </c:pt>
                <c:pt idx="363">
                  <c:v>0.3</c:v>
                </c:pt>
                <c:pt idx="364">
                  <c:v>0.3</c:v>
                </c:pt>
                <c:pt idx="365">
                  <c:v>0.3</c:v>
                </c:pt>
                <c:pt idx="366">
                  <c:v>0.3</c:v>
                </c:pt>
                <c:pt idx="367">
                  <c:v>0.3</c:v>
                </c:pt>
                <c:pt idx="368">
                  <c:v>0.3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0.3</c:v>
                </c:pt>
                <c:pt idx="379">
                  <c:v>0.3</c:v>
                </c:pt>
                <c:pt idx="380">
                  <c:v>0.3</c:v>
                </c:pt>
                <c:pt idx="381">
                  <c:v>0.3</c:v>
                </c:pt>
                <c:pt idx="382">
                  <c:v>0.3</c:v>
                </c:pt>
                <c:pt idx="383">
                  <c:v>0.3</c:v>
                </c:pt>
                <c:pt idx="384">
                  <c:v>0.3</c:v>
                </c:pt>
                <c:pt idx="385">
                  <c:v>0.3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0.4</c:v>
                </c:pt>
                <c:pt idx="401">
                  <c:v>0.4</c:v>
                </c:pt>
                <c:pt idx="402">
                  <c:v>0.4</c:v>
                </c:pt>
                <c:pt idx="403">
                  <c:v>0.4</c:v>
                </c:pt>
                <c:pt idx="404">
                  <c:v>0.4</c:v>
                </c:pt>
                <c:pt idx="405">
                  <c:v>0.4</c:v>
                </c:pt>
                <c:pt idx="406">
                  <c:v>0.4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0.4</c:v>
                </c:pt>
                <c:pt idx="416">
                  <c:v>0.4</c:v>
                </c:pt>
                <c:pt idx="417">
                  <c:v>0.4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0.4</c:v>
                </c:pt>
                <c:pt idx="426">
                  <c:v>0.4</c:v>
                </c:pt>
                <c:pt idx="427">
                  <c:v>0.4</c:v>
                </c:pt>
                <c:pt idx="428">
                  <c:v>0.4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0.4</c:v>
                </c:pt>
                <c:pt idx="435">
                  <c:v>0.4</c:v>
                </c:pt>
                <c:pt idx="436">
                  <c:v>0.4</c:v>
                </c:pt>
                <c:pt idx="437">
                  <c:v>0.4</c:v>
                </c:pt>
                <c:pt idx="438">
                  <c:v>0.4</c:v>
                </c:pt>
                <c:pt idx="439">
                  <c:v>0.4</c:v>
                </c:pt>
                <c:pt idx="440">
                  <c:v>0.4</c:v>
                </c:pt>
                <c:pt idx="441">
                  <c:v>0.4</c:v>
                </c:pt>
                <c:pt idx="442">
                  <c:v>0.4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0.4</c:v>
                </c:pt>
                <c:pt idx="454">
                  <c:v>0.4</c:v>
                </c:pt>
                <c:pt idx="455">
                  <c:v>0.4</c:v>
                </c:pt>
                <c:pt idx="456">
                  <c:v>0.4</c:v>
                </c:pt>
                <c:pt idx="457">
                  <c:v>0.4</c:v>
                </c:pt>
                <c:pt idx="458">
                  <c:v>0.4</c:v>
                </c:pt>
                <c:pt idx="459">
                  <c:v>0.4</c:v>
                </c:pt>
                <c:pt idx="460">
                  <c:v>0.4</c:v>
                </c:pt>
                <c:pt idx="461">
                  <c:v>0.4</c:v>
                </c:pt>
                <c:pt idx="462">
                  <c:v>0.4</c:v>
                </c:pt>
                <c:pt idx="463">
                  <c:v>0.4</c:v>
                </c:pt>
                <c:pt idx="464">
                  <c:v>0.4</c:v>
                </c:pt>
                <c:pt idx="465">
                  <c:v>0.4</c:v>
                </c:pt>
                <c:pt idx="466">
                  <c:v>0.4</c:v>
                </c:pt>
                <c:pt idx="467">
                  <c:v>0.4</c:v>
                </c:pt>
                <c:pt idx="468">
                  <c:v>0.4</c:v>
                </c:pt>
                <c:pt idx="469">
                  <c:v>0.4</c:v>
                </c:pt>
                <c:pt idx="470">
                  <c:v>0.4</c:v>
                </c:pt>
                <c:pt idx="471">
                  <c:v>0.4</c:v>
                </c:pt>
                <c:pt idx="472">
                  <c:v>0.4</c:v>
                </c:pt>
                <c:pt idx="473">
                  <c:v>0.4</c:v>
                </c:pt>
                <c:pt idx="474">
                  <c:v>0.4</c:v>
                </c:pt>
                <c:pt idx="475">
                  <c:v>0.4</c:v>
                </c:pt>
                <c:pt idx="476">
                  <c:v>0.4</c:v>
                </c:pt>
                <c:pt idx="477">
                  <c:v>0.4</c:v>
                </c:pt>
                <c:pt idx="478">
                  <c:v>0.4</c:v>
                </c:pt>
                <c:pt idx="479">
                  <c:v>0.4</c:v>
                </c:pt>
                <c:pt idx="480">
                  <c:v>0.4</c:v>
                </c:pt>
                <c:pt idx="481">
                  <c:v>0.4</c:v>
                </c:pt>
                <c:pt idx="482">
                  <c:v>0.4</c:v>
                </c:pt>
                <c:pt idx="483">
                  <c:v>0.4</c:v>
                </c:pt>
                <c:pt idx="484">
                  <c:v>0.4</c:v>
                </c:pt>
                <c:pt idx="485">
                  <c:v>0.4</c:v>
                </c:pt>
                <c:pt idx="486">
                  <c:v>0.4</c:v>
                </c:pt>
                <c:pt idx="487">
                  <c:v>0.4</c:v>
                </c:pt>
                <c:pt idx="488">
                  <c:v>0.4</c:v>
                </c:pt>
                <c:pt idx="489">
                  <c:v>0.4</c:v>
                </c:pt>
                <c:pt idx="490">
                  <c:v>0.4</c:v>
                </c:pt>
                <c:pt idx="491">
                  <c:v>0.4</c:v>
                </c:pt>
                <c:pt idx="492">
                  <c:v>0.4</c:v>
                </c:pt>
                <c:pt idx="493">
                  <c:v>0.4</c:v>
                </c:pt>
                <c:pt idx="494">
                  <c:v>0.4</c:v>
                </c:pt>
                <c:pt idx="495">
                  <c:v>0.4</c:v>
                </c:pt>
                <c:pt idx="496">
                  <c:v>0.4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</c:numCache>
            </c:numRef>
          </c:xVal>
          <c:yVal>
            <c:numRef>
              <c:f>'Scenario Visualization'!$U$4:$U$503</c:f>
              <c:numCache>
                <c:formatCode>#,##0.0</c:formatCode>
                <c:ptCount val="500"/>
                <c:pt idx="0">
                  <c:v>26.041666666666668</c:v>
                </c:pt>
                <c:pt idx="1">
                  <c:v>36.64921465968586</c:v>
                </c:pt>
                <c:pt idx="2">
                  <c:v>30.927835051546392</c:v>
                </c:pt>
                <c:pt idx="3">
                  <c:v>42.780748663101605</c:v>
                </c:pt>
                <c:pt idx="4">
                  <c:v>25.641025641025642</c:v>
                </c:pt>
                <c:pt idx="5">
                  <c:v>16.574585635359117</c:v>
                </c:pt>
                <c:pt idx="6">
                  <c:v>29.069767441860463</c:v>
                </c:pt>
                <c:pt idx="7">
                  <c:v>52.910052910052912</c:v>
                </c:pt>
                <c:pt idx="8">
                  <c:v>27.472527472527471</c:v>
                </c:pt>
                <c:pt idx="9">
                  <c:v>36.458333333333336</c:v>
                </c:pt>
                <c:pt idx="10">
                  <c:v>33.333333333333336</c:v>
                </c:pt>
                <c:pt idx="11">
                  <c:v>20</c:v>
                </c:pt>
                <c:pt idx="12">
                  <c:v>10.050251256281408</c:v>
                </c:pt>
                <c:pt idx="13">
                  <c:v>16.393442622950818</c:v>
                </c:pt>
                <c:pt idx="14">
                  <c:v>20.202020202020201</c:v>
                </c:pt>
                <c:pt idx="15">
                  <c:v>46.511627906976742</c:v>
                </c:pt>
                <c:pt idx="16">
                  <c:v>54.644808743169399</c:v>
                </c:pt>
                <c:pt idx="17">
                  <c:v>41.025641025641029</c:v>
                </c:pt>
                <c:pt idx="18">
                  <c:v>26.041666666666668</c:v>
                </c:pt>
                <c:pt idx="19">
                  <c:v>11.764705882352942</c:v>
                </c:pt>
                <c:pt idx="20">
                  <c:v>26.315789473684209</c:v>
                </c:pt>
                <c:pt idx="21">
                  <c:v>20.408163265306122</c:v>
                </c:pt>
                <c:pt idx="22">
                  <c:v>40.816326530612244</c:v>
                </c:pt>
                <c:pt idx="23">
                  <c:v>16.129032258064516</c:v>
                </c:pt>
                <c:pt idx="24">
                  <c:v>14.925373134328359</c:v>
                </c:pt>
                <c:pt idx="25">
                  <c:v>36.269430051813472</c:v>
                </c:pt>
                <c:pt idx="26">
                  <c:v>37.433155080213901</c:v>
                </c:pt>
                <c:pt idx="27">
                  <c:v>21.857923497267759</c:v>
                </c:pt>
                <c:pt idx="28">
                  <c:v>35.175879396984925</c:v>
                </c:pt>
                <c:pt idx="29">
                  <c:v>41.176470588235297</c:v>
                </c:pt>
                <c:pt idx="30">
                  <c:v>5.5865921787709496</c:v>
                </c:pt>
                <c:pt idx="31">
                  <c:v>31.088082901554404</c:v>
                </c:pt>
                <c:pt idx="32">
                  <c:v>25.252525252525253</c:v>
                </c:pt>
                <c:pt idx="33">
                  <c:v>5.5248618784530388</c:v>
                </c:pt>
                <c:pt idx="34">
                  <c:v>36.082474226804123</c:v>
                </c:pt>
                <c:pt idx="35">
                  <c:v>15.075376884422111</c:v>
                </c:pt>
                <c:pt idx="36">
                  <c:v>11.904761904761905</c:v>
                </c:pt>
                <c:pt idx="37">
                  <c:v>42.10526315789474</c:v>
                </c:pt>
                <c:pt idx="38">
                  <c:v>60.10928961748634</c:v>
                </c:pt>
                <c:pt idx="39">
                  <c:v>5.8479532163742691</c:v>
                </c:pt>
                <c:pt idx="40">
                  <c:v>52.083333333333336</c:v>
                </c:pt>
                <c:pt idx="41">
                  <c:v>20.408163265306122</c:v>
                </c:pt>
                <c:pt idx="42">
                  <c:v>26.595744680851062</c:v>
                </c:pt>
                <c:pt idx="43">
                  <c:v>30.303030303030305</c:v>
                </c:pt>
                <c:pt idx="44">
                  <c:v>11.235955056179776</c:v>
                </c:pt>
                <c:pt idx="45">
                  <c:v>10.362694300518134</c:v>
                </c:pt>
                <c:pt idx="46">
                  <c:v>25.125628140703519</c:v>
                </c:pt>
                <c:pt idx="47">
                  <c:v>21.621621621621621</c:v>
                </c:pt>
                <c:pt idx="48">
                  <c:v>26.737967914438503</c:v>
                </c:pt>
                <c:pt idx="49">
                  <c:v>28.571428571428573</c:v>
                </c:pt>
                <c:pt idx="50">
                  <c:v>28.089887640449437</c:v>
                </c:pt>
                <c:pt idx="51">
                  <c:v>27.3224043715847</c:v>
                </c:pt>
                <c:pt idx="52">
                  <c:v>26.881720430107528</c:v>
                </c:pt>
                <c:pt idx="53">
                  <c:v>46.783625730994153</c:v>
                </c:pt>
                <c:pt idx="54">
                  <c:v>49.261083743842363</c:v>
                </c:pt>
                <c:pt idx="55">
                  <c:v>32.786885245901637</c:v>
                </c:pt>
                <c:pt idx="56">
                  <c:v>24.096385542168676</c:v>
                </c:pt>
                <c:pt idx="57">
                  <c:v>42.25352112676056</c:v>
                </c:pt>
                <c:pt idx="58">
                  <c:v>33.519553072625698</c:v>
                </c:pt>
                <c:pt idx="59">
                  <c:v>32.432432432432435</c:v>
                </c:pt>
                <c:pt idx="60">
                  <c:v>18.604651162790699</c:v>
                </c:pt>
                <c:pt idx="61">
                  <c:v>16.129032258064516</c:v>
                </c:pt>
                <c:pt idx="62">
                  <c:v>15.075376884422111</c:v>
                </c:pt>
                <c:pt idx="63">
                  <c:v>14.851485148514852</c:v>
                </c:pt>
                <c:pt idx="64">
                  <c:v>21.739130434782609</c:v>
                </c:pt>
                <c:pt idx="65">
                  <c:v>30.76923076923077</c:v>
                </c:pt>
                <c:pt idx="66">
                  <c:v>28.846153846153847</c:v>
                </c:pt>
                <c:pt idx="67">
                  <c:v>4.8076923076923075</c:v>
                </c:pt>
                <c:pt idx="68">
                  <c:v>20.97902097902098</c:v>
                </c:pt>
                <c:pt idx="69">
                  <c:v>22.471910112359552</c:v>
                </c:pt>
                <c:pt idx="70">
                  <c:v>40</c:v>
                </c:pt>
                <c:pt idx="71">
                  <c:v>35.532994923857871</c:v>
                </c:pt>
                <c:pt idx="72">
                  <c:v>19.801980198019802</c:v>
                </c:pt>
                <c:pt idx="73">
                  <c:v>27.624309392265193</c:v>
                </c:pt>
                <c:pt idx="74">
                  <c:v>16.759776536312849</c:v>
                </c:pt>
                <c:pt idx="75">
                  <c:v>23.80952380952381</c:v>
                </c:pt>
                <c:pt idx="76">
                  <c:v>53.921568627450981</c:v>
                </c:pt>
                <c:pt idx="77">
                  <c:v>29.55665024630542</c:v>
                </c:pt>
                <c:pt idx="78">
                  <c:v>24.630541871921181</c:v>
                </c:pt>
                <c:pt idx="79">
                  <c:v>15.873015873015873</c:v>
                </c:pt>
                <c:pt idx="80">
                  <c:v>30.674846625766872</c:v>
                </c:pt>
                <c:pt idx="81">
                  <c:v>31.746031746031747</c:v>
                </c:pt>
                <c:pt idx="82">
                  <c:v>58.51063829787234</c:v>
                </c:pt>
                <c:pt idx="83">
                  <c:v>26.315789473684209</c:v>
                </c:pt>
                <c:pt idx="84">
                  <c:v>36.842105263157897</c:v>
                </c:pt>
                <c:pt idx="85">
                  <c:v>40.462427745664741</c:v>
                </c:pt>
                <c:pt idx="86">
                  <c:v>17.142857142857142</c:v>
                </c:pt>
                <c:pt idx="87">
                  <c:v>26.881720430107528</c:v>
                </c:pt>
                <c:pt idx="88">
                  <c:v>57.142857142857146</c:v>
                </c:pt>
                <c:pt idx="89">
                  <c:v>22.222222222222221</c:v>
                </c:pt>
                <c:pt idx="90">
                  <c:v>26.178010471204189</c:v>
                </c:pt>
                <c:pt idx="91">
                  <c:v>28.40909090909091</c:v>
                </c:pt>
                <c:pt idx="92">
                  <c:v>39.548022598870055</c:v>
                </c:pt>
                <c:pt idx="93">
                  <c:v>47.169811320754718</c:v>
                </c:pt>
                <c:pt idx="94">
                  <c:v>40.201005025125632</c:v>
                </c:pt>
                <c:pt idx="95">
                  <c:v>20.408163265306122</c:v>
                </c:pt>
                <c:pt idx="96">
                  <c:v>11.904761904761905</c:v>
                </c:pt>
                <c:pt idx="97">
                  <c:v>34.482758620689658</c:v>
                </c:pt>
                <c:pt idx="98">
                  <c:v>37.634408602150536</c:v>
                </c:pt>
                <c:pt idx="99">
                  <c:v>34.313725490196077</c:v>
                </c:pt>
                <c:pt idx="100">
                  <c:v>31.413612565445025</c:v>
                </c:pt>
                <c:pt idx="101">
                  <c:v>31.413612565445025</c:v>
                </c:pt>
                <c:pt idx="102">
                  <c:v>31.088082901554404</c:v>
                </c:pt>
                <c:pt idx="103">
                  <c:v>37.234042553191486</c:v>
                </c:pt>
                <c:pt idx="104">
                  <c:v>25.641025641025642</c:v>
                </c:pt>
                <c:pt idx="105">
                  <c:v>16.574585635359117</c:v>
                </c:pt>
                <c:pt idx="106">
                  <c:v>28.901734104046241</c:v>
                </c:pt>
                <c:pt idx="107">
                  <c:v>52.910052910052912</c:v>
                </c:pt>
                <c:pt idx="108">
                  <c:v>27.027027027027028</c:v>
                </c:pt>
                <c:pt idx="109">
                  <c:v>36.458333333333336</c:v>
                </c:pt>
                <c:pt idx="110">
                  <c:v>27.624309392265193</c:v>
                </c:pt>
                <c:pt idx="111">
                  <c:v>19.801980198019802</c:v>
                </c:pt>
                <c:pt idx="112">
                  <c:v>10</c:v>
                </c:pt>
                <c:pt idx="113">
                  <c:v>16.574585635359117</c:v>
                </c:pt>
                <c:pt idx="114">
                  <c:v>25.380710659898476</c:v>
                </c:pt>
                <c:pt idx="115">
                  <c:v>46.24277456647399</c:v>
                </c:pt>
                <c:pt idx="116">
                  <c:v>54.347826086956523</c:v>
                </c:pt>
                <c:pt idx="117">
                  <c:v>40.609137055837564</c:v>
                </c:pt>
                <c:pt idx="118">
                  <c:v>26.178010471204189</c:v>
                </c:pt>
                <c:pt idx="119">
                  <c:v>11.695906432748538</c:v>
                </c:pt>
                <c:pt idx="120">
                  <c:v>26.455026455026456</c:v>
                </c:pt>
                <c:pt idx="121">
                  <c:v>20.408163265306122</c:v>
                </c:pt>
                <c:pt idx="122">
                  <c:v>40.609137055837564</c:v>
                </c:pt>
                <c:pt idx="123">
                  <c:v>16.129032258064516</c:v>
                </c:pt>
                <c:pt idx="124">
                  <c:v>14.851485148514852</c:v>
                </c:pt>
                <c:pt idx="125">
                  <c:v>35.897435897435898</c:v>
                </c:pt>
                <c:pt idx="126">
                  <c:v>37.234042553191486</c:v>
                </c:pt>
                <c:pt idx="127">
                  <c:v>21.857923497267759</c:v>
                </c:pt>
                <c:pt idx="128">
                  <c:v>30</c:v>
                </c:pt>
                <c:pt idx="129">
                  <c:v>41.176470588235297</c:v>
                </c:pt>
                <c:pt idx="130">
                  <c:v>5.4945054945054945</c:v>
                </c:pt>
                <c:pt idx="131">
                  <c:v>25.641025641025642</c:v>
                </c:pt>
                <c:pt idx="132">
                  <c:v>25.380710659898476</c:v>
                </c:pt>
                <c:pt idx="133">
                  <c:v>5.4945054945054945</c:v>
                </c:pt>
                <c:pt idx="134">
                  <c:v>36.269430051813472</c:v>
                </c:pt>
                <c:pt idx="135">
                  <c:v>15.075376884422111</c:v>
                </c:pt>
                <c:pt idx="136">
                  <c:v>11.764705882352942</c:v>
                </c:pt>
                <c:pt idx="137">
                  <c:v>46.875</c:v>
                </c:pt>
                <c:pt idx="138">
                  <c:v>53.763440860215056</c:v>
                </c:pt>
                <c:pt idx="139">
                  <c:v>5.8479532163742691</c:v>
                </c:pt>
                <c:pt idx="140">
                  <c:v>52.083333333333336</c:v>
                </c:pt>
                <c:pt idx="141">
                  <c:v>20.408163265306122</c:v>
                </c:pt>
                <c:pt idx="142">
                  <c:v>26.737967914438503</c:v>
                </c:pt>
                <c:pt idx="143">
                  <c:v>30.303030303030305</c:v>
                </c:pt>
                <c:pt idx="144">
                  <c:v>11.299435028248588</c:v>
                </c:pt>
                <c:pt idx="145">
                  <c:v>15.625</c:v>
                </c:pt>
                <c:pt idx="146">
                  <c:v>20.100502512562816</c:v>
                </c:pt>
                <c:pt idx="147">
                  <c:v>27.173913043478262</c:v>
                </c:pt>
                <c:pt idx="148">
                  <c:v>26.455026455026456</c:v>
                </c:pt>
                <c:pt idx="149">
                  <c:v>28.708133971291865</c:v>
                </c:pt>
                <c:pt idx="150">
                  <c:v>27.777777777777779</c:v>
                </c:pt>
                <c:pt idx="151">
                  <c:v>27.3224043715847</c:v>
                </c:pt>
                <c:pt idx="152">
                  <c:v>26.737967914438503</c:v>
                </c:pt>
                <c:pt idx="153">
                  <c:v>52.941176470588232</c:v>
                </c:pt>
                <c:pt idx="154">
                  <c:v>49.504950495049506</c:v>
                </c:pt>
                <c:pt idx="155">
                  <c:v>32.608695652173914</c:v>
                </c:pt>
                <c:pt idx="156">
                  <c:v>23.80952380952381</c:v>
                </c:pt>
                <c:pt idx="157">
                  <c:v>37.383177570093459</c:v>
                </c:pt>
                <c:pt idx="158">
                  <c:v>39.325842696629216</c:v>
                </c:pt>
                <c:pt idx="159">
                  <c:v>32.432432432432435</c:v>
                </c:pt>
                <c:pt idx="160">
                  <c:v>18.604651162790699</c:v>
                </c:pt>
                <c:pt idx="161">
                  <c:v>16.216216216216218</c:v>
                </c:pt>
                <c:pt idx="162">
                  <c:v>20.512820512820515</c:v>
                </c:pt>
                <c:pt idx="163">
                  <c:v>14.851485148514852</c:v>
                </c:pt>
                <c:pt idx="164">
                  <c:v>16.042780748663102</c:v>
                </c:pt>
                <c:pt idx="165">
                  <c:v>25.380710659898476</c:v>
                </c:pt>
                <c:pt idx="166">
                  <c:v>28.708133971291865</c:v>
                </c:pt>
                <c:pt idx="167">
                  <c:v>0</c:v>
                </c:pt>
                <c:pt idx="168">
                  <c:v>21.12676056338028</c:v>
                </c:pt>
                <c:pt idx="169">
                  <c:v>22.346368715083798</c:v>
                </c:pt>
                <c:pt idx="170">
                  <c:v>40</c:v>
                </c:pt>
                <c:pt idx="171">
                  <c:v>35.532994923857871</c:v>
                </c:pt>
                <c:pt idx="172">
                  <c:v>19.801980198019802</c:v>
                </c:pt>
                <c:pt idx="173">
                  <c:v>27.777777777777779</c:v>
                </c:pt>
                <c:pt idx="174">
                  <c:v>11.049723756906078</c:v>
                </c:pt>
                <c:pt idx="175">
                  <c:v>23.952095808383234</c:v>
                </c:pt>
                <c:pt idx="176">
                  <c:v>53.658536585365852</c:v>
                </c:pt>
                <c:pt idx="177">
                  <c:v>29.411764705882351</c:v>
                </c:pt>
                <c:pt idx="178">
                  <c:v>24.509803921568629</c:v>
                </c:pt>
                <c:pt idx="179">
                  <c:v>15.873015873015873</c:v>
                </c:pt>
                <c:pt idx="180">
                  <c:v>30.864197530864196</c:v>
                </c:pt>
                <c:pt idx="181">
                  <c:v>31.914893617021278</c:v>
                </c:pt>
                <c:pt idx="182">
                  <c:v>58.823529411764703</c:v>
                </c:pt>
                <c:pt idx="183">
                  <c:v>31.914893617021278</c:v>
                </c:pt>
                <c:pt idx="184">
                  <c:v>36.64921465968586</c:v>
                </c:pt>
                <c:pt idx="185">
                  <c:v>45.977011494252871</c:v>
                </c:pt>
                <c:pt idx="186">
                  <c:v>17.341040462427745</c:v>
                </c:pt>
                <c:pt idx="187">
                  <c:v>21.276595744680851</c:v>
                </c:pt>
                <c:pt idx="188">
                  <c:v>57.692307692307693</c:v>
                </c:pt>
                <c:pt idx="189">
                  <c:v>27.777777777777779</c:v>
                </c:pt>
                <c:pt idx="190">
                  <c:v>26.178010471204189</c:v>
                </c:pt>
                <c:pt idx="191">
                  <c:v>28.571428571428573</c:v>
                </c:pt>
                <c:pt idx="192">
                  <c:v>39.325842696629216</c:v>
                </c:pt>
                <c:pt idx="193">
                  <c:v>52.132701421800945</c:v>
                </c:pt>
                <c:pt idx="194">
                  <c:v>39.603960396039604</c:v>
                </c:pt>
                <c:pt idx="195">
                  <c:v>20.304568527918782</c:v>
                </c:pt>
                <c:pt idx="196">
                  <c:v>12.048192771084338</c:v>
                </c:pt>
                <c:pt idx="197">
                  <c:v>33.898305084745765</c:v>
                </c:pt>
                <c:pt idx="198">
                  <c:v>37.234042553191486</c:v>
                </c:pt>
                <c:pt idx="199">
                  <c:v>34.313725490196077</c:v>
                </c:pt>
                <c:pt idx="200">
                  <c:v>31.088082901554404</c:v>
                </c:pt>
                <c:pt idx="201">
                  <c:v>31.25</c:v>
                </c:pt>
                <c:pt idx="202">
                  <c:v>31.088082901554404</c:v>
                </c:pt>
                <c:pt idx="203">
                  <c:v>31.413612565445025</c:v>
                </c:pt>
                <c:pt idx="204">
                  <c:v>25.641025641025642</c:v>
                </c:pt>
                <c:pt idx="205">
                  <c:v>16.483516483516482</c:v>
                </c:pt>
                <c:pt idx="206">
                  <c:v>28.735632183908045</c:v>
                </c:pt>
                <c:pt idx="207">
                  <c:v>52.356020942408378</c:v>
                </c:pt>
                <c:pt idx="208">
                  <c:v>32.786885245901637</c:v>
                </c:pt>
                <c:pt idx="209">
                  <c:v>30.76923076923077</c:v>
                </c:pt>
                <c:pt idx="210">
                  <c:v>27.3224043715847</c:v>
                </c:pt>
                <c:pt idx="211">
                  <c:v>19.801980198019802</c:v>
                </c:pt>
                <c:pt idx="212">
                  <c:v>10.1010101010101</c:v>
                </c:pt>
                <c:pt idx="213">
                  <c:v>16.574585635359117</c:v>
                </c:pt>
                <c:pt idx="214">
                  <c:v>25</c:v>
                </c:pt>
                <c:pt idx="215">
                  <c:v>46.511627906976742</c:v>
                </c:pt>
                <c:pt idx="216">
                  <c:v>54.644808743169399</c:v>
                </c:pt>
                <c:pt idx="217">
                  <c:v>45.454545454545453</c:v>
                </c:pt>
                <c:pt idx="218">
                  <c:v>26.455026455026456</c:v>
                </c:pt>
                <c:pt idx="219">
                  <c:v>11.494252873563218</c:v>
                </c:pt>
                <c:pt idx="220">
                  <c:v>26.595744680851062</c:v>
                </c:pt>
                <c:pt idx="221">
                  <c:v>20.512820512820515</c:v>
                </c:pt>
                <c:pt idx="222">
                  <c:v>40.609137055837564</c:v>
                </c:pt>
                <c:pt idx="223">
                  <c:v>16.216216216216218</c:v>
                </c:pt>
                <c:pt idx="224">
                  <c:v>19.801980198019802</c:v>
                </c:pt>
                <c:pt idx="225">
                  <c:v>36.269430051813472</c:v>
                </c:pt>
                <c:pt idx="226">
                  <c:v>37.234042553191486</c:v>
                </c:pt>
                <c:pt idx="227">
                  <c:v>21.621621621621621</c:v>
                </c:pt>
                <c:pt idx="228">
                  <c:v>30</c:v>
                </c:pt>
                <c:pt idx="229">
                  <c:v>41.176470588235297</c:v>
                </c:pt>
                <c:pt idx="230">
                  <c:v>10.928961748633879</c:v>
                </c:pt>
                <c:pt idx="231">
                  <c:v>15.228426395939087</c:v>
                </c:pt>
                <c:pt idx="232">
                  <c:v>25.510204081632654</c:v>
                </c:pt>
                <c:pt idx="233">
                  <c:v>10.928961748633879</c:v>
                </c:pt>
                <c:pt idx="234">
                  <c:v>36.269430051813472</c:v>
                </c:pt>
                <c:pt idx="235">
                  <c:v>10.050251256281408</c:v>
                </c:pt>
                <c:pt idx="236">
                  <c:v>11.834319526627219</c:v>
                </c:pt>
                <c:pt idx="237">
                  <c:v>41.666666666666664</c:v>
                </c:pt>
                <c:pt idx="238">
                  <c:v>53.191489361702125</c:v>
                </c:pt>
                <c:pt idx="239">
                  <c:v>5.882352941176471</c:v>
                </c:pt>
                <c:pt idx="240">
                  <c:v>41.450777202072537</c:v>
                </c:pt>
                <c:pt idx="241">
                  <c:v>20.725388601036268</c:v>
                </c:pt>
                <c:pt idx="242">
                  <c:v>26.595744680851062</c:v>
                </c:pt>
                <c:pt idx="243">
                  <c:v>35.175879396984925</c:v>
                </c:pt>
                <c:pt idx="244">
                  <c:v>11.235955056179776</c:v>
                </c:pt>
                <c:pt idx="245">
                  <c:v>15.706806282722512</c:v>
                </c:pt>
                <c:pt idx="246">
                  <c:v>25.125628140703519</c:v>
                </c:pt>
                <c:pt idx="247">
                  <c:v>27.173913043478262</c:v>
                </c:pt>
                <c:pt idx="248">
                  <c:v>26.595744680851062</c:v>
                </c:pt>
                <c:pt idx="249">
                  <c:v>28.985507246376812</c:v>
                </c:pt>
                <c:pt idx="250">
                  <c:v>27.777777777777779</c:v>
                </c:pt>
                <c:pt idx="251">
                  <c:v>27.027027027027028</c:v>
                </c:pt>
                <c:pt idx="252">
                  <c:v>26.737967914438503</c:v>
                </c:pt>
                <c:pt idx="253">
                  <c:v>52.941176470588232</c:v>
                </c:pt>
                <c:pt idx="254">
                  <c:v>49.261083743842363</c:v>
                </c:pt>
                <c:pt idx="255">
                  <c:v>27.472527472527471</c:v>
                </c:pt>
                <c:pt idx="256">
                  <c:v>23.952095808383234</c:v>
                </c:pt>
                <c:pt idx="257">
                  <c:v>32.407407407407405</c:v>
                </c:pt>
                <c:pt idx="258">
                  <c:v>34.285714285714285</c:v>
                </c:pt>
                <c:pt idx="259">
                  <c:v>32.432432432432435</c:v>
                </c:pt>
                <c:pt idx="260">
                  <c:v>18.433179723502302</c:v>
                </c:pt>
                <c:pt idx="261">
                  <c:v>16.129032258064516</c:v>
                </c:pt>
                <c:pt idx="262">
                  <c:v>20.618556701030929</c:v>
                </c:pt>
                <c:pt idx="263">
                  <c:v>14.77832512315271</c:v>
                </c:pt>
                <c:pt idx="264">
                  <c:v>16.129032258064516</c:v>
                </c:pt>
                <c:pt idx="265">
                  <c:v>20.408163265306122</c:v>
                </c:pt>
                <c:pt idx="266">
                  <c:v>33.653846153846153</c:v>
                </c:pt>
                <c:pt idx="267">
                  <c:v>0</c:v>
                </c:pt>
                <c:pt idx="268">
                  <c:v>20.97902097902098</c:v>
                </c:pt>
                <c:pt idx="269">
                  <c:v>22.346368715083798</c:v>
                </c:pt>
                <c:pt idx="270">
                  <c:v>40</c:v>
                </c:pt>
                <c:pt idx="271">
                  <c:v>35.532994923857871</c:v>
                </c:pt>
                <c:pt idx="272">
                  <c:v>24.875621890547265</c:v>
                </c:pt>
                <c:pt idx="273">
                  <c:v>27.624309392265193</c:v>
                </c:pt>
                <c:pt idx="274">
                  <c:v>11.049723756906078</c:v>
                </c:pt>
                <c:pt idx="275">
                  <c:v>23.80952380952381</c:v>
                </c:pt>
                <c:pt idx="276">
                  <c:v>59.405940594059409</c:v>
                </c:pt>
                <c:pt idx="277">
                  <c:v>34.313725490196077</c:v>
                </c:pt>
                <c:pt idx="278">
                  <c:v>19.512195121951219</c:v>
                </c:pt>
                <c:pt idx="279">
                  <c:v>15.789473684210526</c:v>
                </c:pt>
                <c:pt idx="280">
                  <c:v>30.864197530864196</c:v>
                </c:pt>
                <c:pt idx="281">
                  <c:v>31.914893617021278</c:v>
                </c:pt>
                <c:pt idx="282">
                  <c:v>58.823529411764703</c:v>
                </c:pt>
                <c:pt idx="283">
                  <c:v>32.085561497326204</c:v>
                </c:pt>
                <c:pt idx="284">
                  <c:v>36.458333333333336</c:v>
                </c:pt>
                <c:pt idx="285">
                  <c:v>45.714285714285715</c:v>
                </c:pt>
                <c:pt idx="286">
                  <c:v>11.494252873563218</c:v>
                </c:pt>
                <c:pt idx="287">
                  <c:v>21.164021164021165</c:v>
                </c:pt>
                <c:pt idx="288">
                  <c:v>57.971014492753625</c:v>
                </c:pt>
                <c:pt idx="289">
                  <c:v>27.777777777777779</c:v>
                </c:pt>
                <c:pt idx="290">
                  <c:v>26.315789473684209</c:v>
                </c:pt>
                <c:pt idx="291">
                  <c:v>28.40909090909091</c:v>
                </c:pt>
                <c:pt idx="292">
                  <c:v>39.548022598870055</c:v>
                </c:pt>
                <c:pt idx="293">
                  <c:v>46.948356807511736</c:v>
                </c:pt>
                <c:pt idx="294">
                  <c:v>40</c:v>
                </c:pt>
                <c:pt idx="295">
                  <c:v>20</c:v>
                </c:pt>
                <c:pt idx="296">
                  <c:v>11.976047904191617</c:v>
                </c:pt>
                <c:pt idx="297">
                  <c:v>34.090909090909093</c:v>
                </c:pt>
                <c:pt idx="298">
                  <c:v>37.634408602150536</c:v>
                </c:pt>
                <c:pt idx="299">
                  <c:v>34.482758620689658</c:v>
                </c:pt>
                <c:pt idx="300">
                  <c:v>31.088082901554404</c:v>
                </c:pt>
                <c:pt idx="301">
                  <c:v>36.64921465968586</c:v>
                </c:pt>
                <c:pt idx="302">
                  <c:v>20.618556701030929</c:v>
                </c:pt>
                <c:pt idx="303">
                  <c:v>31.413612565445025</c:v>
                </c:pt>
                <c:pt idx="304">
                  <c:v>25.510204081632654</c:v>
                </c:pt>
                <c:pt idx="305">
                  <c:v>16.574585635359117</c:v>
                </c:pt>
                <c:pt idx="306">
                  <c:v>28.901734104046241</c:v>
                </c:pt>
                <c:pt idx="307">
                  <c:v>47.120418848167539</c:v>
                </c:pt>
                <c:pt idx="308">
                  <c:v>32.786885245901637</c:v>
                </c:pt>
                <c:pt idx="309">
                  <c:v>25.510204081632654</c:v>
                </c:pt>
                <c:pt idx="310">
                  <c:v>27.932960893854748</c:v>
                </c:pt>
                <c:pt idx="311">
                  <c:v>19.607843137254903</c:v>
                </c:pt>
                <c:pt idx="312">
                  <c:v>10.204081632653061</c:v>
                </c:pt>
                <c:pt idx="313">
                  <c:v>22.346368715083798</c:v>
                </c:pt>
                <c:pt idx="314">
                  <c:v>25.125628140703519</c:v>
                </c:pt>
                <c:pt idx="315">
                  <c:v>45.714285714285715</c:v>
                </c:pt>
                <c:pt idx="316">
                  <c:v>54.347826086956523</c:v>
                </c:pt>
                <c:pt idx="317">
                  <c:v>40</c:v>
                </c:pt>
                <c:pt idx="318">
                  <c:v>26.455026455026456</c:v>
                </c:pt>
                <c:pt idx="319">
                  <c:v>5.6497175141242941</c:v>
                </c:pt>
                <c:pt idx="320">
                  <c:v>26.737967914438503</c:v>
                </c:pt>
                <c:pt idx="321">
                  <c:v>15.306122448979592</c:v>
                </c:pt>
                <c:pt idx="322">
                  <c:v>51.020408163265309</c:v>
                </c:pt>
                <c:pt idx="323">
                  <c:v>16.304347826086957</c:v>
                </c:pt>
                <c:pt idx="324">
                  <c:v>19.704433497536947</c:v>
                </c:pt>
                <c:pt idx="325">
                  <c:v>30.150753768844222</c:v>
                </c:pt>
                <c:pt idx="326">
                  <c:v>43.01075268817204</c:v>
                </c:pt>
                <c:pt idx="327">
                  <c:v>16.042780748663102</c:v>
                </c:pt>
                <c:pt idx="328">
                  <c:v>35</c:v>
                </c:pt>
                <c:pt idx="329">
                  <c:v>41.420118343195263</c:v>
                </c:pt>
                <c:pt idx="330">
                  <c:v>10.75268817204301</c:v>
                </c:pt>
                <c:pt idx="331">
                  <c:v>15.151515151515152</c:v>
                </c:pt>
                <c:pt idx="332">
                  <c:v>30.76923076923077</c:v>
                </c:pt>
                <c:pt idx="333">
                  <c:v>10.989010989010989</c:v>
                </c:pt>
                <c:pt idx="334">
                  <c:v>36.842105263157897</c:v>
                </c:pt>
                <c:pt idx="335">
                  <c:v>10.050251256281408</c:v>
                </c:pt>
                <c:pt idx="336">
                  <c:v>11.764705882352942</c:v>
                </c:pt>
                <c:pt idx="337">
                  <c:v>46.875</c:v>
                </c:pt>
                <c:pt idx="338">
                  <c:v>47.872340425531917</c:v>
                </c:pt>
                <c:pt idx="339">
                  <c:v>5.882352941176471</c:v>
                </c:pt>
                <c:pt idx="340">
                  <c:v>41.450777202072537</c:v>
                </c:pt>
                <c:pt idx="341">
                  <c:v>15.384615384615385</c:v>
                </c:pt>
                <c:pt idx="342">
                  <c:v>26.178010471204189</c:v>
                </c:pt>
                <c:pt idx="343">
                  <c:v>35.175879396984925</c:v>
                </c:pt>
                <c:pt idx="344">
                  <c:v>11.299435028248588</c:v>
                </c:pt>
                <c:pt idx="345">
                  <c:v>21.276595744680851</c:v>
                </c:pt>
                <c:pt idx="346">
                  <c:v>25</c:v>
                </c:pt>
                <c:pt idx="347">
                  <c:v>26.737967914438503</c:v>
                </c:pt>
                <c:pt idx="348">
                  <c:v>26.595744680851062</c:v>
                </c:pt>
                <c:pt idx="349">
                  <c:v>28.846153846153847</c:v>
                </c:pt>
                <c:pt idx="350">
                  <c:v>27.777777777777779</c:v>
                </c:pt>
                <c:pt idx="351">
                  <c:v>27.027027027027028</c:v>
                </c:pt>
                <c:pt idx="352">
                  <c:v>21.276595744680851</c:v>
                </c:pt>
                <c:pt idx="353">
                  <c:v>52.631578947368418</c:v>
                </c:pt>
                <c:pt idx="354">
                  <c:v>49.504950495049506</c:v>
                </c:pt>
                <c:pt idx="355">
                  <c:v>27.472527472527471</c:v>
                </c:pt>
                <c:pt idx="356">
                  <c:v>23.80952380952381</c:v>
                </c:pt>
                <c:pt idx="357">
                  <c:v>27.522935779816514</c:v>
                </c:pt>
                <c:pt idx="358">
                  <c:v>34.090909090909093</c:v>
                </c:pt>
                <c:pt idx="359">
                  <c:v>32.432432432432435</c:v>
                </c:pt>
                <c:pt idx="360">
                  <c:v>18.348623853211009</c:v>
                </c:pt>
                <c:pt idx="361">
                  <c:v>27.027027027027028</c:v>
                </c:pt>
                <c:pt idx="362">
                  <c:v>15.228426395939087</c:v>
                </c:pt>
                <c:pt idx="363">
                  <c:v>14.77832512315271</c:v>
                </c:pt>
                <c:pt idx="364">
                  <c:v>16.216216216216218</c:v>
                </c:pt>
                <c:pt idx="365">
                  <c:v>20.408163265306122</c:v>
                </c:pt>
                <c:pt idx="366">
                  <c:v>33.653846153846153</c:v>
                </c:pt>
                <c:pt idx="367">
                  <c:v>0</c:v>
                </c:pt>
                <c:pt idx="368">
                  <c:v>20.97902097902098</c:v>
                </c:pt>
                <c:pt idx="369">
                  <c:v>11.111111111111111</c:v>
                </c:pt>
                <c:pt idx="370">
                  <c:v>45.977011494252871</c:v>
                </c:pt>
                <c:pt idx="371">
                  <c:v>40.609137055837564</c:v>
                </c:pt>
                <c:pt idx="372">
                  <c:v>24.630541871921181</c:v>
                </c:pt>
                <c:pt idx="373">
                  <c:v>22.099447513812155</c:v>
                </c:pt>
                <c:pt idx="374">
                  <c:v>16.574585635359117</c:v>
                </c:pt>
                <c:pt idx="375">
                  <c:v>23.80952380952381</c:v>
                </c:pt>
                <c:pt idx="376">
                  <c:v>59.11330049261084</c:v>
                </c:pt>
                <c:pt idx="377">
                  <c:v>24.390243902439025</c:v>
                </c:pt>
                <c:pt idx="378">
                  <c:v>14.492753623188406</c:v>
                </c:pt>
                <c:pt idx="379">
                  <c:v>15.873015873015873</c:v>
                </c:pt>
                <c:pt idx="380">
                  <c:v>30.864197530864196</c:v>
                </c:pt>
                <c:pt idx="381">
                  <c:v>26.737967914438503</c:v>
                </c:pt>
                <c:pt idx="382">
                  <c:v>65.573770491803273</c:v>
                </c:pt>
                <c:pt idx="383">
                  <c:v>31.914893617021278</c:v>
                </c:pt>
                <c:pt idx="384">
                  <c:v>36.64921465968586</c:v>
                </c:pt>
                <c:pt idx="385">
                  <c:v>51.428571428571431</c:v>
                </c:pt>
                <c:pt idx="386">
                  <c:v>11.494252873563218</c:v>
                </c:pt>
                <c:pt idx="387">
                  <c:v>21.276595744680851</c:v>
                </c:pt>
                <c:pt idx="388">
                  <c:v>53.140096618357489</c:v>
                </c:pt>
                <c:pt idx="389">
                  <c:v>27.932960893854748</c:v>
                </c:pt>
                <c:pt idx="390">
                  <c:v>26.595744680851062</c:v>
                </c:pt>
                <c:pt idx="391">
                  <c:v>33.898305084745765</c:v>
                </c:pt>
                <c:pt idx="392">
                  <c:v>39.548022598870055</c:v>
                </c:pt>
                <c:pt idx="393">
                  <c:v>47.393364928909953</c:v>
                </c:pt>
                <c:pt idx="394">
                  <c:v>40.201005025125632</c:v>
                </c:pt>
                <c:pt idx="395">
                  <c:v>20</c:v>
                </c:pt>
                <c:pt idx="396">
                  <c:v>11.976047904191617</c:v>
                </c:pt>
                <c:pt idx="397">
                  <c:v>40</c:v>
                </c:pt>
                <c:pt idx="398">
                  <c:v>37.837837837837839</c:v>
                </c:pt>
                <c:pt idx="399">
                  <c:v>34.82587064676617</c:v>
                </c:pt>
                <c:pt idx="400">
                  <c:v>31.25</c:v>
                </c:pt>
                <c:pt idx="401">
                  <c:v>41.8848167539267</c:v>
                </c:pt>
                <c:pt idx="402">
                  <c:v>25.773195876288661</c:v>
                </c:pt>
                <c:pt idx="403">
                  <c:v>31.413612565445025</c:v>
                </c:pt>
                <c:pt idx="404">
                  <c:v>25.380710659898476</c:v>
                </c:pt>
                <c:pt idx="405">
                  <c:v>11.049723756906078</c:v>
                </c:pt>
                <c:pt idx="406">
                  <c:v>29.069767441860463</c:v>
                </c:pt>
                <c:pt idx="407">
                  <c:v>47.368421052631582</c:v>
                </c:pt>
                <c:pt idx="408">
                  <c:v>27.3224043715847</c:v>
                </c:pt>
                <c:pt idx="409">
                  <c:v>25.510204081632654</c:v>
                </c:pt>
                <c:pt idx="410">
                  <c:v>27.932960893854748</c:v>
                </c:pt>
                <c:pt idx="411">
                  <c:v>19.512195121951219</c:v>
                </c:pt>
                <c:pt idx="412">
                  <c:v>10.204081632653061</c:v>
                </c:pt>
                <c:pt idx="413">
                  <c:v>22.346368715083798</c:v>
                </c:pt>
                <c:pt idx="414">
                  <c:v>25</c:v>
                </c:pt>
                <c:pt idx="415">
                  <c:v>39.772727272727273</c:v>
                </c:pt>
                <c:pt idx="416">
                  <c:v>54.054054054054056</c:v>
                </c:pt>
                <c:pt idx="417">
                  <c:v>40</c:v>
                </c:pt>
                <c:pt idx="418">
                  <c:v>26.737967914438503</c:v>
                </c:pt>
                <c:pt idx="419">
                  <c:v>5.6497175141242941</c:v>
                </c:pt>
                <c:pt idx="420">
                  <c:v>26.737967914438503</c:v>
                </c:pt>
                <c:pt idx="421">
                  <c:v>10</c:v>
                </c:pt>
                <c:pt idx="422">
                  <c:v>51.020408163265309</c:v>
                </c:pt>
                <c:pt idx="423">
                  <c:v>16.304347826086957</c:v>
                </c:pt>
                <c:pt idx="424">
                  <c:v>19.607843137254903</c:v>
                </c:pt>
                <c:pt idx="425">
                  <c:v>30.303030303030305</c:v>
                </c:pt>
                <c:pt idx="426">
                  <c:v>48.913043478260867</c:v>
                </c:pt>
                <c:pt idx="427">
                  <c:v>15.957446808510639</c:v>
                </c:pt>
                <c:pt idx="428">
                  <c:v>35</c:v>
                </c:pt>
                <c:pt idx="429">
                  <c:v>41.420118343195263</c:v>
                </c:pt>
                <c:pt idx="430">
                  <c:v>10.810810810810811</c:v>
                </c:pt>
                <c:pt idx="431">
                  <c:v>15.228426395939087</c:v>
                </c:pt>
                <c:pt idx="432">
                  <c:v>25.641025641025642</c:v>
                </c:pt>
                <c:pt idx="433">
                  <c:v>11.111111111111111</c:v>
                </c:pt>
                <c:pt idx="434">
                  <c:v>31.25</c:v>
                </c:pt>
                <c:pt idx="435">
                  <c:v>9.9502487562189046</c:v>
                </c:pt>
                <c:pt idx="436">
                  <c:v>17.751479289940828</c:v>
                </c:pt>
                <c:pt idx="437">
                  <c:v>46.875</c:v>
                </c:pt>
                <c:pt idx="438">
                  <c:v>47.368421052631582</c:v>
                </c:pt>
                <c:pt idx="439">
                  <c:v>5.8479532163742691</c:v>
                </c:pt>
                <c:pt idx="440">
                  <c:v>35.897435897435898</c:v>
                </c:pt>
                <c:pt idx="441">
                  <c:v>15.544041450777202</c:v>
                </c:pt>
                <c:pt idx="442">
                  <c:v>26.041666666666668</c:v>
                </c:pt>
                <c:pt idx="443">
                  <c:v>30</c:v>
                </c:pt>
                <c:pt idx="444">
                  <c:v>11.363636363636363</c:v>
                </c:pt>
                <c:pt idx="445">
                  <c:v>21.164021164021165</c:v>
                </c:pt>
                <c:pt idx="446">
                  <c:v>30.150753768844222</c:v>
                </c:pt>
                <c:pt idx="447">
                  <c:v>26.881720430107528</c:v>
                </c:pt>
                <c:pt idx="448">
                  <c:v>26.315789473684209</c:v>
                </c:pt>
                <c:pt idx="449">
                  <c:v>33.980582524271846</c:v>
                </c:pt>
                <c:pt idx="450">
                  <c:v>27.624309392265193</c:v>
                </c:pt>
                <c:pt idx="451">
                  <c:v>21.390374331550802</c:v>
                </c:pt>
                <c:pt idx="452">
                  <c:v>21.164021164021165</c:v>
                </c:pt>
                <c:pt idx="453">
                  <c:v>53.254437869822482</c:v>
                </c:pt>
                <c:pt idx="454">
                  <c:v>49.504950495049506</c:v>
                </c:pt>
                <c:pt idx="455">
                  <c:v>27.472527472527471</c:v>
                </c:pt>
                <c:pt idx="456">
                  <c:v>23.80952380952381</c:v>
                </c:pt>
                <c:pt idx="457">
                  <c:v>27.649769585253456</c:v>
                </c:pt>
                <c:pt idx="458">
                  <c:v>34.285714285714285</c:v>
                </c:pt>
                <c:pt idx="459">
                  <c:v>32.085561497326204</c:v>
                </c:pt>
                <c:pt idx="460">
                  <c:v>18.348623853211009</c:v>
                </c:pt>
                <c:pt idx="461">
                  <c:v>21.621621621621621</c:v>
                </c:pt>
                <c:pt idx="462">
                  <c:v>20.408163265306122</c:v>
                </c:pt>
                <c:pt idx="463">
                  <c:v>14.705882352941176</c:v>
                </c:pt>
                <c:pt idx="464">
                  <c:v>16.216216216216218</c:v>
                </c:pt>
                <c:pt idx="465">
                  <c:v>20.512820512820515</c:v>
                </c:pt>
                <c:pt idx="466">
                  <c:v>33.492822966507177</c:v>
                </c:pt>
                <c:pt idx="467">
                  <c:v>0</c:v>
                </c:pt>
                <c:pt idx="468">
                  <c:v>20.547945205479451</c:v>
                </c:pt>
                <c:pt idx="469">
                  <c:v>10.989010989010989</c:v>
                </c:pt>
                <c:pt idx="470">
                  <c:v>45.977011494252871</c:v>
                </c:pt>
                <c:pt idx="471">
                  <c:v>45</c:v>
                </c:pt>
                <c:pt idx="472">
                  <c:v>24.630541871921181</c:v>
                </c:pt>
                <c:pt idx="473">
                  <c:v>21.978021978021978</c:v>
                </c:pt>
                <c:pt idx="474">
                  <c:v>16.574585635359117</c:v>
                </c:pt>
                <c:pt idx="475">
                  <c:v>23.255813953488371</c:v>
                </c:pt>
                <c:pt idx="476">
                  <c:v>39.024390243902438</c:v>
                </c:pt>
                <c:pt idx="477">
                  <c:v>24.509803921568629</c:v>
                </c:pt>
                <c:pt idx="478">
                  <c:v>14.423076923076923</c:v>
                </c:pt>
                <c:pt idx="479">
                  <c:v>15.957446808510639</c:v>
                </c:pt>
                <c:pt idx="480">
                  <c:v>24.390243902439025</c:v>
                </c:pt>
                <c:pt idx="481">
                  <c:v>26.737967914438503</c:v>
                </c:pt>
                <c:pt idx="482">
                  <c:v>60.10928961748634</c:v>
                </c:pt>
                <c:pt idx="483">
                  <c:v>31.578947368421051</c:v>
                </c:pt>
                <c:pt idx="484">
                  <c:v>30.927835051546392</c:v>
                </c:pt>
                <c:pt idx="485">
                  <c:v>51.428571428571431</c:v>
                </c:pt>
                <c:pt idx="486">
                  <c:v>11.494252873563218</c:v>
                </c:pt>
                <c:pt idx="487">
                  <c:v>21.390374331550802</c:v>
                </c:pt>
                <c:pt idx="488">
                  <c:v>48.309178743961354</c:v>
                </c:pt>
                <c:pt idx="489">
                  <c:v>27.777777777777779</c:v>
                </c:pt>
                <c:pt idx="490">
                  <c:v>26.178010471204189</c:v>
                </c:pt>
                <c:pt idx="491">
                  <c:v>28.40909090909091</c:v>
                </c:pt>
                <c:pt idx="492">
                  <c:v>33.707865168539328</c:v>
                </c:pt>
                <c:pt idx="493">
                  <c:v>48.07692307692308</c:v>
                </c:pt>
                <c:pt idx="494">
                  <c:v>44.554455445544555</c:v>
                </c:pt>
                <c:pt idx="495">
                  <c:v>20</c:v>
                </c:pt>
                <c:pt idx="496">
                  <c:v>11.834319526627219</c:v>
                </c:pt>
                <c:pt idx="497">
                  <c:v>45.714285714285715</c:v>
                </c:pt>
                <c:pt idx="498">
                  <c:v>38.043478260869563</c:v>
                </c:pt>
                <c:pt idx="499">
                  <c:v>29.850746268656717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2E-411F-AE69-C29DFA902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853568"/>
        <c:axId val="680847664"/>
      </c:scatterChart>
      <c:valAx>
        <c:axId val="68085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Increase in Access to Contraceptives among "Unsafe Sex" Group</a:t>
                </a:r>
                <a:endParaRPr lang="en-US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847664"/>
        <c:crosses val="autoZero"/>
        <c:crossBetween val="midCat"/>
      </c:valAx>
      <c:valAx>
        <c:axId val="68084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85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5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image" Target="../media/image2.jpeg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</xdr:row>
          <xdr:rowOff>190500</xdr:rowOff>
        </xdr:from>
        <xdr:to>
          <xdr:col>8</xdr:col>
          <xdr:colOff>590550</xdr:colOff>
          <xdr:row>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4</xdr:row>
          <xdr:rowOff>104775</xdr:rowOff>
        </xdr:from>
        <xdr:to>
          <xdr:col>8</xdr:col>
          <xdr:colOff>590550</xdr:colOff>
          <xdr:row>6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 Analysis 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12</xdr:row>
          <xdr:rowOff>114300</xdr:rowOff>
        </xdr:from>
        <xdr:to>
          <xdr:col>7</xdr:col>
          <xdr:colOff>828675</xdr:colOff>
          <xdr:row>14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304799</xdr:colOff>
      <xdr:row>14</xdr:row>
      <xdr:rowOff>40481</xdr:rowOff>
    </xdr:from>
    <xdr:to>
      <xdr:col>7</xdr:col>
      <xdr:colOff>409574</xdr:colOff>
      <xdr:row>31</xdr:row>
      <xdr:rowOff>161924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390527</xdr:colOff>
      <xdr:row>14</xdr:row>
      <xdr:rowOff>9524</xdr:rowOff>
    </xdr:from>
    <xdr:to>
      <xdr:col>17</xdr:col>
      <xdr:colOff>476251</xdr:colOff>
      <xdr:row>34</xdr:row>
      <xdr:rowOff>152399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528639</xdr:colOff>
      <xdr:row>14</xdr:row>
      <xdr:rowOff>66676</xdr:rowOff>
    </xdr:from>
    <xdr:to>
      <xdr:col>47</xdr:col>
      <xdr:colOff>119063</xdr:colOff>
      <xdr:row>32</xdr:row>
      <xdr:rowOff>7145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68</xdr:col>
      <xdr:colOff>47627</xdr:colOff>
      <xdr:row>14</xdr:row>
      <xdr:rowOff>75670</xdr:rowOff>
    </xdr:from>
    <xdr:to>
      <xdr:col>70</xdr:col>
      <xdr:colOff>179915</xdr:colOff>
      <xdr:row>32</xdr:row>
      <xdr:rowOff>528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71</xdr:col>
      <xdr:colOff>23812</xdr:colOff>
      <xdr:row>14</xdr:row>
      <xdr:rowOff>28574</xdr:rowOff>
    </xdr:from>
    <xdr:to>
      <xdr:col>77</xdr:col>
      <xdr:colOff>352423</xdr:colOff>
      <xdr:row>31</xdr:row>
      <xdr:rowOff>159542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28</xdr:col>
      <xdr:colOff>481013</xdr:colOff>
      <xdr:row>13</xdr:row>
      <xdr:rowOff>161925</xdr:rowOff>
    </xdr:from>
    <xdr:ext cx="4324350" cy="3369469"/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89</xdr:col>
      <xdr:colOff>124355</xdr:colOff>
      <xdr:row>14</xdr:row>
      <xdr:rowOff>127000</xdr:rowOff>
    </xdr:from>
    <xdr:ext cx="4324350" cy="3369469"/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xdr:oneCellAnchor>
    <xdr:from>
      <xdr:col>80</xdr:col>
      <xdr:colOff>159281</xdr:colOff>
      <xdr:row>14</xdr:row>
      <xdr:rowOff>131762</xdr:rowOff>
    </xdr:from>
    <xdr:ext cx="4324350" cy="3369469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twoCellAnchor editAs="oneCell">
    <xdr:from>
      <xdr:col>20</xdr:col>
      <xdr:colOff>390525</xdr:colOff>
      <xdr:row>14</xdr:row>
      <xdr:rowOff>28575</xdr:rowOff>
    </xdr:from>
    <xdr:to>
      <xdr:col>26</xdr:col>
      <xdr:colOff>576261</xdr:colOff>
      <xdr:row>31</xdr:row>
      <xdr:rowOff>159543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51</xdr:col>
      <xdr:colOff>396348</xdr:colOff>
      <xdr:row>14</xdr:row>
      <xdr:rowOff>112712</xdr:rowOff>
    </xdr:from>
    <xdr:ext cx="4297680" cy="3200400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  <xdr:twoCellAnchor editAs="oneCell">
    <xdr:from>
      <xdr:col>62</xdr:col>
      <xdr:colOff>375708</xdr:colOff>
      <xdr:row>14</xdr:row>
      <xdr:rowOff>100542</xdr:rowOff>
    </xdr:from>
    <xdr:to>
      <xdr:col>66</xdr:col>
      <xdr:colOff>751414</xdr:colOff>
      <xdr:row>32</xdr:row>
      <xdr:rowOff>158750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28</xdr:col>
      <xdr:colOff>476250</xdr:colOff>
      <xdr:row>31</xdr:row>
      <xdr:rowOff>171450</xdr:rowOff>
    </xdr:from>
    <xdr:ext cx="4324350" cy="3369469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oneCellAnchor>
  <xdr:twoCellAnchor>
    <xdr:from>
      <xdr:col>98</xdr:col>
      <xdr:colOff>257175</xdr:colOff>
      <xdr:row>17</xdr:row>
      <xdr:rowOff>85725</xdr:rowOff>
    </xdr:from>
    <xdr:to>
      <xdr:col>100</xdr:col>
      <xdr:colOff>489585</xdr:colOff>
      <xdr:row>31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100</xdr:col>
      <xdr:colOff>533400</xdr:colOff>
      <xdr:row>17</xdr:row>
      <xdr:rowOff>85725</xdr:rowOff>
    </xdr:from>
    <xdr:to>
      <xdr:col>104</xdr:col>
      <xdr:colOff>327660</xdr:colOff>
      <xdr:row>31</xdr:row>
      <xdr:rowOff>161925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104</xdr:col>
      <xdr:colOff>381000</xdr:colOff>
      <xdr:row>17</xdr:row>
      <xdr:rowOff>85725</xdr:rowOff>
    </xdr:from>
    <xdr:to>
      <xdr:col>108</xdr:col>
      <xdr:colOff>175260</xdr:colOff>
      <xdr:row>31</xdr:row>
      <xdr:rowOff>161925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98</xdr:col>
      <xdr:colOff>238125</xdr:colOff>
      <xdr:row>32</xdr:row>
      <xdr:rowOff>19050</xdr:rowOff>
    </xdr:from>
    <xdr:to>
      <xdr:col>100</xdr:col>
      <xdr:colOff>470535</xdr:colOff>
      <xdr:row>46</xdr:row>
      <xdr:rowOff>95250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100</xdr:col>
      <xdr:colOff>523875</xdr:colOff>
      <xdr:row>32</xdr:row>
      <xdr:rowOff>19050</xdr:rowOff>
    </xdr:from>
    <xdr:to>
      <xdr:col>104</xdr:col>
      <xdr:colOff>318135</xdr:colOff>
      <xdr:row>46</xdr:row>
      <xdr:rowOff>95250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104</xdr:col>
      <xdr:colOff>381000</xdr:colOff>
      <xdr:row>32</xdr:row>
      <xdr:rowOff>19050</xdr:rowOff>
    </xdr:from>
    <xdr:to>
      <xdr:col>108</xdr:col>
      <xdr:colOff>175260</xdr:colOff>
      <xdr:row>46</xdr:row>
      <xdr:rowOff>95250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247650</xdr:colOff>
          <xdr:row>13</xdr:row>
          <xdr:rowOff>180975</xdr:rowOff>
        </xdr:from>
        <xdr:to>
          <xdr:col>99</xdr:col>
          <xdr:colOff>1343025</xdr:colOff>
          <xdr:row>16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48</xdr:col>
      <xdr:colOff>116419</xdr:colOff>
      <xdr:row>14</xdr:row>
      <xdr:rowOff>63500</xdr:rowOff>
    </xdr:from>
    <xdr:to>
      <xdr:col>50</xdr:col>
      <xdr:colOff>111126</xdr:colOff>
      <xdr:row>31</xdr:row>
      <xdr:rowOff>173037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695325</xdr:colOff>
      <xdr:row>12</xdr:row>
      <xdr:rowOff>58830</xdr:rowOff>
    </xdr:from>
    <xdr:to>
      <xdr:col>6</xdr:col>
      <xdr:colOff>0</xdr:colOff>
      <xdr:row>29</xdr:row>
      <xdr:rowOff>87406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133349</xdr:colOff>
      <xdr:row>12</xdr:row>
      <xdr:rowOff>66675</xdr:rowOff>
    </xdr:from>
    <xdr:to>
      <xdr:col>19</xdr:col>
      <xdr:colOff>141193</xdr:colOff>
      <xdr:row>29</xdr:row>
      <xdr:rowOff>95251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162485</xdr:colOff>
      <xdr:row>12</xdr:row>
      <xdr:rowOff>76200</xdr:rowOff>
    </xdr:from>
    <xdr:to>
      <xdr:col>24</xdr:col>
      <xdr:colOff>304800</xdr:colOff>
      <xdr:row>29</xdr:row>
      <xdr:rowOff>104776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647700</xdr:colOff>
      <xdr:row>29</xdr:row>
      <xdr:rowOff>142875</xdr:rowOff>
    </xdr:from>
    <xdr:to>
      <xdr:col>4</xdr:col>
      <xdr:colOff>304800</xdr:colOff>
      <xdr:row>48</xdr:row>
      <xdr:rowOff>101727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5679"/>
        <a:stretch/>
      </xdr:blipFill>
      <xdr:spPr>
        <a:xfrm>
          <a:off x="647700" y="5686425"/>
          <a:ext cx="3314700" cy="3578352"/>
        </a:xfrm>
        <a:prstGeom prst="rect">
          <a:avLst/>
        </a:prstGeom>
      </xdr:spPr>
    </xdr:pic>
    <xdr:clientData/>
  </xdr:twoCellAnchor>
  <xdr:twoCellAnchor>
    <xdr:from>
      <xdr:col>6</xdr:col>
      <xdr:colOff>66675</xdr:colOff>
      <xdr:row>12</xdr:row>
      <xdr:rowOff>66675</xdr:rowOff>
    </xdr:from>
    <xdr:to>
      <xdr:col>13</xdr:col>
      <xdr:colOff>76200</xdr:colOff>
      <xdr:row>29</xdr:row>
      <xdr:rowOff>95251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168087</xdr:colOff>
      <xdr:row>29</xdr:row>
      <xdr:rowOff>168088</xdr:rowOff>
    </xdr:from>
    <xdr:to>
      <xdr:col>19</xdr:col>
      <xdr:colOff>175931</xdr:colOff>
      <xdr:row>47</xdr:row>
      <xdr:rowOff>6164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196102</xdr:colOff>
      <xdr:row>29</xdr:row>
      <xdr:rowOff>177613</xdr:rowOff>
    </xdr:from>
    <xdr:to>
      <xdr:col>24</xdr:col>
      <xdr:colOff>361949</xdr:colOff>
      <xdr:row>47</xdr:row>
      <xdr:rowOff>15689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23</xdr:row>
      <xdr:rowOff>47625</xdr:rowOff>
    </xdr:from>
    <xdr:to>
      <xdr:col>5</xdr:col>
      <xdr:colOff>681318</xdr:colOff>
      <xdr:row>38</xdr:row>
      <xdr:rowOff>171450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5679"/>
        <a:stretch/>
      </xdr:blipFill>
      <xdr:spPr>
        <a:xfrm>
          <a:off x="314325" y="4895850"/>
          <a:ext cx="3310218" cy="2981325"/>
        </a:xfrm>
        <a:prstGeom prst="rect">
          <a:avLst/>
        </a:prstGeom>
      </xdr:spPr>
    </xdr:pic>
    <xdr:clientData/>
  </xdr:twoCellAnchor>
  <xdr:twoCellAnchor>
    <xdr:from>
      <xdr:col>1</xdr:col>
      <xdr:colOff>19050</xdr:colOff>
      <xdr:row>7</xdr:row>
      <xdr:rowOff>19050</xdr:rowOff>
    </xdr:from>
    <xdr:to>
      <xdr:col>6</xdr:col>
      <xdr:colOff>171450</xdr:colOff>
      <xdr:row>23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247650</xdr:colOff>
      <xdr:row>7</xdr:row>
      <xdr:rowOff>19050</xdr:rowOff>
    </xdr:from>
    <xdr:to>
      <xdr:col>12</xdr:col>
      <xdr:colOff>257175</xdr:colOff>
      <xdr:row>23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AAD44A6-0C4C-4E9C-B683-B171F218B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104775</xdr:colOff>
      <xdr:row>7</xdr:row>
      <xdr:rowOff>38100</xdr:rowOff>
    </xdr:from>
    <xdr:to>
      <xdr:col>19</xdr:col>
      <xdr:colOff>180975</xdr:colOff>
      <xdr:row>23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02AAA7B-C92F-45E6-94C3-82D1A6BFE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323850</xdr:colOff>
      <xdr:row>7</xdr:row>
      <xdr:rowOff>19050</xdr:rowOff>
    </xdr:from>
    <xdr:to>
      <xdr:col>25</xdr:col>
      <xdr:colOff>9525</xdr:colOff>
      <xdr:row>23</xdr:row>
      <xdr:rowOff>57150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65E194B-B440-4D92-A0AF-55B869DE2C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B2:P13"/>
  <sheetViews>
    <sheetView showGridLines="0" workbookViewId="0">
      <selection activeCell="D10" sqref="D10"/>
    </sheetView>
  </sheetViews>
  <sheetFormatPr defaultRowHeight="15" x14ac:dyDescent="0.25"/>
  <cols>
    <col min="1" max="1" width="5.42578125" customWidth="1"/>
    <col min="2" max="2" width="3.5703125" customWidth="1"/>
    <col min="3" max="3" width="30" customWidth="1"/>
    <col min="4" max="4" width="11.140625" customWidth="1"/>
    <col min="5" max="5" width="6.85546875" customWidth="1"/>
    <col min="6" max="6" width="3.85546875" customWidth="1"/>
    <col min="15" max="15" width="12" customWidth="1"/>
    <col min="16" max="16" width="13.140625" customWidth="1"/>
  </cols>
  <sheetData>
    <row r="2" spans="2:16" ht="15.75" customHeight="1" thickBot="1" x14ac:dyDescent="0.3">
      <c r="O2" s="236" t="s">
        <v>129</v>
      </c>
      <c r="P2" s="236" t="s">
        <v>132</v>
      </c>
    </row>
    <row r="3" spans="2:16" ht="15" customHeight="1" x14ac:dyDescent="0.25">
      <c r="B3" s="2"/>
      <c r="C3" s="3"/>
      <c r="D3" s="3"/>
      <c r="E3" s="3"/>
      <c r="F3" s="4"/>
      <c r="O3" s="236"/>
      <c r="P3" s="236"/>
    </row>
    <row r="4" spans="2:16" x14ac:dyDescent="0.25">
      <c r="B4" s="5"/>
      <c r="C4" s="6" t="s">
        <v>1</v>
      </c>
      <c r="D4" s="12">
        <f>1/52</f>
        <v>1.9230769230769232E-2</v>
      </c>
      <c r="E4" s="6" t="s">
        <v>7</v>
      </c>
      <c r="F4" s="8"/>
      <c r="O4" s="237"/>
      <c r="P4" s="237"/>
    </row>
    <row r="5" spans="2:16" x14ac:dyDescent="0.25">
      <c r="B5" s="5"/>
      <c r="C5" s="6" t="s">
        <v>0</v>
      </c>
      <c r="D5" s="7">
        <v>5</v>
      </c>
      <c r="E5" s="6" t="s">
        <v>8</v>
      </c>
      <c r="F5" s="8"/>
      <c r="O5" s="125">
        <v>0</v>
      </c>
      <c r="P5" s="67">
        <v>0</v>
      </c>
    </row>
    <row r="6" spans="2:16" x14ac:dyDescent="0.25">
      <c r="B6" s="5"/>
      <c r="C6" s="6" t="s">
        <v>2</v>
      </c>
      <c r="D6" s="7">
        <v>1</v>
      </c>
      <c r="E6" s="6" t="s">
        <v>7</v>
      </c>
      <c r="F6" s="8"/>
      <c r="O6" s="125">
        <v>0.25</v>
      </c>
      <c r="P6" s="67">
        <v>0.1</v>
      </c>
    </row>
    <row r="7" spans="2:16" x14ac:dyDescent="0.25">
      <c r="B7" s="5"/>
      <c r="C7" s="209" t="s">
        <v>9</v>
      </c>
      <c r="D7" s="210">
        <v>250</v>
      </c>
      <c r="E7" s="6"/>
      <c r="F7" s="8"/>
      <c r="O7" s="125">
        <v>0.5</v>
      </c>
      <c r="P7" s="67">
        <v>0.2</v>
      </c>
    </row>
    <row r="8" spans="2:16" x14ac:dyDescent="0.25">
      <c r="B8" s="5"/>
      <c r="C8" s="209" t="s">
        <v>10</v>
      </c>
      <c r="D8" s="211">
        <v>100</v>
      </c>
      <c r="E8" s="6"/>
      <c r="F8" s="8"/>
      <c r="O8" s="125">
        <v>0.75</v>
      </c>
      <c r="P8" s="67">
        <v>0.3</v>
      </c>
    </row>
    <row r="9" spans="2:16" x14ac:dyDescent="0.25">
      <c r="B9" s="5"/>
      <c r="C9" s="19" t="s">
        <v>40</v>
      </c>
      <c r="D9" s="31">
        <v>0.05</v>
      </c>
      <c r="E9" s="6"/>
      <c r="F9" s="8"/>
      <c r="O9" s="125">
        <v>1</v>
      </c>
      <c r="P9" s="67">
        <v>0.4</v>
      </c>
    </row>
    <row r="10" spans="2:16" ht="30" x14ac:dyDescent="0.25">
      <c r="B10" s="5"/>
      <c r="C10" s="207" t="s">
        <v>55</v>
      </c>
      <c r="D10" s="208">
        <v>0</v>
      </c>
      <c r="E10" s="6"/>
      <c r="F10" s="8"/>
    </row>
    <row r="11" spans="2:16" ht="30" x14ac:dyDescent="0.25">
      <c r="B11" s="5"/>
      <c r="C11" s="212" t="s">
        <v>130</v>
      </c>
      <c r="D11" s="213">
        <v>0</v>
      </c>
      <c r="E11" s="6"/>
      <c r="F11" s="8"/>
    </row>
    <row r="12" spans="2:16" s="114" customFormat="1" ht="30" x14ac:dyDescent="0.25">
      <c r="B12" s="5"/>
      <c r="C12" s="214" t="s">
        <v>131</v>
      </c>
      <c r="D12" s="215">
        <v>0</v>
      </c>
      <c r="E12" s="6"/>
      <c r="F12" s="8"/>
    </row>
    <row r="13" spans="2:16" ht="15.75" thickBot="1" x14ac:dyDescent="0.3">
      <c r="B13" s="9"/>
      <c r="C13" s="10"/>
      <c r="D13" s="10"/>
      <c r="E13" s="10"/>
      <c r="F13" s="11"/>
    </row>
  </sheetData>
  <mergeCells count="2">
    <mergeCell ref="O2:O4"/>
    <mergeCell ref="P2:P4"/>
  </mergeCells>
  <dataValidations count="2">
    <dataValidation type="list" allowBlank="1" showInputMessage="1" showErrorMessage="1" sqref="D10">
      <formula1>$O$5:$O$9</formula1>
    </dataValidation>
    <dataValidation type="list" allowBlank="1" showInputMessage="1" showErrorMessage="1" sqref="D11:D12">
      <formula1>$P$5:$P$9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in">
                <anchor moveWithCells="1" sizeWithCells="1">
                  <from>
                    <xdr:col>6</xdr:col>
                    <xdr:colOff>114300</xdr:colOff>
                    <xdr:row>1</xdr:row>
                    <xdr:rowOff>190500</xdr:rowOff>
                  </from>
                  <to>
                    <xdr:col>8</xdr:col>
                    <xdr:colOff>590550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oAnalysis">
                <anchor moveWithCells="1" sizeWithCells="1">
                  <from>
                    <xdr:col>6</xdr:col>
                    <xdr:colOff>114300</xdr:colOff>
                    <xdr:row>4</xdr:row>
                    <xdr:rowOff>104775</xdr:rowOff>
                  </from>
                  <to>
                    <xdr:col>8</xdr:col>
                    <xdr:colOff>590550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3:R101"/>
  <sheetViews>
    <sheetView showGridLines="0" workbookViewId="0"/>
  </sheetViews>
  <sheetFormatPr defaultColWidth="9" defaultRowHeight="15" x14ac:dyDescent="0.25"/>
  <cols>
    <col min="1" max="1" width="3" style="13" customWidth="1"/>
    <col min="2" max="2" width="29.5703125" style="13" customWidth="1"/>
    <col min="3" max="3" width="9" style="13"/>
    <col min="4" max="4" width="19.28515625" style="13" customWidth="1"/>
    <col min="5" max="5" width="18.140625" style="13" customWidth="1"/>
    <col min="6" max="7" width="17.85546875" style="13" customWidth="1"/>
    <col min="8" max="8" width="17.28515625" style="13" customWidth="1"/>
    <col min="9" max="9" width="19.28515625" style="13" customWidth="1"/>
    <col min="10" max="10" width="10.42578125" style="13" customWidth="1"/>
    <col min="11" max="11" width="15" style="13" customWidth="1"/>
    <col min="12" max="13" width="13.42578125" style="13" customWidth="1"/>
    <col min="14" max="14" width="11.140625" style="13" customWidth="1"/>
    <col min="15" max="15" width="18.140625" style="13" customWidth="1"/>
    <col min="16" max="16" width="14.42578125" style="13" customWidth="1"/>
    <col min="17" max="16384" width="9" style="13"/>
  </cols>
  <sheetData>
    <row r="3" spans="2:18" x14ac:dyDescent="0.25">
      <c r="B3" s="40" t="s">
        <v>5</v>
      </c>
      <c r="C3" s="40"/>
      <c r="D3" s="41"/>
      <c r="E3" s="41"/>
      <c r="G3" s="163"/>
      <c r="I3" s="47" t="s">
        <v>47</v>
      </c>
      <c r="J3" s="48"/>
      <c r="L3" s="47" t="s">
        <v>48</v>
      </c>
      <c r="M3" s="48"/>
      <c r="N3" s="48"/>
      <c r="O3" s="48"/>
    </row>
    <row r="4" spans="2:18" x14ac:dyDescent="0.25">
      <c r="B4" s="14" t="s">
        <v>3</v>
      </c>
      <c r="C4" s="20" t="s">
        <v>14</v>
      </c>
      <c r="D4" s="14" t="s">
        <v>4</v>
      </c>
      <c r="E4" s="20" t="s">
        <v>128</v>
      </c>
      <c r="F4" s="14" t="s">
        <v>86</v>
      </c>
      <c r="G4" s="20" t="s">
        <v>127</v>
      </c>
      <c r="I4" s="14" t="s">
        <v>3</v>
      </c>
      <c r="J4" s="20" t="s">
        <v>21</v>
      </c>
      <c r="L4" s="14" t="s">
        <v>3</v>
      </c>
      <c r="M4" s="20" t="s">
        <v>21</v>
      </c>
    </row>
    <row r="5" spans="2:18" x14ac:dyDescent="0.25">
      <c r="B5" s="15">
        <v>10</v>
      </c>
      <c r="C5" s="15">
        <v>1</v>
      </c>
      <c r="D5" s="16">
        <v>0</v>
      </c>
      <c r="E5" s="156">
        <v>0</v>
      </c>
      <c r="G5" s="164"/>
      <c r="I5" s="15">
        <v>10</v>
      </c>
      <c r="J5" s="16">
        <v>0</v>
      </c>
      <c r="L5" s="15">
        <v>10</v>
      </c>
      <c r="M5" s="202">
        <v>0</v>
      </c>
    </row>
    <row r="6" spans="2:18" x14ac:dyDescent="0.25">
      <c r="B6" s="15">
        <v>15</v>
      </c>
      <c r="C6" s="15">
        <v>2</v>
      </c>
      <c r="D6" s="128">
        <f t="shared" ref="D6:D11" si="0">E6</f>
        <v>0.1780991006877094</v>
      </c>
      <c r="E6" s="189">
        <f t="shared" ref="E6:E11" si="1">G6/$G$12</f>
        <v>0.1780991006877094</v>
      </c>
      <c r="F6" s="16">
        <v>0.17213106081008092</v>
      </c>
      <c r="G6" s="165">
        <v>1010</v>
      </c>
      <c r="I6" s="15">
        <v>15</v>
      </c>
      <c r="J6" s="126">
        <v>1.4999999999999999E-2</v>
      </c>
      <c r="L6" s="15">
        <v>15</v>
      </c>
      <c r="M6" s="202">
        <v>0.13300000000000001</v>
      </c>
    </row>
    <row r="7" spans="2:18" x14ac:dyDescent="0.25">
      <c r="B7" s="15">
        <v>20</v>
      </c>
      <c r="C7" s="15">
        <v>3</v>
      </c>
      <c r="D7" s="128">
        <f t="shared" si="0"/>
        <v>0.16716628460588961</v>
      </c>
      <c r="E7" s="189">
        <f t="shared" si="1"/>
        <v>0.16716628460588961</v>
      </c>
      <c r="F7" s="16">
        <v>0.16948826928193003</v>
      </c>
      <c r="G7" s="165">
        <v>948</v>
      </c>
      <c r="I7" s="15">
        <v>20</v>
      </c>
      <c r="J7" s="126">
        <v>5.0000000000000001E-3</v>
      </c>
      <c r="L7" s="15">
        <v>20</v>
      </c>
      <c r="M7" s="202">
        <v>0.111</v>
      </c>
    </row>
    <row r="8" spans="2:18" x14ac:dyDescent="0.25">
      <c r="B8" s="15">
        <v>25</v>
      </c>
      <c r="C8" s="15">
        <v>4</v>
      </c>
      <c r="D8" s="128">
        <f t="shared" si="0"/>
        <v>0.18286016575559866</v>
      </c>
      <c r="E8" s="189">
        <f t="shared" si="1"/>
        <v>0.18286016575559866</v>
      </c>
      <c r="F8" s="16">
        <v>0.16779584318410878</v>
      </c>
      <c r="G8" s="165">
        <v>1037</v>
      </c>
      <c r="I8" s="15">
        <v>25</v>
      </c>
      <c r="J8" s="126">
        <v>5.0000000000000001E-3</v>
      </c>
      <c r="L8" s="15">
        <v>25</v>
      </c>
      <c r="M8" s="202">
        <v>0.11899999999999999</v>
      </c>
    </row>
    <row r="9" spans="2:18" x14ac:dyDescent="0.25">
      <c r="B9" s="15">
        <v>30</v>
      </c>
      <c r="C9" s="15">
        <v>5</v>
      </c>
      <c r="D9" s="128">
        <f t="shared" si="0"/>
        <v>0.18127314406630224</v>
      </c>
      <c r="E9" s="189">
        <f t="shared" si="1"/>
        <v>0.18127314406630224</v>
      </c>
      <c r="F9" s="16">
        <v>0.15976924007030127</v>
      </c>
      <c r="G9" s="165">
        <v>1028</v>
      </c>
      <c r="I9" s="15">
        <v>30</v>
      </c>
      <c r="J9" s="126">
        <v>5.0000000000000001E-3</v>
      </c>
      <c r="L9" s="15">
        <v>30</v>
      </c>
      <c r="M9" s="202">
        <v>0.15</v>
      </c>
    </row>
    <row r="10" spans="2:18" x14ac:dyDescent="0.25">
      <c r="B10" s="15">
        <v>35</v>
      </c>
      <c r="C10" s="15">
        <v>6</v>
      </c>
      <c r="D10" s="128">
        <f t="shared" si="0"/>
        <v>0.15323576088873214</v>
      </c>
      <c r="E10" s="189">
        <f t="shared" si="1"/>
        <v>0.15323576088873214</v>
      </c>
      <c r="F10" s="16">
        <v>0.16252709380755614</v>
      </c>
      <c r="G10" s="165">
        <v>869</v>
      </c>
      <c r="I10" s="15">
        <v>35</v>
      </c>
      <c r="J10" s="126">
        <v>2E-3</v>
      </c>
      <c r="L10" s="15">
        <v>35</v>
      </c>
      <c r="M10" s="202">
        <v>0.246</v>
      </c>
    </row>
    <row r="11" spans="2:18" x14ac:dyDescent="0.25">
      <c r="B11" s="17">
        <v>40</v>
      </c>
      <c r="C11" s="17">
        <v>7</v>
      </c>
      <c r="D11" s="157">
        <f t="shared" si="0"/>
        <v>0.13736554399576795</v>
      </c>
      <c r="E11" s="190">
        <f t="shared" si="1"/>
        <v>0.13736554399576795</v>
      </c>
      <c r="F11" s="18">
        <v>0.16828849284602276</v>
      </c>
      <c r="G11" s="17">
        <v>779</v>
      </c>
      <c r="I11" s="17">
        <v>40</v>
      </c>
      <c r="J11" s="127">
        <v>1E-3</v>
      </c>
      <c r="L11" s="15">
        <v>40</v>
      </c>
      <c r="M11" s="202">
        <v>0.51</v>
      </c>
    </row>
    <row r="12" spans="2:18" x14ac:dyDescent="0.25">
      <c r="B12" s="15" t="s">
        <v>6</v>
      </c>
      <c r="C12" s="15"/>
      <c r="D12" s="16">
        <f>SUM(D5:D11)</f>
        <v>1</v>
      </c>
      <c r="E12" s="16"/>
      <c r="G12" s="166">
        <f>SUM(G6:G11)</f>
        <v>5671</v>
      </c>
      <c r="I12" s="21" t="s">
        <v>22</v>
      </c>
      <c r="J12" s="128">
        <f>SUMPRODUCT(D6:D11,J6:J11)</f>
        <v>5.7718215482278259E-3</v>
      </c>
    </row>
    <row r="13" spans="2:18" x14ac:dyDescent="0.25">
      <c r="M13" s="108"/>
      <c r="N13" s="108"/>
      <c r="O13" s="108"/>
      <c r="P13" s="108"/>
      <c r="Q13" s="108"/>
      <c r="R13" s="108"/>
    </row>
    <row r="14" spans="2:18" x14ac:dyDescent="0.25">
      <c r="B14" s="47" t="s">
        <v>53</v>
      </c>
      <c r="C14" s="48"/>
      <c r="D14" s="48"/>
      <c r="E14" s="48"/>
      <c r="F14" s="141">
        <v>0.42</v>
      </c>
      <c r="L14" s="50"/>
      <c r="M14" s="108"/>
      <c r="N14" s="108"/>
      <c r="O14" s="108"/>
      <c r="P14" s="108"/>
      <c r="Q14" s="108"/>
      <c r="R14" s="108"/>
    </row>
    <row r="15" spans="2:18" x14ac:dyDescent="0.25">
      <c r="B15" s="47" t="s">
        <v>107</v>
      </c>
      <c r="C15" s="48"/>
      <c r="D15" s="48"/>
      <c r="E15" s="48"/>
      <c r="F15" s="142">
        <v>1</v>
      </c>
      <c r="L15" s="50"/>
      <c r="M15" s="108"/>
      <c r="N15" s="108"/>
      <c r="O15" s="108"/>
      <c r="P15" s="108"/>
      <c r="Q15" s="108"/>
      <c r="R15" s="108"/>
    </row>
    <row r="16" spans="2:18" x14ac:dyDescent="0.25">
      <c r="H16" s="23"/>
      <c r="I16" s="23"/>
      <c r="J16" s="23"/>
      <c r="K16" s="23"/>
      <c r="L16" s="50"/>
      <c r="M16" s="108"/>
      <c r="N16" s="108"/>
      <c r="O16" s="108"/>
      <c r="P16" s="108"/>
      <c r="Q16" s="108"/>
      <c r="R16" s="108"/>
    </row>
    <row r="17" spans="2:18" x14ac:dyDescent="0.25">
      <c r="B17" s="40" t="s">
        <v>56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</row>
    <row r="18" spans="2:18" x14ac:dyDescent="0.25">
      <c r="B18" s="33"/>
      <c r="C18" s="20" t="s">
        <v>14</v>
      </c>
      <c r="D18" s="20" t="s">
        <v>42</v>
      </c>
      <c r="E18" s="22" t="s">
        <v>43</v>
      </c>
      <c r="F18" s="20" t="s">
        <v>16</v>
      </c>
      <c r="G18" s="20" t="s">
        <v>17</v>
      </c>
      <c r="H18" s="14" t="s">
        <v>18</v>
      </c>
      <c r="I18" s="14" t="s">
        <v>41</v>
      </c>
      <c r="J18" s="14" t="s">
        <v>19</v>
      </c>
      <c r="K18" s="14" t="s">
        <v>20</v>
      </c>
      <c r="L18" s="14" t="s">
        <v>57</v>
      </c>
    </row>
    <row r="19" spans="2:18" x14ac:dyDescent="0.25">
      <c r="B19" s="145" t="s">
        <v>96</v>
      </c>
      <c r="C19" s="34">
        <v>1</v>
      </c>
      <c r="D19" s="37">
        <v>0</v>
      </c>
      <c r="E19" s="16">
        <v>9.9999999999999998E-13</v>
      </c>
      <c r="F19" s="191">
        <v>1.1900000000000001E-2</v>
      </c>
      <c r="G19" s="191">
        <v>3.27E-2</v>
      </c>
      <c r="H19" s="192">
        <v>0.1119</v>
      </c>
      <c r="I19" s="192">
        <v>0.2364</v>
      </c>
      <c r="J19" s="192">
        <v>0.36130000000000001</v>
      </c>
      <c r="K19" s="192">
        <v>0.51859999999999995</v>
      </c>
      <c r="L19" s="16">
        <f t="shared" ref="L19:L24" si="2">MMULT(F19:K19,$E$6:$E$11)</f>
        <v>0.19750259213542584</v>
      </c>
      <c r="M19" s="16"/>
      <c r="N19" s="16"/>
      <c r="O19" s="16"/>
      <c r="P19" s="16"/>
      <c r="Q19" s="16"/>
    </row>
    <row r="20" spans="2:18" x14ac:dyDescent="0.25">
      <c r="B20" s="145" t="s">
        <v>108</v>
      </c>
      <c r="C20" s="34">
        <v>2</v>
      </c>
      <c r="D20" s="37">
        <v>0</v>
      </c>
      <c r="E20" s="16">
        <f>1-E19</f>
        <v>0.99999999999900002</v>
      </c>
      <c r="F20" s="191">
        <v>0.6139</v>
      </c>
      <c r="G20" s="191">
        <v>0.1888</v>
      </c>
      <c r="H20" s="192">
        <v>0.1273</v>
      </c>
      <c r="I20" s="192">
        <v>7.7799999999999994E-2</v>
      </c>
      <c r="J20" s="192">
        <v>9.9000000000000005E-2</v>
      </c>
      <c r="K20" s="192">
        <v>0.1014</v>
      </c>
      <c r="L20" s="16">
        <f t="shared" si="2"/>
        <v>0.20737638864397812</v>
      </c>
      <c r="M20" s="16"/>
      <c r="N20" s="16"/>
      <c r="O20" s="16"/>
      <c r="P20" s="16"/>
      <c r="Q20" s="16"/>
    </row>
    <row r="21" spans="2:18" x14ac:dyDescent="0.25">
      <c r="B21" s="32" t="s">
        <v>12</v>
      </c>
      <c r="C21" s="34">
        <v>3</v>
      </c>
      <c r="D21" s="39">
        <f>1-percent_contraceptionDecrease</f>
        <v>1</v>
      </c>
      <c r="E21" s="16">
        <v>0</v>
      </c>
      <c r="F21" s="191">
        <v>0.2366</v>
      </c>
      <c r="G21" s="191">
        <v>0.54320000000000002</v>
      </c>
      <c r="H21" s="192">
        <v>0.50529999999999997</v>
      </c>
      <c r="I21" s="192">
        <v>0.42120000000000002</v>
      </c>
      <c r="J21" s="192">
        <v>0.34289999999999998</v>
      </c>
      <c r="K21" s="192">
        <v>0.22589999999999999</v>
      </c>
      <c r="L21" s="16">
        <f t="shared" si="2"/>
        <v>0.38526988185505201</v>
      </c>
      <c r="M21" s="16"/>
      <c r="N21" s="16"/>
      <c r="O21" s="16"/>
      <c r="P21" s="16"/>
      <c r="Q21" s="16"/>
    </row>
    <row r="22" spans="2:18" x14ac:dyDescent="0.25">
      <c r="B22" s="32" t="s">
        <v>52</v>
      </c>
      <c r="C22" s="34">
        <v>4</v>
      </c>
      <c r="D22" s="39">
        <f>percent_contraceptionIncrease</f>
        <v>0</v>
      </c>
      <c r="E22" s="16">
        <v>0</v>
      </c>
      <c r="F22" s="191">
        <v>0.1089</v>
      </c>
      <c r="G22" s="191">
        <v>0.1424</v>
      </c>
      <c r="H22" s="192">
        <v>0.12920000000000001</v>
      </c>
      <c r="I22" s="192">
        <v>0.14199999999999999</v>
      </c>
      <c r="J22" s="192">
        <v>0.1197</v>
      </c>
      <c r="K22" s="192">
        <v>9.11E-2</v>
      </c>
      <c r="L22" s="16">
        <f t="shared" si="2"/>
        <v>0.1234221125022042</v>
      </c>
      <c r="M22" s="16"/>
      <c r="N22" s="16"/>
      <c r="O22" s="16"/>
      <c r="P22" s="16"/>
      <c r="Q22" s="16"/>
    </row>
    <row r="23" spans="2:18" x14ac:dyDescent="0.25">
      <c r="B23" s="32" t="s">
        <v>13</v>
      </c>
      <c r="C23" s="34">
        <v>5</v>
      </c>
      <c r="D23" s="37">
        <v>0</v>
      </c>
      <c r="E23" s="16">
        <v>0</v>
      </c>
      <c r="F23" s="191">
        <v>1E-3</v>
      </c>
      <c r="G23" s="191">
        <v>2.64E-2</v>
      </c>
      <c r="H23" s="192">
        <v>5.2999999999999999E-2</v>
      </c>
      <c r="I23" s="192">
        <v>6.7100000000000007E-2</v>
      </c>
      <c r="J23" s="192">
        <v>5.4100000000000002E-2</v>
      </c>
      <c r="K23" s="192">
        <v>5.6500000000000002E-2</v>
      </c>
      <c r="L23" s="16">
        <f t="shared" si="2"/>
        <v>4.2497513666020101E-2</v>
      </c>
      <c r="M23" s="16"/>
      <c r="N23" s="16"/>
      <c r="O23" s="16"/>
      <c r="P23" s="16"/>
      <c r="Q23" s="16"/>
    </row>
    <row r="24" spans="2:18" ht="15.75" customHeight="1" x14ac:dyDescent="0.25">
      <c r="B24" s="46" t="s">
        <v>58</v>
      </c>
      <c r="C24" s="35">
        <v>6</v>
      </c>
      <c r="D24" s="38">
        <v>0</v>
      </c>
      <c r="E24" s="18">
        <v>0</v>
      </c>
      <c r="F24" s="193">
        <v>2.7699999999999999E-2</v>
      </c>
      <c r="G24" s="193">
        <v>6.6500000000000004E-2</v>
      </c>
      <c r="H24" s="194">
        <v>7.3300000000000004E-2</v>
      </c>
      <c r="I24" s="194">
        <v>5.5500000000000001E-2</v>
      </c>
      <c r="J24" s="194">
        <v>2.3E-2</v>
      </c>
      <c r="K24" s="194">
        <v>6.4999999999999997E-3</v>
      </c>
      <c r="L24" s="18">
        <f t="shared" si="2"/>
        <v>4.3931511197319702E-2</v>
      </c>
    </row>
    <row r="25" spans="2:18" x14ac:dyDescent="0.25">
      <c r="C25" s="23" t="s">
        <v>6</v>
      </c>
      <c r="D25" s="23"/>
      <c r="E25" s="36">
        <f t="shared" ref="E25:K25" si="3">SUM(E19:E24)</f>
        <v>1</v>
      </c>
      <c r="F25" s="16">
        <f t="shared" si="3"/>
        <v>1</v>
      </c>
      <c r="G25" s="16">
        <f t="shared" si="3"/>
        <v>1</v>
      </c>
      <c r="H25" s="16">
        <f>SUM(H19:H24)</f>
        <v>1</v>
      </c>
      <c r="I25" s="16">
        <f t="shared" si="3"/>
        <v>1.0000000000000002</v>
      </c>
      <c r="J25" s="16">
        <f t="shared" si="3"/>
        <v>1</v>
      </c>
      <c r="K25" s="16">
        <f t="shared" si="3"/>
        <v>0.99999999999999989</v>
      </c>
    </row>
    <row r="26" spans="2:18" x14ac:dyDescent="0.25">
      <c r="G26" s="148"/>
      <c r="L26" s="50"/>
      <c r="M26" s="108"/>
      <c r="N26" s="108"/>
      <c r="O26" s="108"/>
      <c r="P26" s="108"/>
      <c r="Q26" s="108"/>
      <c r="R26" s="108"/>
    </row>
    <row r="27" spans="2:18" x14ac:dyDescent="0.25">
      <c r="C27" s="23"/>
      <c r="D27" s="23"/>
    </row>
    <row r="28" spans="2:18" x14ac:dyDescent="0.25">
      <c r="B28" s="42" t="s">
        <v>23</v>
      </c>
      <c r="C28" s="43"/>
      <c r="D28" s="43"/>
      <c r="E28" s="43"/>
      <c r="F28" s="43"/>
      <c r="G28" s="44"/>
      <c r="H28" s="44"/>
      <c r="N28" s="23"/>
    </row>
    <row r="29" spans="2:18" ht="135" x14ac:dyDescent="0.25">
      <c r="B29" s="24" t="s">
        <v>24</v>
      </c>
      <c r="C29" s="24" t="s">
        <v>14</v>
      </c>
      <c r="D29" s="24" t="s">
        <v>25</v>
      </c>
      <c r="E29" s="24" t="s">
        <v>26</v>
      </c>
      <c r="F29" s="24" t="s">
        <v>27</v>
      </c>
      <c r="G29" s="26" t="s">
        <v>111</v>
      </c>
      <c r="H29" s="26" t="s">
        <v>114</v>
      </c>
      <c r="I29" s="26" t="s">
        <v>115</v>
      </c>
      <c r="J29" s="159" t="s">
        <v>112</v>
      </c>
      <c r="L29" s="158"/>
    </row>
    <row r="30" spans="2:18" x14ac:dyDescent="0.25">
      <c r="B30" t="s">
        <v>28</v>
      </c>
      <c r="C30" s="1">
        <v>1</v>
      </c>
      <c r="D30" s="57">
        <f>0.05/100</f>
        <v>5.0000000000000001E-4</v>
      </c>
      <c r="E30" s="25">
        <f>LN(1-D30)</f>
        <v>-5.0012504168224286E-4</v>
      </c>
      <c r="F30" s="55">
        <f>1+1/(probSuccessPregnancy*averageNumOfSexualEncounters*52*effAdjustingFactor)*E30</f>
        <v>0.99848249024126401</v>
      </c>
      <c r="G30" s="195">
        <v>1.7999999999999999E-2</v>
      </c>
      <c r="H30" s="195">
        <f>G30/(1-$G$38)</f>
        <v>4.3134435657800139E-2</v>
      </c>
      <c r="I30" s="189">
        <v>8.0000000000000002E-3</v>
      </c>
    </row>
    <row r="31" spans="2:18" x14ac:dyDescent="0.25">
      <c r="B31" t="s">
        <v>29</v>
      </c>
      <c r="C31" s="1">
        <v>2</v>
      </c>
      <c r="D31" s="57">
        <f>6/100</f>
        <v>0.06</v>
      </c>
      <c r="E31" s="25">
        <f t="shared" ref="E31:E37" si="4">LN(1-D31)</f>
        <v>-6.1875403718087529E-2</v>
      </c>
      <c r="F31" s="55">
        <f t="shared" ref="F31:F37" si="5">1+1/(probSuccessPregnancy*averageNumOfSexualEncounters*52*effAdjustingFactor)*E31</f>
        <v>0.8122538942419455</v>
      </c>
      <c r="G31" s="195">
        <v>2.98E-2</v>
      </c>
      <c r="H31" s="195">
        <f t="shared" ref="H31:H37" si="6">G31/(1-$G$38)</f>
        <v>7.1411454589024675E-2</v>
      </c>
      <c r="I31" s="189">
        <v>2.8000000000000001E-2</v>
      </c>
    </row>
    <row r="32" spans="2:18" x14ac:dyDescent="0.25">
      <c r="B32" t="s">
        <v>30</v>
      </c>
      <c r="C32" s="1">
        <v>3</v>
      </c>
      <c r="D32" s="57">
        <f>9/100</f>
        <v>0.09</v>
      </c>
      <c r="E32" s="25">
        <f t="shared" si="4"/>
        <v>-9.431067947124129E-2</v>
      </c>
      <c r="F32" s="55">
        <f t="shared" si="5"/>
        <v>0.71383681175165137</v>
      </c>
      <c r="G32" s="195">
        <v>0.14369999999999999</v>
      </c>
      <c r="H32" s="195">
        <f t="shared" si="6"/>
        <v>0.34435657800143782</v>
      </c>
      <c r="I32" s="189">
        <v>0.16</v>
      </c>
    </row>
    <row r="33" spans="1:15" x14ac:dyDescent="0.25">
      <c r="B33" t="s">
        <v>31</v>
      </c>
      <c r="C33" s="1">
        <v>4</v>
      </c>
      <c r="D33" s="57">
        <f>9/100</f>
        <v>0.09</v>
      </c>
      <c r="E33" s="25">
        <f t="shared" si="4"/>
        <v>-9.431067947124129E-2</v>
      </c>
      <c r="F33" s="55">
        <f t="shared" si="5"/>
        <v>0.71383681175165137</v>
      </c>
      <c r="G33" s="195">
        <v>1.11E-2</v>
      </c>
      <c r="H33" s="195">
        <f t="shared" si="6"/>
        <v>2.6599568655643422E-2</v>
      </c>
      <c r="I33" s="189">
        <v>1.6E-2</v>
      </c>
    </row>
    <row r="34" spans="1:15" x14ac:dyDescent="0.25">
      <c r="B34" t="s">
        <v>32</v>
      </c>
      <c r="C34" s="1">
        <v>5</v>
      </c>
      <c r="D34" s="57">
        <f>0.05/100</f>
        <v>5.0000000000000001E-4</v>
      </c>
      <c r="E34" s="25">
        <f t="shared" si="4"/>
        <v>-5.0012504168224286E-4</v>
      </c>
      <c r="F34" s="55">
        <f t="shared" si="5"/>
        <v>0.99848249024126401</v>
      </c>
      <c r="G34" s="195">
        <v>6.8400000000000002E-2</v>
      </c>
      <c r="H34" s="195">
        <f t="shared" si="6"/>
        <v>0.16391085549964055</v>
      </c>
      <c r="I34" s="189">
        <v>6.4000000000000001E-2</v>
      </c>
    </row>
    <row r="35" spans="1:15" ht="15.75" customHeight="1" x14ac:dyDescent="0.25">
      <c r="B35" t="s">
        <v>33</v>
      </c>
      <c r="C35" s="1">
        <v>6</v>
      </c>
      <c r="D35" s="57">
        <f>18/100</f>
        <v>0.18</v>
      </c>
      <c r="E35" s="25">
        <f t="shared" si="4"/>
        <v>-0.19845093872383818</v>
      </c>
      <c r="F35" s="55">
        <f t="shared" si="5"/>
        <v>0.3978481158816346</v>
      </c>
      <c r="G35" s="195">
        <v>9.1499999999999998E-2</v>
      </c>
      <c r="H35" s="195">
        <f t="shared" si="6"/>
        <v>0.21926671459381739</v>
      </c>
      <c r="I35" s="189">
        <v>9.4E-2</v>
      </c>
    </row>
    <row r="36" spans="1:15" x14ac:dyDescent="0.25">
      <c r="B36" s="6" t="s">
        <v>34</v>
      </c>
      <c r="C36" s="7">
        <v>7</v>
      </c>
      <c r="D36" s="7">
        <f>22/100</f>
        <v>0.22</v>
      </c>
      <c r="E36" s="53">
        <f t="shared" si="4"/>
        <v>-0.24846135929849961</v>
      </c>
      <c r="F36" s="56">
        <f t="shared" si="5"/>
        <v>0.24610346217409873</v>
      </c>
      <c r="G36" s="196">
        <v>3.8800000000000001E-2</v>
      </c>
      <c r="H36" s="196">
        <f t="shared" si="6"/>
        <v>9.2978672417924763E-2</v>
      </c>
      <c r="I36" s="197">
        <v>0.03</v>
      </c>
    </row>
    <row r="37" spans="1:15" x14ac:dyDescent="0.25">
      <c r="B37" s="6" t="s">
        <v>35</v>
      </c>
      <c r="C37" s="7">
        <v>8</v>
      </c>
      <c r="D37" s="7">
        <f>18.67/100</f>
        <v>0.1867</v>
      </c>
      <c r="E37" s="53">
        <f t="shared" si="4"/>
        <v>-0.20665523380940748</v>
      </c>
      <c r="F37" s="56">
        <f t="shared" si="5"/>
        <v>0.37295414573764163</v>
      </c>
      <c r="G37" s="196">
        <v>1.6E-2</v>
      </c>
      <c r="H37" s="196">
        <f t="shared" si="6"/>
        <v>3.8341720584711241E-2</v>
      </c>
      <c r="I37" s="197">
        <v>1.0999999999999999E-2</v>
      </c>
    </row>
    <row r="38" spans="1:15" x14ac:dyDescent="0.25">
      <c r="B38" s="27" t="s">
        <v>113</v>
      </c>
      <c r="C38" s="28">
        <v>9</v>
      </c>
      <c r="D38" s="28"/>
      <c r="E38" s="29"/>
      <c r="F38" s="30"/>
      <c r="G38" s="190">
        <v>0.5827</v>
      </c>
      <c r="H38" s="198">
        <v>0</v>
      </c>
      <c r="I38" s="199">
        <v>0.58899999999999997</v>
      </c>
    </row>
    <row r="39" spans="1:15" x14ac:dyDescent="0.25">
      <c r="E39" s="25"/>
      <c r="F39" s="25"/>
      <c r="G39" s="160">
        <f>SUM(G30:G38)</f>
        <v>1</v>
      </c>
      <c r="H39" s="161">
        <f>SUM(H30:H37)</f>
        <v>1</v>
      </c>
      <c r="I39" s="162">
        <f>SUM(I30:I38)</f>
        <v>1</v>
      </c>
    </row>
    <row r="40" spans="1:15" x14ac:dyDescent="0.25">
      <c r="A40" s="108"/>
      <c r="B40" s="108"/>
      <c r="C40" s="108"/>
      <c r="D40" s="108"/>
      <c r="E40" s="108"/>
      <c r="F40" s="108"/>
      <c r="G40" s="108"/>
      <c r="H40" s="108"/>
      <c r="I40" s="108"/>
    </row>
    <row r="41" spans="1:15" x14ac:dyDescent="0.25">
      <c r="A41" s="108"/>
      <c r="B41" s="108"/>
      <c r="C41" s="108"/>
      <c r="D41" s="108"/>
      <c r="E41" s="108"/>
      <c r="F41" s="108"/>
      <c r="G41" s="108"/>
      <c r="H41" s="108"/>
      <c r="I41" s="108"/>
    </row>
    <row r="42" spans="1:15" x14ac:dyDescent="0.25">
      <c r="A42" s="108"/>
      <c r="B42" s="132" t="s">
        <v>49</v>
      </c>
      <c r="C42" s="133"/>
      <c r="D42" s="133"/>
      <c r="E42" s="133"/>
      <c r="F42" s="133"/>
      <c r="G42" s="133"/>
      <c r="H42" s="133"/>
      <c r="I42" s="133"/>
      <c r="J42" s="108"/>
    </row>
    <row r="43" spans="1:15" x14ac:dyDescent="0.25">
      <c r="A43" s="108"/>
      <c r="B43" s="111" t="s">
        <v>3</v>
      </c>
      <c r="C43" s="109" t="s">
        <v>14</v>
      </c>
      <c r="D43" s="109" t="str">
        <f t="array" ref="D43:I43">TRANSPOSE($B$19:$B$24)</f>
        <v>Sterile</v>
      </c>
      <c r="E43" s="109" t="str">
        <v>Inactive</v>
      </c>
      <c r="F43" s="109" t="str">
        <v>Careful sex</v>
      </c>
      <c r="G43" s="109" t="str">
        <v>Unsafe Sex</v>
      </c>
      <c r="H43" s="109" t="str">
        <v>Seeking Pregnancy</v>
      </c>
      <c r="I43" s="109" t="str">
        <v>Pregnant</v>
      </c>
      <c r="J43" s="108"/>
    </row>
    <row r="44" spans="1:15" x14ac:dyDescent="0.25">
      <c r="A44" s="108"/>
      <c r="B44" s="137">
        <v>10</v>
      </c>
      <c r="C44" s="79">
        <v>1</v>
      </c>
      <c r="D44" s="79">
        <v>0</v>
      </c>
      <c r="E44" s="79">
        <v>0</v>
      </c>
      <c r="F44" s="79">
        <v>0</v>
      </c>
      <c r="G44" s="79">
        <v>0</v>
      </c>
      <c r="H44" s="79">
        <v>0</v>
      </c>
      <c r="I44" s="79">
        <v>0</v>
      </c>
      <c r="J44" s="108"/>
    </row>
    <row r="45" spans="1:15" x14ac:dyDescent="0.25">
      <c r="A45" s="108"/>
      <c r="B45" s="137">
        <v>15</v>
      </c>
      <c r="C45" s="79">
        <v>2</v>
      </c>
      <c r="D45" s="200">
        <f>Gamma.Poisson.Calc!F27</f>
        <v>9.3866327978927563E-2</v>
      </c>
      <c r="E45" s="200">
        <f>Gamma.Poisson.Calc!F33</f>
        <v>0.15929640631876327</v>
      </c>
      <c r="F45" s="200">
        <f>Gamma.Poisson.Calc!F39</f>
        <v>0.43270912192833</v>
      </c>
      <c r="G45" s="200">
        <f>Gamma.Poisson.Calc!F45</f>
        <v>0.32048210044580894</v>
      </c>
      <c r="H45" s="200">
        <f>Gamma.Poisson.Calc!$F$51</f>
        <v>0.45419607280134661</v>
      </c>
      <c r="I45" s="200">
        <f>Gamma.Poisson.Calc!$F$52</f>
        <v>5.6496908430209554E-2</v>
      </c>
      <c r="J45" s="108"/>
      <c r="K45"/>
    </row>
    <row r="46" spans="1:15" x14ac:dyDescent="0.25">
      <c r="A46" s="108"/>
      <c r="B46" s="155">
        <v>20</v>
      </c>
      <c r="C46" s="155">
        <v>3</v>
      </c>
      <c r="D46" s="200">
        <f>Gamma.Poisson.Calc!F28</f>
        <v>0.32392099949041236</v>
      </c>
      <c r="E46" s="200">
        <f>Gamma.Poisson.Calc!F34</f>
        <v>0.39088372970962454</v>
      </c>
      <c r="F46" s="200">
        <f>Gamma.Poisson.Calc!F40</f>
        <v>0.69471503477280849</v>
      </c>
      <c r="G46" s="200">
        <f>Gamma.Poisson.Calc!F46</f>
        <v>0.40238815146172974</v>
      </c>
      <c r="H46" s="200">
        <f>Gamma.Poisson.Calc!$F$51</f>
        <v>0.45419607280134661</v>
      </c>
      <c r="I46" s="200">
        <f>Gamma.Poisson.Calc!$F$52</f>
        <v>5.6496908430209554E-2</v>
      </c>
      <c r="J46" s="110"/>
      <c r="K46"/>
      <c r="L46"/>
      <c r="M46"/>
      <c r="N46"/>
      <c r="O46" s="15"/>
    </row>
    <row r="47" spans="1:15" x14ac:dyDescent="0.25">
      <c r="A47" s="108"/>
      <c r="B47" s="155">
        <v>25</v>
      </c>
      <c r="C47" s="155">
        <v>4</v>
      </c>
      <c r="D47" s="200">
        <f>Gamma.Poisson.Calc!F29</f>
        <v>0.38325142260268197</v>
      </c>
      <c r="E47" s="200">
        <f>Gamma.Poisson.Calc!F35</f>
        <v>0.39218903258975846</v>
      </c>
      <c r="F47" s="200">
        <f>Gamma.Poisson.Calc!F41</f>
        <v>0.54468990640460679</v>
      </c>
      <c r="G47" s="200">
        <f>Gamma.Poisson.Calc!F47</f>
        <v>0.48544699886042697</v>
      </c>
      <c r="H47" s="200">
        <f>Gamma.Poisson.Calc!$F$51</f>
        <v>0.45419607280134661</v>
      </c>
      <c r="I47" s="200">
        <f>Gamma.Poisson.Calc!$F$52</f>
        <v>5.6496908430209554E-2</v>
      </c>
      <c r="J47" s="110"/>
      <c r="K47"/>
      <c r="L47"/>
      <c r="M47"/>
      <c r="N47"/>
      <c r="O47" s="15"/>
    </row>
    <row r="48" spans="1:15" x14ac:dyDescent="0.25">
      <c r="A48" s="108"/>
      <c r="B48" s="155">
        <v>30</v>
      </c>
      <c r="C48" s="155">
        <v>5</v>
      </c>
      <c r="D48" s="200">
        <f>Gamma.Poisson.Calc!F30</f>
        <v>0.38576710432628908</v>
      </c>
      <c r="E48" s="200">
        <f>Gamma.Poisson.Calc!F36</f>
        <v>0.32396070032744329</v>
      </c>
      <c r="F48" s="200">
        <f>Gamma.Poisson.Calc!F42</f>
        <v>0.53996175973541405</v>
      </c>
      <c r="G48" s="200">
        <f>Gamma.Poisson.Calc!F48</f>
        <v>0.3352140726230578</v>
      </c>
      <c r="H48" s="200">
        <f>Gamma.Poisson.Calc!$F$51</f>
        <v>0.45419607280134661</v>
      </c>
      <c r="I48" s="200">
        <f>Gamma.Poisson.Calc!$F$52</f>
        <v>5.6496908430209554E-2</v>
      </c>
      <c r="J48" s="110"/>
      <c r="K48" s="15"/>
      <c r="L48" s="15"/>
      <c r="M48" s="15"/>
      <c r="N48" s="15"/>
      <c r="O48" s="63"/>
    </row>
    <row r="49" spans="1:17" x14ac:dyDescent="0.25">
      <c r="A49" s="108"/>
      <c r="B49" s="97">
        <v>35</v>
      </c>
      <c r="C49" s="97">
        <v>6</v>
      </c>
      <c r="D49" s="200">
        <f>Gamma.Poisson.Calc!F31</f>
        <v>0.37804653882736527</v>
      </c>
      <c r="E49" s="200">
        <f>Gamma.Poisson.Calc!F37</f>
        <v>0.32791059241624915</v>
      </c>
      <c r="F49" s="200">
        <f>Gamma.Poisson.Calc!F43</f>
        <v>0.43314850158597801</v>
      </c>
      <c r="G49" s="200">
        <f>Gamma.Poisson.Calc!F49</f>
        <v>0.28742093305757371</v>
      </c>
      <c r="H49" s="200">
        <f>Gamma.Poisson.Calc!$F$51</f>
        <v>0.45419607280134661</v>
      </c>
      <c r="I49" s="200">
        <f>Gamma.Poisson.Calc!$F$52</f>
        <v>5.6496908430209554E-2</v>
      </c>
      <c r="J49" s="135"/>
      <c r="K49" s="61"/>
      <c r="L49" s="61"/>
      <c r="M49" s="15"/>
      <c r="N49" s="15"/>
      <c r="O49" s="15"/>
      <c r="P49" s="62"/>
      <c r="Q49" s="23"/>
    </row>
    <row r="50" spans="1:17" x14ac:dyDescent="0.25">
      <c r="A50" s="108"/>
      <c r="B50" s="169">
        <v>40</v>
      </c>
      <c r="C50" s="169">
        <v>7</v>
      </c>
      <c r="D50" s="206">
        <f>Gamma.Poisson.Calc!F32</f>
        <v>0.43021676957495814</v>
      </c>
      <c r="E50" s="206">
        <f>Gamma.Poisson.Calc!F38</f>
        <v>0.25130423048377304</v>
      </c>
      <c r="F50" s="206">
        <f>Gamma.Poisson.Calc!F44</f>
        <v>0.44234531527542614</v>
      </c>
      <c r="G50" s="206">
        <f>Gamma.Poisson.Calc!F50</f>
        <v>0.46226012070382189</v>
      </c>
      <c r="H50" s="206">
        <f>Gamma.Poisson.Calc!$F$51</f>
        <v>0.45419607280134661</v>
      </c>
      <c r="I50" s="206">
        <f>Gamma.Poisson.Calc!$F$52</f>
        <v>5.6496908430209554E-2</v>
      </c>
      <c r="J50" s="110"/>
      <c r="K50" s="15"/>
      <c r="L50" s="15"/>
      <c r="M50" s="15"/>
      <c r="N50" s="15"/>
      <c r="O50" s="15"/>
    </row>
    <row r="51" spans="1:17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31"/>
      <c r="K51" s="15"/>
      <c r="L51" s="15"/>
      <c r="M51" s="15"/>
      <c r="N51" s="15"/>
      <c r="O51" s="15"/>
    </row>
    <row r="52" spans="1:17" x14ac:dyDescent="0.25">
      <c r="A52" s="108"/>
      <c r="B52" s="132" t="s">
        <v>50</v>
      </c>
      <c r="C52" s="133"/>
      <c r="D52" s="133"/>
      <c r="E52" s="133"/>
      <c r="F52" s="133"/>
      <c r="G52" s="133"/>
      <c r="H52" s="133"/>
      <c r="I52" s="133"/>
      <c r="J52" s="108"/>
    </row>
    <row r="53" spans="1:17" x14ac:dyDescent="0.25">
      <c r="A53" s="108"/>
      <c r="B53" s="111" t="s">
        <v>3</v>
      </c>
      <c r="C53" s="109" t="s">
        <v>14</v>
      </c>
      <c r="D53" s="109" t="str">
        <f t="array" ref="D53:I53">TRANSPOSE($B$19:$B$24)</f>
        <v>Sterile</v>
      </c>
      <c r="E53" s="109" t="str">
        <v>Inactive</v>
      </c>
      <c r="F53" s="109" t="str">
        <v>Careful sex</v>
      </c>
      <c r="G53" s="109" t="str">
        <v>Unsafe Sex</v>
      </c>
      <c r="H53" s="109" t="str">
        <v>Seeking Pregnancy</v>
      </c>
      <c r="I53" s="109" t="str">
        <v>Pregnant</v>
      </c>
      <c r="J53" s="108"/>
    </row>
    <row r="54" spans="1:17" x14ac:dyDescent="0.25">
      <c r="A54" s="108"/>
      <c r="B54" s="137">
        <v>10</v>
      </c>
      <c r="C54" s="79">
        <v>1</v>
      </c>
      <c r="D54" s="79">
        <v>0</v>
      </c>
      <c r="E54" s="79">
        <v>0</v>
      </c>
      <c r="F54" s="79">
        <v>0</v>
      </c>
      <c r="G54" s="79">
        <v>0</v>
      </c>
      <c r="H54" s="79">
        <v>0</v>
      </c>
      <c r="I54" s="79">
        <v>0</v>
      </c>
      <c r="J54" s="108"/>
    </row>
    <row r="55" spans="1:17" x14ac:dyDescent="0.25">
      <c r="A55" s="108"/>
      <c r="B55" s="155">
        <v>15</v>
      </c>
      <c r="C55" s="155">
        <v>2</v>
      </c>
      <c r="D55" s="200">
        <f>Gamma.Poisson.Calc!E27</f>
        <v>22.194682</v>
      </c>
      <c r="E55" s="200">
        <f>Gamma.Poisson.Calc!E33</f>
        <v>3.7767707000000001</v>
      </c>
      <c r="F55" s="200">
        <f>Gamma.Poisson.Calc!E39</f>
        <v>7.7424090000000003</v>
      </c>
      <c r="G55" s="200">
        <f>Gamma.Poisson.Calc!E45</f>
        <v>8.1872067000000008</v>
      </c>
      <c r="H55" s="200">
        <f>Gamma.Poisson.Calc!$E$51</f>
        <v>8.9255326999999998</v>
      </c>
      <c r="I55" s="200">
        <f>Gamma.Poisson.Calc!$E$52</f>
        <v>11.752281999999999</v>
      </c>
      <c r="J55" s="108"/>
    </row>
    <row r="56" spans="1:17" x14ac:dyDescent="0.25">
      <c r="A56" s="108"/>
      <c r="B56" s="155">
        <v>20</v>
      </c>
      <c r="C56" s="155">
        <v>3</v>
      </c>
      <c r="D56" s="200">
        <f>Gamma.Poisson.Calc!E28</f>
        <v>11.850759</v>
      </c>
      <c r="E56" s="200">
        <f>Gamma.Poisson.Calc!E34</f>
        <v>7.5440939999999994</v>
      </c>
      <c r="F56" s="200">
        <f>Gamma.Poisson.Calc!E40</f>
        <v>7.2676183000000005</v>
      </c>
      <c r="G56" s="200">
        <f>Gamma.Poisson.Calc!E46</f>
        <v>11.379429</v>
      </c>
      <c r="H56" s="200">
        <f>Gamma.Poisson.Calc!$E$51</f>
        <v>8.9255326999999998</v>
      </c>
      <c r="I56" s="200">
        <f>Gamma.Poisson.Calc!$E$52</f>
        <v>11.752281999999999</v>
      </c>
      <c r="J56" s="108"/>
      <c r="L56"/>
    </row>
    <row r="57" spans="1:17" x14ac:dyDescent="0.25">
      <c r="A57" s="108"/>
      <c r="B57" s="155">
        <v>25</v>
      </c>
      <c r="C57" s="155">
        <v>4</v>
      </c>
      <c r="D57" s="200">
        <f>Gamma.Poisson.Calc!E29</f>
        <v>9.4023090000000007</v>
      </c>
      <c r="E57" s="200">
        <f>Gamma.Poisson.Calc!E35</f>
        <v>8.6615032999999997</v>
      </c>
      <c r="F57" s="200">
        <f>Gamma.Poisson.Calc!E41</f>
        <v>9.5573080000000008</v>
      </c>
      <c r="G57" s="200">
        <f>Gamma.Poisson.Calc!E47</f>
        <v>9.0981439999999996</v>
      </c>
      <c r="H57" s="200">
        <f>Gamma.Poisson.Calc!$E$51</f>
        <v>8.9255326999999998</v>
      </c>
      <c r="I57" s="200">
        <f>Gamma.Poisson.Calc!$E$52</f>
        <v>11.752281999999999</v>
      </c>
      <c r="J57" s="108"/>
      <c r="L57"/>
    </row>
    <row r="58" spans="1:17" x14ac:dyDescent="0.25">
      <c r="A58" s="108"/>
      <c r="B58" s="97">
        <v>30</v>
      </c>
      <c r="C58" s="97">
        <v>5</v>
      </c>
      <c r="D58" s="200">
        <f>Gamma.Poisson.Calc!E30</f>
        <v>9.533436</v>
      </c>
      <c r="E58" s="200">
        <f>Gamma.Poisson.Calc!E36</f>
        <v>14.816611999999999</v>
      </c>
      <c r="F58" s="200">
        <f>Gamma.Poisson.Calc!E42</f>
        <v>9.3670899999999993</v>
      </c>
      <c r="G58" s="200">
        <f>Gamma.Poisson.Calc!E48</f>
        <v>12.541912</v>
      </c>
      <c r="H58" s="200">
        <f>Gamma.Poisson.Calc!$E$51</f>
        <v>8.9255326999999998</v>
      </c>
      <c r="I58" s="200">
        <f>Gamma.Poisson.Calc!$E$52</f>
        <v>11.752281999999999</v>
      </c>
      <c r="J58" s="108"/>
    </row>
    <row r="59" spans="1:17" x14ac:dyDescent="0.25">
      <c r="A59" s="108"/>
      <c r="B59" s="97">
        <v>35</v>
      </c>
      <c r="C59" s="97">
        <v>6</v>
      </c>
      <c r="D59" s="200">
        <f>Gamma.Poisson.Calc!E31</f>
        <v>10.07202</v>
      </c>
      <c r="E59" s="200">
        <f>Gamma.Poisson.Calc!E37</f>
        <v>13.971477</v>
      </c>
      <c r="F59" s="200">
        <f>Gamma.Poisson.Calc!E43</f>
        <v>11.723996</v>
      </c>
      <c r="G59" s="200">
        <f>Gamma.Poisson.Calc!E49</f>
        <v>15.335581000000001</v>
      </c>
      <c r="H59" s="200">
        <f>Gamma.Poisson.Calc!$E$51</f>
        <v>8.9255326999999998</v>
      </c>
      <c r="I59" s="200">
        <f>Gamma.Poisson.Calc!$E$52</f>
        <v>11.752281999999999</v>
      </c>
      <c r="J59" s="108"/>
    </row>
    <row r="60" spans="1:17" x14ac:dyDescent="0.25">
      <c r="A60" s="108"/>
      <c r="B60" s="169">
        <v>40</v>
      </c>
      <c r="C60" s="169">
        <v>7</v>
      </c>
      <c r="D60" s="206">
        <f>Gamma.Poisson.Calc!E32</f>
        <v>10.193866</v>
      </c>
      <c r="E60" s="206">
        <f>Gamma.Poisson.Calc!E38</f>
        <v>17.192360000000001</v>
      </c>
      <c r="F60" s="206">
        <f>Gamma.Poisson.Calc!E44</f>
        <v>9.8222529999999999</v>
      </c>
      <c r="G60" s="206">
        <f>Gamma.Poisson.Calc!E50</f>
        <v>12.979704999999999</v>
      </c>
      <c r="H60" s="206">
        <f>Gamma.Poisson.Calc!$E$51</f>
        <v>8.9255326999999998</v>
      </c>
      <c r="I60" s="206">
        <f>Gamma.Poisson.Calc!$E$52</f>
        <v>11.752281999999999</v>
      </c>
      <c r="J60" s="108"/>
    </row>
    <row r="61" spans="1:17" x14ac:dyDescent="0.25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/>
    </row>
    <row r="62" spans="1:17" x14ac:dyDescent="0.25">
      <c r="A62" s="108"/>
      <c r="B62" s="132" t="s">
        <v>63</v>
      </c>
      <c r="C62" s="133"/>
      <c r="D62" s="133"/>
      <c r="E62" s="133"/>
      <c r="F62" s="133"/>
      <c r="G62" s="133"/>
      <c r="H62" s="133"/>
      <c r="I62" s="133"/>
      <c r="J62" s="108"/>
      <c r="K62"/>
    </row>
    <row r="63" spans="1:17" x14ac:dyDescent="0.25">
      <c r="A63" s="108"/>
      <c r="B63" s="111" t="s">
        <v>3</v>
      </c>
      <c r="C63" s="109" t="s">
        <v>14</v>
      </c>
      <c r="D63" s="109" t="str">
        <f t="array" ref="D63:I63">TRANSPOSE($B$19:$B$24)</f>
        <v>Sterile</v>
      </c>
      <c r="E63" s="109" t="str">
        <v>Inactive</v>
      </c>
      <c r="F63" s="109" t="str">
        <v>Careful sex</v>
      </c>
      <c r="G63" s="109" t="str">
        <v>Unsafe Sex</v>
      </c>
      <c r="H63" s="109" t="str">
        <v>Seeking Pregnancy</v>
      </c>
      <c r="I63" s="109" t="str">
        <v>Pregnant</v>
      </c>
      <c r="J63" s="108"/>
      <c r="K63"/>
      <c r="L63"/>
      <c r="M63"/>
      <c r="N63"/>
      <c r="O63"/>
      <c r="P63"/>
    </row>
    <row r="64" spans="1:17" x14ac:dyDescent="0.25">
      <c r="A64" s="108"/>
      <c r="B64" s="137">
        <v>10</v>
      </c>
      <c r="C64" s="79">
        <v>1</v>
      </c>
      <c r="D64" s="79"/>
      <c r="E64" s="79"/>
      <c r="F64" s="79"/>
      <c r="G64" s="79"/>
      <c r="H64" s="79"/>
      <c r="I64" s="79"/>
      <c r="J64" s="108"/>
      <c r="K64"/>
      <c r="L64"/>
      <c r="M64"/>
      <c r="N64"/>
      <c r="O64"/>
      <c r="P64"/>
    </row>
    <row r="65" spans="1:16" x14ac:dyDescent="0.25">
      <c r="A65" s="108"/>
      <c r="B65" s="155">
        <v>15</v>
      </c>
      <c r="C65" s="155">
        <v>2</v>
      </c>
      <c r="D65" s="201">
        <f t="shared" ref="D65:I65" si="7">D45*D55</f>
        <v>2.0833333000000001</v>
      </c>
      <c r="E65" s="201">
        <f t="shared" si="7"/>
        <v>0.60162599999999999</v>
      </c>
      <c r="F65" s="201">
        <f t="shared" si="7"/>
        <v>3.3502109999999998</v>
      </c>
      <c r="G65" s="201">
        <f t="shared" si="7"/>
        <v>2.6238532000000001</v>
      </c>
      <c r="H65" s="201">
        <f t="shared" si="7"/>
        <v>4.0539418999999999</v>
      </c>
      <c r="I65" s="201">
        <f t="shared" si="7"/>
        <v>0.66396759999999999</v>
      </c>
      <c r="J65" s="51"/>
      <c r="K65"/>
      <c r="L65"/>
      <c r="M65"/>
      <c r="N65"/>
      <c r="O65"/>
      <c r="P65"/>
    </row>
    <row r="66" spans="1:16" x14ac:dyDescent="0.25">
      <c r="A66" s="108"/>
      <c r="B66" s="155">
        <v>20</v>
      </c>
      <c r="C66" s="155">
        <v>3</v>
      </c>
      <c r="D66" s="201">
        <f t="shared" ref="D66:I66" si="8">D46*D56</f>
        <v>3.8387096999999999</v>
      </c>
      <c r="E66" s="201">
        <f t="shared" si="8"/>
        <v>2.9488636000000001</v>
      </c>
      <c r="F66" s="201">
        <f t="shared" si="8"/>
        <v>5.0489236999999996</v>
      </c>
      <c r="G66" s="201">
        <f t="shared" si="8"/>
        <v>4.5789473999999997</v>
      </c>
      <c r="H66" s="201">
        <f t="shared" si="8"/>
        <v>4.0539418999999999</v>
      </c>
      <c r="I66" s="201">
        <f t="shared" si="8"/>
        <v>0.66396759999999999</v>
      </c>
      <c r="J66" s="51"/>
      <c r="K66"/>
      <c r="L66"/>
      <c r="M66"/>
      <c r="N66"/>
      <c r="O66"/>
      <c r="P66"/>
    </row>
    <row r="67" spans="1:16" x14ac:dyDescent="0.25">
      <c r="A67" s="108"/>
      <c r="B67" s="155">
        <v>25</v>
      </c>
      <c r="C67" s="155">
        <v>4</v>
      </c>
      <c r="D67" s="201">
        <f t="shared" ref="D67:I67" si="9">D47*D57</f>
        <v>3.6034483000000002</v>
      </c>
      <c r="E67" s="201">
        <f t="shared" si="9"/>
        <v>3.3969466000000001</v>
      </c>
      <c r="F67" s="201">
        <f t="shared" si="9"/>
        <v>5.2057691999999998</v>
      </c>
      <c r="G67" s="201">
        <f t="shared" si="9"/>
        <v>4.4166667000000004</v>
      </c>
      <c r="H67" s="201">
        <f t="shared" si="9"/>
        <v>4.0539418999999999</v>
      </c>
      <c r="I67" s="201">
        <f t="shared" si="9"/>
        <v>0.66396759999999999</v>
      </c>
      <c r="J67" s="51"/>
      <c r="K67"/>
      <c r="L67"/>
      <c r="M67"/>
      <c r="N67"/>
      <c r="O67"/>
      <c r="P67"/>
    </row>
    <row r="68" spans="1:16" x14ac:dyDescent="0.25">
      <c r="A68" s="108"/>
      <c r="B68" s="155">
        <v>30</v>
      </c>
      <c r="C68" s="155">
        <v>5</v>
      </c>
      <c r="D68" s="201">
        <f t="shared" ref="D68:I68" si="10">D48*D58</f>
        <v>3.677686</v>
      </c>
      <c r="E68" s="201">
        <f t="shared" si="10"/>
        <v>4.8</v>
      </c>
      <c r="F68" s="201">
        <f t="shared" si="10"/>
        <v>5.0578703999999988</v>
      </c>
      <c r="G68" s="201">
        <f t="shared" si="10"/>
        <v>4.2042254000000003</v>
      </c>
      <c r="H68" s="201">
        <f t="shared" si="10"/>
        <v>4.0539418999999999</v>
      </c>
      <c r="I68" s="201">
        <f t="shared" si="10"/>
        <v>0.66396759999999999</v>
      </c>
      <c r="J68" s="51"/>
      <c r="K68"/>
      <c r="L68"/>
      <c r="M68"/>
      <c r="N68"/>
      <c r="O68"/>
      <c r="P68"/>
    </row>
    <row r="69" spans="1:16" x14ac:dyDescent="0.25">
      <c r="A69" s="108"/>
      <c r="B69" s="97">
        <v>35</v>
      </c>
      <c r="C69" s="97">
        <v>6</v>
      </c>
      <c r="D69" s="203">
        <f t="shared" ref="D69:I69" si="11">D49*D59</f>
        <v>3.8076922999999998</v>
      </c>
      <c r="E69" s="203">
        <f t="shared" si="11"/>
        <v>4.5813952999999996</v>
      </c>
      <c r="F69" s="203">
        <f t="shared" si="11"/>
        <v>5.0782312999999997</v>
      </c>
      <c r="G69" s="203">
        <f t="shared" si="11"/>
        <v>4.4077669999999998</v>
      </c>
      <c r="H69" s="203">
        <f t="shared" si="11"/>
        <v>4.0539418999999999</v>
      </c>
      <c r="I69" s="203">
        <f t="shared" si="11"/>
        <v>0.66396759999999999</v>
      </c>
      <c r="J69" s="51"/>
      <c r="K69"/>
      <c r="L69"/>
      <c r="M69"/>
      <c r="N69"/>
      <c r="O69"/>
      <c r="P69"/>
    </row>
    <row r="70" spans="1:16" x14ac:dyDescent="0.25">
      <c r="A70" s="108"/>
      <c r="B70" s="169">
        <v>40</v>
      </c>
      <c r="C70" s="169">
        <v>7</v>
      </c>
      <c r="D70" s="205">
        <f t="shared" ref="D70:I70" si="12">D50*D60</f>
        <v>4.3855721000000001</v>
      </c>
      <c r="E70" s="205">
        <f t="shared" si="12"/>
        <v>4.3205128000000004</v>
      </c>
      <c r="F70" s="205">
        <f t="shared" si="12"/>
        <v>4.3448276000000003</v>
      </c>
      <c r="G70" s="205">
        <f t="shared" si="12"/>
        <v>6</v>
      </c>
      <c r="H70" s="205">
        <f t="shared" si="12"/>
        <v>4.0539418999999999</v>
      </c>
      <c r="I70" s="205">
        <f t="shared" si="12"/>
        <v>0.66396759999999999</v>
      </c>
      <c r="J70" s="51"/>
      <c r="K70"/>
      <c r="L70"/>
      <c r="M70"/>
      <c r="N70"/>
      <c r="O70"/>
      <c r="P70"/>
    </row>
    <row r="71" spans="1:16" x14ac:dyDescent="0.25">
      <c r="A71" s="108"/>
      <c r="B71" s="108"/>
      <c r="C71" s="108"/>
      <c r="D71" s="108"/>
      <c r="E71" s="108"/>
      <c r="F71" s="108"/>
      <c r="G71" s="136"/>
      <c r="H71" s="108"/>
      <c r="I71" s="108"/>
      <c r="J71" s="51"/>
    </row>
    <row r="72" spans="1:16" x14ac:dyDescent="0.25">
      <c r="B72" s="146" t="s">
        <v>83</v>
      </c>
      <c r="C72" s="147"/>
      <c r="D72" s="147"/>
      <c r="E72" s="147"/>
      <c r="F72" s="147"/>
      <c r="G72" s="147"/>
      <c r="H72" s="147"/>
      <c r="I72" s="147"/>
    </row>
    <row r="73" spans="1:16" x14ac:dyDescent="0.25">
      <c r="B73" s="54" t="s">
        <v>3</v>
      </c>
      <c r="C73" s="54" t="s">
        <v>14</v>
      </c>
      <c r="D73" s="109" t="str">
        <f t="array" ref="D73:I73">TRANSPOSE($B$19:$B$24)</f>
        <v>Sterile</v>
      </c>
      <c r="E73" s="109" t="str">
        <v>Inactive</v>
      </c>
      <c r="F73" s="109" t="str">
        <v>Careful sex</v>
      </c>
      <c r="G73" s="109" t="str">
        <v>Unsafe Sex</v>
      </c>
      <c r="H73" s="109" t="str">
        <v>Seeking Pregnancy</v>
      </c>
      <c r="I73" s="109" t="str">
        <v>Pregnant</v>
      </c>
    </row>
    <row r="74" spans="1:16" x14ac:dyDescent="0.25">
      <c r="B74" s="101" t="s">
        <v>81</v>
      </c>
      <c r="C74" s="15">
        <v>1</v>
      </c>
      <c r="D74" s="155">
        <v>0</v>
      </c>
      <c r="E74" s="155">
        <v>0</v>
      </c>
      <c r="F74" s="155">
        <v>0</v>
      </c>
      <c r="G74" s="155">
        <v>0</v>
      </c>
      <c r="H74" s="155">
        <v>0</v>
      </c>
      <c r="I74" s="155">
        <v>0</v>
      </c>
      <c r="M74" s="113"/>
    </row>
    <row r="75" spans="1:16" x14ac:dyDescent="0.25">
      <c r="B75" s="102">
        <v>15</v>
      </c>
      <c r="C75" s="15">
        <v>2</v>
      </c>
      <c r="D75" s="200">
        <f>Gamma.Poisson.Calc!F4</f>
        <v>0.20004130527343686</v>
      </c>
      <c r="E75" s="200">
        <v>0</v>
      </c>
      <c r="F75" s="200">
        <f>Gamma.Poisson.Calc!F10</f>
        <v>0.73619930579344006</v>
      </c>
      <c r="G75" s="200">
        <f>Gamma.Poisson.Calc!F16</f>
        <v>0.13477993726073093</v>
      </c>
      <c r="H75" s="200">
        <f>Gamma.Poisson.Calc!$F$22</f>
        <v>0.90826876417003899</v>
      </c>
      <c r="I75" s="200">
        <f>Gamma.Poisson.Calc!$F$23</f>
        <v>0.65803322506126261</v>
      </c>
      <c r="L75" s="23"/>
      <c r="M75" s="113"/>
    </row>
    <row r="76" spans="1:16" x14ac:dyDescent="0.25">
      <c r="B76" s="102">
        <v>20</v>
      </c>
      <c r="C76" s="15">
        <v>3</v>
      </c>
      <c r="D76" s="200">
        <f>Gamma.Poisson.Calc!F5</f>
        <v>0.46225943079624521</v>
      </c>
      <c r="E76" s="200">
        <v>0</v>
      </c>
      <c r="F76" s="200">
        <f>Gamma.Poisson.Calc!F11</f>
        <v>0.94879431076818754</v>
      </c>
      <c r="G76" s="200">
        <f>Gamma.Poisson.Calc!F17</f>
        <v>0.19751446480723478</v>
      </c>
      <c r="H76" s="200">
        <f>Gamma.Poisson.Calc!$F$22</f>
        <v>0.90826876417003899</v>
      </c>
      <c r="I76" s="200">
        <f>Gamma.Poisson.Calc!$F$23</f>
        <v>0.65803322506126261</v>
      </c>
    </row>
    <row r="77" spans="1:16" x14ac:dyDescent="0.25">
      <c r="B77" s="102">
        <v>25</v>
      </c>
      <c r="C77" s="100">
        <v>4</v>
      </c>
      <c r="D77" s="200">
        <f>Gamma.Poisson.Calc!F6</f>
        <v>0.52361349697269111</v>
      </c>
      <c r="E77" s="200">
        <v>0</v>
      </c>
      <c r="F77" s="200">
        <f>Gamma.Poisson.Calc!F12</f>
        <v>1.1474998110882275</v>
      </c>
      <c r="G77" s="200">
        <f>Gamma.Poisson.Calc!F18</f>
        <v>0.21939647642237808</v>
      </c>
      <c r="H77" s="200">
        <f>Gamma.Poisson.Calc!$F$22</f>
        <v>0.90826876417003899</v>
      </c>
      <c r="I77" s="200">
        <f>Gamma.Poisson.Calc!$F$23</f>
        <v>0.65803322506126261</v>
      </c>
    </row>
    <row r="78" spans="1:16" x14ac:dyDescent="0.25">
      <c r="B78" s="102">
        <v>30</v>
      </c>
      <c r="C78" s="100">
        <v>5</v>
      </c>
      <c r="D78" s="200">
        <f>Gamma.Poisson.Calc!F7</f>
        <v>0.76021530475270316</v>
      </c>
      <c r="E78" s="200">
        <v>0</v>
      </c>
      <c r="F78" s="200">
        <f>Gamma.Poisson.Calc!F13</f>
        <v>0.98842715391503133</v>
      </c>
      <c r="G78" s="200">
        <f>Gamma.Poisson.Calc!F19</f>
        <v>0.27433271983321555</v>
      </c>
      <c r="H78" s="200">
        <f>Gamma.Poisson.Calc!$F$22</f>
        <v>0.90826876417003899</v>
      </c>
      <c r="I78" s="200">
        <f>Gamma.Poisson.Calc!$F$23</f>
        <v>0.65803322506126261</v>
      </c>
    </row>
    <row r="79" spans="1:16" x14ac:dyDescent="0.25">
      <c r="B79" s="102">
        <v>35</v>
      </c>
      <c r="C79" s="100">
        <v>6</v>
      </c>
      <c r="D79" s="200">
        <f>Gamma.Poisson.Calc!F8</f>
        <v>0.67700861384480915</v>
      </c>
      <c r="E79" s="200">
        <v>0</v>
      </c>
      <c r="F79" s="200">
        <f>Gamma.Poisson.Calc!F14</f>
        <v>1.3925813432337533</v>
      </c>
      <c r="G79" s="200">
        <f>Gamma.Poisson.Calc!F20</f>
        <v>0.35254636127041405</v>
      </c>
      <c r="H79" s="200">
        <f>Gamma.Poisson.Calc!$F$22</f>
        <v>0.90826876417003899</v>
      </c>
      <c r="I79" s="200">
        <f>Gamma.Poisson.Calc!$F$23</f>
        <v>0.65803322506126261</v>
      </c>
    </row>
    <row r="80" spans="1:16" x14ac:dyDescent="0.25">
      <c r="B80" s="143">
        <v>40</v>
      </c>
      <c r="C80" s="54">
        <v>7</v>
      </c>
      <c r="D80" s="206">
        <f>Gamma.Poisson.Calc!F9</f>
        <v>0.69274218957291323</v>
      </c>
      <c r="E80" s="206">
        <v>0</v>
      </c>
      <c r="F80" s="206">
        <f>Gamma.Poisson.Calc!F15</f>
        <v>1.4745155099480101</v>
      </c>
      <c r="G80" s="206">
        <f>Gamma.Poisson.Calc!F21</f>
        <v>0.41103241404732377</v>
      </c>
      <c r="H80" s="206">
        <f>Gamma.Poisson.Calc!$F$22</f>
        <v>0.90826876417003899</v>
      </c>
      <c r="I80" s="206">
        <f>Gamma.Poisson.Calc!$F$23</f>
        <v>0.65803322506126261</v>
      </c>
    </row>
    <row r="82" spans="2:17" x14ac:dyDescent="0.25">
      <c r="B82" s="146" t="s">
        <v>84</v>
      </c>
      <c r="C82" s="147"/>
      <c r="D82" s="147"/>
      <c r="E82" s="147"/>
      <c r="F82" s="147"/>
      <c r="G82" s="147"/>
      <c r="H82" s="147"/>
      <c r="I82" s="147"/>
      <c r="J82"/>
      <c r="K82"/>
      <c r="L82"/>
      <c r="M82"/>
    </row>
    <row r="83" spans="2:17" x14ac:dyDescent="0.25">
      <c r="B83" s="54" t="s">
        <v>3</v>
      </c>
      <c r="C83" s="54" t="s">
        <v>14</v>
      </c>
      <c r="D83" s="109" t="str">
        <f t="array" ref="D83:I83">TRANSPOSE($B$19:$B$24)</f>
        <v>Sterile</v>
      </c>
      <c r="E83" s="109" t="str">
        <v>Inactive</v>
      </c>
      <c r="F83" s="109" t="str">
        <v>Careful sex</v>
      </c>
      <c r="G83" s="109" t="str">
        <v>Unsafe Sex</v>
      </c>
      <c r="H83" s="109" t="str">
        <v>Seeking Pregnancy</v>
      </c>
      <c r="I83" s="109" t="str">
        <v>Pregnant</v>
      </c>
      <c r="J83"/>
      <c r="K83"/>
      <c r="L83"/>
      <c r="M83"/>
    </row>
    <row r="84" spans="2:17" x14ac:dyDescent="0.25">
      <c r="B84" s="101" t="s">
        <v>81</v>
      </c>
      <c r="C84" s="15">
        <v>1</v>
      </c>
      <c r="D84" s="155">
        <v>0</v>
      </c>
      <c r="E84" s="155">
        <v>0</v>
      </c>
      <c r="F84" s="155">
        <v>0</v>
      </c>
      <c r="G84" s="155">
        <v>0</v>
      </c>
      <c r="H84" s="155">
        <v>0</v>
      </c>
      <c r="I84" s="155">
        <v>0</v>
      </c>
      <c r="J84"/>
      <c r="K84"/>
      <c r="L84"/>
      <c r="M84"/>
    </row>
    <row r="85" spans="2:17" x14ac:dyDescent="0.25">
      <c r="B85" s="102">
        <v>15</v>
      </c>
      <c r="C85" s="15">
        <v>2</v>
      </c>
      <c r="D85" s="200">
        <f>Gamma.Poisson.Calc!E4</f>
        <v>17.912966999999998</v>
      </c>
      <c r="E85" s="200">
        <v>0</v>
      </c>
      <c r="F85" s="200">
        <f>Gamma.Poisson.Calc!E10</f>
        <v>6.6774937999999997</v>
      </c>
      <c r="G85" s="200">
        <f>Gamma.Poisson.Calc!E16</f>
        <v>5.7858499999999999</v>
      </c>
      <c r="H85" s="200">
        <f>Gamma.Poisson.Calc!$E$22</f>
        <v>9.5280260000000006</v>
      </c>
      <c r="I85" s="200">
        <f>Gamma.Poisson.Calc!$E$23</f>
        <v>6.4150431000000001</v>
      </c>
      <c r="J85"/>
      <c r="K85"/>
      <c r="L85"/>
      <c r="M85"/>
    </row>
    <row r="86" spans="2:17" x14ac:dyDescent="0.25">
      <c r="B86" s="102">
        <v>20</v>
      </c>
      <c r="C86" s="15">
        <v>3</v>
      </c>
      <c r="D86" s="200">
        <f>Gamma.Poisson.Calc!E5</f>
        <v>13.817126</v>
      </c>
      <c r="E86" s="200">
        <v>0</v>
      </c>
      <c r="F86" s="200">
        <f>Gamma.Poisson.Calc!E11</f>
        <v>7.4685372999999995</v>
      </c>
      <c r="G86" s="200">
        <f>Gamma.Poisson.Calc!E17</f>
        <v>15.188761</v>
      </c>
      <c r="H86" s="200">
        <f>Gamma.Poisson.Calc!$E$22</f>
        <v>9.5280260000000006</v>
      </c>
      <c r="I86" s="200">
        <f>Gamma.Poisson.Calc!$E$23</f>
        <v>6.4150431000000001</v>
      </c>
      <c r="J86"/>
      <c r="K86"/>
      <c r="L86"/>
      <c r="M86"/>
    </row>
    <row r="87" spans="2:17" x14ac:dyDescent="0.25">
      <c r="B87" s="102">
        <v>25</v>
      </c>
      <c r="C87" s="100">
        <v>4</v>
      </c>
      <c r="D87" s="200">
        <f>Gamma.Poisson.Calc!E6</f>
        <v>12.521682</v>
      </c>
      <c r="E87" s="200">
        <v>0</v>
      </c>
      <c r="F87" s="200">
        <f>Gamma.Poisson.Calc!E12</f>
        <v>5.7579789000000003</v>
      </c>
      <c r="G87" s="200">
        <f>Gamma.Poisson.Calc!E18</f>
        <v>13.571831</v>
      </c>
      <c r="H87" s="200">
        <f>Gamma.Poisson.Calc!$E$22</f>
        <v>9.5280260000000006</v>
      </c>
      <c r="I87" s="200">
        <f>Gamma.Poisson.Calc!$E$23</f>
        <v>6.4150431000000001</v>
      </c>
      <c r="J87"/>
      <c r="K87"/>
      <c r="L87"/>
      <c r="M87"/>
    </row>
    <row r="88" spans="2:17" x14ac:dyDescent="0.25">
      <c r="B88" s="102">
        <v>30</v>
      </c>
      <c r="C88" s="100">
        <v>5</v>
      </c>
      <c r="D88" s="200">
        <f>Gamma.Poisson.Calc!E7</f>
        <v>9.4207859999999997</v>
      </c>
      <c r="E88" s="200">
        <v>0</v>
      </c>
      <c r="F88" s="200">
        <f>Gamma.Poisson.Calc!E13</f>
        <v>6.0890725999999997</v>
      </c>
      <c r="G88" s="200">
        <f>Gamma.Poisson.Calc!E19</f>
        <v>6.5164344999999999</v>
      </c>
      <c r="H88" s="200">
        <f>Gamma.Poisson.Calc!$E$22</f>
        <v>9.5280260000000006</v>
      </c>
      <c r="I88" s="200">
        <f>Gamma.Poisson.Calc!$E$23</f>
        <v>6.4150431000000001</v>
      </c>
      <c r="J88"/>
      <c r="K88"/>
      <c r="L88"/>
      <c r="M88"/>
    </row>
    <row r="89" spans="2:17" x14ac:dyDescent="0.25">
      <c r="B89" s="102">
        <v>35</v>
      </c>
      <c r="C89" s="100">
        <v>6</v>
      </c>
      <c r="D89" s="200">
        <f>Gamma.Poisson.Calc!E8</f>
        <v>8.7536287999999995</v>
      </c>
      <c r="E89" s="200">
        <v>0</v>
      </c>
      <c r="F89" s="200">
        <f>Gamma.Poisson.Calc!E14</f>
        <v>4.2743506</v>
      </c>
      <c r="G89" s="200">
        <f>Gamma.Poisson.Calc!E20</f>
        <v>5.2599292000000002</v>
      </c>
      <c r="H89" s="200">
        <f>Gamma.Poisson.Calc!$E$22</f>
        <v>9.5280260000000006</v>
      </c>
      <c r="I89" s="200">
        <f>Gamma.Poisson.Calc!$E$23</f>
        <v>6.4150431000000001</v>
      </c>
      <c r="J89"/>
      <c r="K89"/>
      <c r="L89"/>
      <c r="M89"/>
    </row>
    <row r="90" spans="2:17" x14ac:dyDescent="0.25">
      <c r="B90" s="143">
        <v>40</v>
      </c>
      <c r="C90" s="54">
        <v>7</v>
      </c>
      <c r="D90" s="206">
        <f>Gamma.Poisson.Calc!E9</f>
        <v>7.5516453000000006</v>
      </c>
      <c r="E90" s="206">
        <v>0</v>
      </c>
      <c r="F90" s="206">
        <f>Gamma.Poisson.Calc!E15</f>
        <v>3.3751724999999997</v>
      </c>
      <c r="G90" s="206">
        <f>Gamma.Poisson.Calc!E21</f>
        <v>5.8252490999999997</v>
      </c>
      <c r="H90" s="206">
        <f>Gamma.Poisson.Calc!$E$22</f>
        <v>9.5280260000000006</v>
      </c>
      <c r="I90" s="206">
        <f>Gamma.Poisson.Calc!$E$23</f>
        <v>6.4150431000000001</v>
      </c>
      <c r="J90"/>
      <c r="K90"/>
      <c r="L90"/>
      <c r="M90"/>
    </row>
    <row r="91" spans="2:17" x14ac:dyDescent="0.25">
      <c r="J91"/>
      <c r="K91"/>
      <c r="L91"/>
      <c r="M91"/>
    </row>
    <row r="92" spans="2:17" x14ac:dyDescent="0.25">
      <c r="B92" s="146" t="s">
        <v>82</v>
      </c>
      <c r="C92" s="147"/>
      <c r="D92" s="147"/>
      <c r="E92" s="147"/>
      <c r="F92" s="147"/>
      <c r="G92" s="147"/>
      <c r="H92" s="147"/>
      <c r="I92" s="147"/>
      <c r="J92" s="147"/>
      <c r="K92"/>
      <c r="L92"/>
      <c r="M92"/>
    </row>
    <row r="93" spans="2:17" x14ac:dyDescent="0.25">
      <c r="B93" s="54" t="s">
        <v>3</v>
      </c>
      <c r="C93" s="54" t="s">
        <v>14</v>
      </c>
      <c r="D93" s="109" t="str">
        <f t="array" ref="D93:I93">TRANSPOSE($B$19:$B$24)</f>
        <v>Sterile</v>
      </c>
      <c r="E93" s="109" t="str">
        <v>Inactive</v>
      </c>
      <c r="F93" s="109" t="str">
        <v>Careful sex</v>
      </c>
      <c r="G93" s="109" t="str">
        <v>Unsafe Sex</v>
      </c>
      <c r="H93" s="109" t="str">
        <v>Seeking Pregnancy</v>
      </c>
      <c r="I93" s="109" t="str">
        <v>Pregnant</v>
      </c>
      <c r="J93" s="17" t="s">
        <v>57</v>
      </c>
      <c r="K93"/>
      <c r="L93"/>
      <c r="M93"/>
      <c r="N93"/>
      <c r="O93"/>
      <c r="P93"/>
      <c r="Q93"/>
    </row>
    <row r="94" spans="2:17" x14ac:dyDescent="0.25">
      <c r="B94" s="101" t="s">
        <v>81</v>
      </c>
      <c r="C94" s="15">
        <v>1</v>
      </c>
      <c r="D94" s="125">
        <v>0</v>
      </c>
      <c r="E94" s="125">
        <v>0</v>
      </c>
      <c r="F94" s="125">
        <v>0</v>
      </c>
      <c r="G94" s="125">
        <v>0</v>
      </c>
      <c r="H94" s="125">
        <v>0</v>
      </c>
      <c r="I94" s="125">
        <v>0</v>
      </c>
      <c r="J94"/>
      <c r="K94"/>
      <c r="L94"/>
      <c r="M94"/>
      <c r="N94"/>
      <c r="O94"/>
      <c r="P94"/>
      <c r="Q94"/>
    </row>
    <row r="95" spans="2:17" x14ac:dyDescent="0.25">
      <c r="B95" s="102">
        <v>15</v>
      </c>
      <c r="C95" s="15">
        <v>2</v>
      </c>
      <c r="D95" s="201">
        <f t="shared" ref="D95:I95" si="13">D75*D85</f>
        <v>3.5833333000000001</v>
      </c>
      <c r="E95" s="201">
        <f t="shared" si="13"/>
        <v>0</v>
      </c>
      <c r="F95" s="201">
        <f t="shared" si="13"/>
        <v>4.9159663</v>
      </c>
      <c r="G95" s="201">
        <f t="shared" si="13"/>
        <v>0.77981650000000002</v>
      </c>
      <c r="H95" s="201">
        <f t="shared" si="13"/>
        <v>8.6540084000000004</v>
      </c>
      <c r="I95" s="201">
        <f t="shared" si="13"/>
        <v>4.2213114999999997</v>
      </c>
      <c r="J95" s="107">
        <f>MMULT(D95:I95,F19:F24)</f>
        <v>1.4162656466500001</v>
      </c>
      <c r="K95"/>
      <c r="L95"/>
      <c r="M95"/>
      <c r="N95"/>
      <c r="O95"/>
      <c r="P95"/>
      <c r="Q95"/>
    </row>
    <row r="96" spans="2:17" x14ac:dyDescent="0.25">
      <c r="B96" s="102">
        <v>20</v>
      </c>
      <c r="C96" s="15">
        <v>3</v>
      </c>
      <c r="D96" s="201">
        <f t="shared" ref="D96:I96" si="14">D76*D86</f>
        <v>6.3870968000000001</v>
      </c>
      <c r="E96" s="201">
        <f t="shared" si="14"/>
        <v>0</v>
      </c>
      <c r="F96" s="201">
        <f t="shared" si="14"/>
        <v>7.0861057000000001</v>
      </c>
      <c r="G96" s="201">
        <f t="shared" si="14"/>
        <v>3</v>
      </c>
      <c r="H96" s="201">
        <f t="shared" si="14"/>
        <v>8.6540084000000004</v>
      </c>
      <c r="I96" s="201">
        <f t="shared" si="14"/>
        <v>4.2213114999999997</v>
      </c>
      <c r="J96" s="107">
        <f>MMULT(D96:I96,G19:G24)</f>
        <v>4.9944137181100006</v>
      </c>
      <c r="K96"/>
      <c r="L96"/>
      <c r="M96"/>
      <c r="N96"/>
      <c r="O96"/>
      <c r="P96"/>
      <c r="Q96"/>
    </row>
    <row r="97" spans="2:17" x14ac:dyDescent="0.25">
      <c r="B97" s="102">
        <v>25</v>
      </c>
      <c r="C97" s="100">
        <v>4</v>
      </c>
      <c r="D97" s="201">
        <f t="shared" ref="D97:I97" si="15">D77*D87</f>
        <v>6.5565217000000011</v>
      </c>
      <c r="E97" s="201">
        <f t="shared" si="15"/>
        <v>0</v>
      </c>
      <c r="F97" s="201">
        <f t="shared" si="15"/>
        <v>6.6072797000000003</v>
      </c>
      <c r="G97" s="201">
        <f t="shared" si="15"/>
        <v>2.9776118999999999</v>
      </c>
      <c r="H97" s="201">
        <f t="shared" si="15"/>
        <v>8.6540084000000004</v>
      </c>
      <c r="I97" s="201">
        <f t="shared" si="15"/>
        <v>4.2213114999999997</v>
      </c>
      <c r="J97" s="107">
        <f>MMULT(D97:I97,H19:H24)</f>
        <v>5.2251252462700002</v>
      </c>
      <c r="K97"/>
      <c r="L97"/>
      <c r="M97"/>
      <c r="N97"/>
      <c r="O97"/>
      <c r="P97"/>
      <c r="Q97"/>
    </row>
    <row r="98" spans="2:17" x14ac:dyDescent="0.25">
      <c r="B98" s="102">
        <v>30</v>
      </c>
      <c r="C98" s="100">
        <v>5</v>
      </c>
      <c r="D98" s="201">
        <f t="shared" ref="D98:I98" si="16">D78*D88</f>
        <v>7.1618256999999987</v>
      </c>
      <c r="E98" s="201">
        <f t="shared" si="16"/>
        <v>0</v>
      </c>
      <c r="F98" s="201">
        <f t="shared" si="16"/>
        <v>6.0186047</v>
      </c>
      <c r="G98" s="201">
        <f t="shared" si="16"/>
        <v>1.7876712000000001</v>
      </c>
      <c r="H98" s="201">
        <f t="shared" si="16"/>
        <v>8.6540084000000004</v>
      </c>
      <c r="I98" s="201">
        <f t="shared" si="16"/>
        <v>4.2213114999999997</v>
      </c>
      <c r="J98" s="107">
        <f>MMULT(D98:I98,I19:I24)</f>
        <v>5.2969079574100002</v>
      </c>
      <c r="K98"/>
      <c r="L98"/>
      <c r="M98"/>
      <c r="N98"/>
      <c r="O98"/>
      <c r="P98"/>
      <c r="Q98"/>
    </row>
    <row r="99" spans="2:17" x14ac:dyDescent="0.25">
      <c r="B99" s="102">
        <v>35</v>
      </c>
      <c r="C99" s="100">
        <v>6</v>
      </c>
      <c r="D99" s="203">
        <f t="shared" ref="D99:I99" si="17">D79*D89</f>
        <v>5.9262820999999999</v>
      </c>
      <c r="E99" s="203">
        <f t="shared" si="17"/>
        <v>0</v>
      </c>
      <c r="F99" s="203">
        <f t="shared" si="17"/>
        <v>5.9523808999999996</v>
      </c>
      <c r="G99" s="203">
        <f t="shared" si="17"/>
        <v>1.8543689000000001</v>
      </c>
      <c r="H99" s="203">
        <f t="shared" si="17"/>
        <v>8.6540084000000004</v>
      </c>
      <c r="I99" s="203">
        <f t="shared" si="17"/>
        <v>4.2213114999999997</v>
      </c>
      <c r="J99" s="204">
        <f>MMULT(D99:I99,J19:J24)</f>
        <v>4.9694771096099997</v>
      </c>
      <c r="K99"/>
      <c r="L99"/>
      <c r="M99"/>
      <c r="N99"/>
      <c r="O99"/>
      <c r="P99"/>
      <c r="Q99"/>
    </row>
    <row r="100" spans="2:17" x14ac:dyDescent="0.25">
      <c r="B100" s="143">
        <v>40</v>
      </c>
      <c r="C100" s="54">
        <v>7</v>
      </c>
      <c r="D100" s="205">
        <f t="shared" ref="D100:I100" si="18">D80*D90</f>
        <v>5.2313432999999998</v>
      </c>
      <c r="E100" s="205">
        <f t="shared" si="18"/>
        <v>0</v>
      </c>
      <c r="F100" s="205">
        <f t="shared" si="18"/>
        <v>4.9767441999999997</v>
      </c>
      <c r="G100" s="205">
        <f t="shared" si="18"/>
        <v>2.3943661999999999</v>
      </c>
      <c r="H100" s="205">
        <f t="shared" si="18"/>
        <v>8.6540084000000004</v>
      </c>
      <c r="I100" s="205">
        <f t="shared" si="18"/>
        <v>4.2213114999999997</v>
      </c>
      <c r="J100" s="144">
        <f>MMULT(D100:I100,K19:K24)</f>
        <v>4.5717379103299995</v>
      </c>
      <c r="K100"/>
      <c r="L100"/>
      <c r="M100"/>
      <c r="N100"/>
      <c r="O100"/>
      <c r="P100"/>
      <c r="Q100"/>
    </row>
    <row r="101" spans="2:17" x14ac:dyDescent="0.25">
      <c r="I101" s="23" t="s">
        <v>104</v>
      </c>
      <c r="J101" s="107">
        <f>SUMPRODUCT(J95:J100,D6:D11)/4</f>
        <v>1.0980721305273502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in">
                <anchor moveWithCells="1" sizeWithCells="1">
                  <from>
                    <xdr:col>6</xdr:col>
                    <xdr:colOff>104775</xdr:colOff>
                    <xdr:row>12</xdr:row>
                    <xdr:rowOff>114300</xdr:rowOff>
                  </from>
                  <to>
                    <xdr:col>7</xdr:col>
                    <xdr:colOff>828675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B1:U70"/>
  <sheetViews>
    <sheetView showGridLines="0" topLeftCell="A10" workbookViewId="0">
      <selection activeCell="C68" sqref="C68"/>
    </sheetView>
  </sheetViews>
  <sheetFormatPr defaultRowHeight="15" x14ac:dyDescent="0.25"/>
  <cols>
    <col min="1" max="1" width="4.140625" customWidth="1"/>
    <col min="2" max="2" width="21.5703125" customWidth="1"/>
    <col min="3" max="3" width="14.140625" style="114" customWidth="1"/>
    <col min="4" max="4" width="11.140625" customWidth="1"/>
    <col min="5" max="9" width="11" customWidth="1"/>
    <col min="10" max="10" width="11" style="114" customWidth="1"/>
    <col min="12" max="12" width="7.140625" customWidth="1"/>
    <col min="13" max="17" width="11.42578125" customWidth="1"/>
    <col min="18" max="18" width="11.42578125" style="114" customWidth="1"/>
  </cols>
  <sheetData>
    <row r="1" spans="2:21" s="114" customFormat="1" x14ac:dyDescent="0.25">
      <c r="B1" s="114" t="s">
        <v>122</v>
      </c>
      <c r="C1" s="114">
        <v>0.5</v>
      </c>
    </row>
    <row r="2" spans="2:21" x14ac:dyDescent="0.25">
      <c r="B2" s="114"/>
      <c r="D2" s="114"/>
      <c r="E2" s="114"/>
      <c r="F2" s="114"/>
      <c r="G2" s="114"/>
      <c r="H2" s="114"/>
      <c r="I2" s="114"/>
      <c r="K2" s="114"/>
      <c r="L2" s="114"/>
      <c r="M2" s="125">
        <v>1</v>
      </c>
      <c r="N2" s="125">
        <v>2</v>
      </c>
      <c r="O2" s="125">
        <v>3</v>
      </c>
      <c r="P2" s="125">
        <v>4</v>
      </c>
      <c r="Q2" s="125">
        <v>5</v>
      </c>
      <c r="R2" s="125">
        <v>6</v>
      </c>
      <c r="S2" s="114"/>
    </row>
    <row r="3" spans="2:21" x14ac:dyDescent="0.25">
      <c r="B3" s="177" t="str">
        <f>"Non-pregnant | "&amp; Parameters!E18</f>
        <v>Non-pregnant | 10-14</v>
      </c>
      <c r="C3" s="177"/>
      <c r="D3" s="180" t="s">
        <v>121</v>
      </c>
      <c r="E3" s="181">
        <f t="array" ref="E3:J3">TRANSPOSE(Parameters!E19:E24)</f>
        <v>9.9999999999999998E-13</v>
      </c>
      <c r="F3" s="181">
        <v>0.99999999999900002</v>
      </c>
      <c r="G3" s="181">
        <v>0</v>
      </c>
      <c r="H3" s="181">
        <v>0</v>
      </c>
      <c r="I3" s="181">
        <v>0</v>
      </c>
      <c r="J3" s="181">
        <v>0</v>
      </c>
      <c r="K3" s="186">
        <f>SUM(E3:J3)</f>
        <v>1</v>
      </c>
      <c r="L3" s="114"/>
      <c r="M3" s="25">
        <f>E3*ratioSterile</f>
        <v>4.9999999999999999E-13</v>
      </c>
      <c r="N3" s="25">
        <f>F3*$U3</f>
        <v>0.99999999999950007</v>
      </c>
      <c r="O3" s="25">
        <f>G3*$U3</f>
        <v>0</v>
      </c>
      <c r="P3" s="25">
        <f>H3*$U3</f>
        <v>0</v>
      </c>
      <c r="Q3" s="25">
        <f>I3*$U3</f>
        <v>0</v>
      </c>
      <c r="R3" s="25">
        <f>J3*$U3</f>
        <v>0</v>
      </c>
      <c r="S3" s="185">
        <f>SUM(M3:R3)</f>
        <v>1</v>
      </c>
      <c r="T3" s="114"/>
      <c r="U3" s="114">
        <f>(1-E3*ratioSterile)/(1-E3)</f>
        <v>1.0000000000005</v>
      </c>
    </row>
    <row r="4" spans="2:21" ht="30" x14ac:dyDescent="0.25">
      <c r="B4" s="33"/>
      <c r="C4" s="20" t="s">
        <v>120</v>
      </c>
      <c r="D4" s="20" t="s">
        <v>14</v>
      </c>
      <c r="E4" s="182" t="str">
        <f t="array" ref="E4:J4">TRANSPOSE(B5:B10)</f>
        <v>Sterile</v>
      </c>
      <c r="F4" s="183" t="str">
        <v>Inactive</v>
      </c>
      <c r="G4" s="184" t="str">
        <v>Careful sex</v>
      </c>
      <c r="H4" s="184" t="str">
        <v>Unsafe Sex</v>
      </c>
      <c r="I4" s="184" t="str">
        <v>Seeking Pregnancy</v>
      </c>
      <c r="J4" s="184" t="str">
        <v>Pregnant</v>
      </c>
      <c r="K4" s="14" t="s">
        <v>57</v>
      </c>
      <c r="L4" s="114"/>
      <c r="M4" s="182" t="str">
        <f t="shared" ref="M4:R4" si="0">E4</f>
        <v>Sterile</v>
      </c>
      <c r="N4" s="183" t="str">
        <f t="shared" si="0"/>
        <v>Inactive</v>
      </c>
      <c r="O4" s="184" t="str">
        <f t="shared" si="0"/>
        <v>Careful sex</v>
      </c>
      <c r="P4" s="184" t="str">
        <f t="shared" si="0"/>
        <v>Unsafe Sex</v>
      </c>
      <c r="Q4" s="184" t="str">
        <f t="shared" si="0"/>
        <v>Seeking Pregnancy</v>
      </c>
      <c r="R4" s="184" t="str">
        <f t="shared" si="0"/>
        <v>Pregnant</v>
      </c>
      <c r="S4" s="114"/>
    </row>
    <row r="5" spans="2:21" x14ac:dyDescent="0.25">
      <c r="B5" s="145" t="str">
        <f>Parameters!B19</f>
        <v>Sterile</v>
      </c>
      <c r="C5" s="188">
        <v>1</v>
      </c>
      <c r="D5" s="34">
        <v>1</v>
      </c>
      <c r="E5" s="187">
        <f t="shared" ref="E5:E10" ca="1" si="1">M5</f>
        <v>1</v>
      </c>
      <c r="F5" s="187">
        <f t="shared" ref="F5:F10" ca="1" si="2">N5</f>
        <v>0</v>
      </c>
      <c r="G5" s="187">
        <f t="shared" ref="G5:G10" ca="1" si="3">O5</f>
        <v>0</v>
      </c>
      <c r="H5" s="187">
        <f t="shared" ref="H5:H10" ca="1" si="4">P5</f>
        <v>0</v>
      </c>
      <c r="I5" s="187">
        <f t="shared" ref="I5:I10" ca="1" si="5">Q5</f>
        <v>0</v>
      </c>
      <c r="J5" s="187">
        <f t="shared" ref="J5:J10" ca="1" si="6">R5</f>
        <v>0</v>
      </c>
      <c r="K5" s="16">
        <f t="shared" ref="K5:K10" ca="1" si="7">SUM(E5:J5)</f>
        <v>1</v>
      </c>
      <c r="L5" s="114"/>
      <c r="M5" s="25">
        <f t="shared" ref="M5:M10" ca="1" si="8">IF(M$2=$D5,$C5,(1-$C5)*M$3/(1-OFFSET($L$3,0,$D5)))</f>
        <v>1</v>
      </c>
      <c r="N5" s="25">
        <f t="shared" ref="N5:R10" ca="1" si="9">IF(N$2=$D5,$C5,(1-$C5)*N$3/(1-OFFSET($L$3,0,$D5)))</f>
        <v>0</v>
      </c>
      <c r="O5" s="25">
        <f t="shared" ca="1" si="9"/>
        <v>0</v>
      </c>
      <c r="P5" s="25">
        <f t="shared" ca="1" si="9"/>
        <v>0</v>
      </c>
      <c r="Q5" s="25">
        <f t="shared" ca="1" si="9"/>
        <v>0</v>
      </c>
      <c r="R5" s="25">
        <f t="shared" ca="1" si="9"/>
        <v>0</v>
      </c>
      <c r="S5" s="185">
        <f t="shared" ref="S5:S10" ca="1" si="10">SUM(M5:R5)</f>
        <v>1</v>
      </c>
    </row>
    <row r="6" spans="2:21" x14ac:dyDescent="0.25">
      <c r="B6" s="145" t="str">
        <f>Parameters!B20</f>
        <v>Inactive</v>
      </c>
      <c r="C6" s="178">
        <v>1</v>
      </c>
      <c r="D6" s="34">
        <v>2</v>
      </c>
      <c r="E6" s="187">
        <f t="shared" ca="1" si="1"/>
        <v>0</v>
      </c>
      <c r="F6" s="187">
        <f t="shared" ca="1" si="2"/>
        <v>1</v>
      </c>
      <c r="G6" s="187">
        <f t="shared" ca="1" si="3"/>
        <v>0</v>
      </c>
      <c r="H6" s="187">
        <f t="shared" ca="1" si="4"/>
        <v>0</v>
      </c>
      <c r="I6" s="187">
        <f t="shared" ca="1" si="5"/>
        <v>0</v>
      </c>
      <c r="J6" s="187">
        <f t="shared" ca="1" si="6"/>
        <v>0</v>
      </c>
      <c r="K6" s="16">
        <f t="shared" ca="1" si="7"/>
        <v>1</v>
      </c>
      <c r="L6" s="114"/>
      <c r="M6" s="25">
        <f t="shared" ca="1" si="8"/>
        <v>0</v>
      </c>
      <c r="N6" s="25">
        <f t="shared" ca="1" si="9"/>
        <v>1</v>
      </c>
      <c r="O6" s="25">
        <f t="shared" ca="1" si="9"/>
        <v>0</v>
      </c>
      <c r="P6" s="25">
        <f t="shared" ca="1" si="9"/>
        <v>0</v>
      </c>
      <c r="Q6" s="25">
        <f t="shared" ca="1" si="9"/>
        <v>0</v>
      </c>
      <c r="R6" s="25">
        <f t="shared" ca="1" si="9"/>
        <v>0</v>
      </c>
      <c r="S6" s="185">
        <f t="shared" ca="1" si="10"/>
        <v>1</v>
      </c>
    </row>
    <row r="7" spans="2:21" x14ac:dyDescent="0.25">
      <c r="B7" s="145" t="str">
        <f>Parameters!B21</f>
        <v>Careful sex</v>
      </c>
      <c r="C7" s="179">
        <v>1</v>
      </c>
      <c r="D7" s="34">
        <v>3</v>
      </c>
      <c r="E7" s="187">
        <f t="shared" ca="1" si="1"/>
        <v>0</v>
      </c>
      <c r="F7" s="187">
        <f t="shared" ca="1" si="2"/>
        <v>0</v>
      </c>
      <c r="G7" s="187">
        <f t="shared" ca="1" si="3"/>
        <v>1</v>
      </c>
      <c r="H7" s="187">
        <f t="shared" ca="1" si="4"/>
        <v>0</v>
      </c>
      <c r="I7" s="187">
        <f t="shared" ca="1" si="5"/>
        <v>0</v>
      </c>
      <c r="J7" s="187">
        <f t="shared" ca="1" si="6"/>
        <v>0</v>
      </c>
      <c r="K7" s="16">
        <f t="shared" ca="1" si="7"/>
        <v>1</v>
      </c>
      <c r="L7" s="114"/>
      <c r="M7" s="25">
        <f t="shared" ca="1" si="8"/>
        <v>0</v>
      </c>
      <c r="N7" s="25">
        <f t="shared" ca="1" si="9"/>
        <v>0</v>
      </c>
      <c r="O7" s="25">
        <f t="shared" ca="1" si="9"/>
        <v>1</v>
      </c>
      <c r="P7" s="25">
        <f t="shared" ca="1" si="9"/>
        <v>0</v>
      </c>
      <c r="Q7" s="25">
        <f t="shared" ca="1" si="9"/>
        <v>0</v>
      </c>
      <c r="R7" s="25">
        <f t="shared" ca="1" si="9"/>
        <v>0</v>
      </c>
      <c r="S7" s="185">
        <f t="shared" ca="1" si="10"/>
        <v>1</v>
      </c>
    </row>
    <row r="8" spans="2:21" x14ac:dyDescent="0.25">
      <c r="B8" s="145" t="str">
        <f>Parameters!B22</f>
        <v>Unsafe Sex</v>
      </c>
      <c r="C8" s="179">
        <v>1</v>
      </c>
      <c r="D8" s="34">
        <v>4</v>
      </c>
      <c r="E8" s="187">
        <f t="shared" ca="1" si="1"/>
        <v>0</v>
      </c>
      <c r="F8" s="187">
        <f t="shared" ca="1" si="2"/>
        <v>0</v>
      </c>
      <c r="G8" s="187">
        <f t="shared" ca="1" si="3"/>
        <v>0</v>
      </c>
      <c r="H8" s="187">
        <f t="shared" ca="1" si="4"/>
        <v>1</v>
      </c>
      <c r="I8" s="187">
        <f t="shared" ca="1" si="5"/>
        <v>0</v>
      </c>
      <c r="J8" s="187">
        <f t="shared" ca="1" si="6"/>
        <v>0</v>
      </c>
      <c r="K8" s="16">
        <f t="shared" ca="1" si="7"/>
        <v>1</v>
      </c>
      <c r="L8" s="114"/>
      <c r="M8" s="25">
        <f t="shared" ca="1" si="8"/>
        <v>0</v>
      </c>
      <c r="N8" s="25">
        <f t="shared" ca="1" si="9"/>
        <v>0</v>
      </c>
      <c r="O8" s="25">
        <f t="shared" ca="1" si="9"/>
        <v>0</v>
      </c>
      <c r="P8" s="25">
        <f t="shared" ca="1" si="9"/>
        <v>1</v>
      </c>
      <c r="Q8" s="25">
        <f t="shared" ca="1" si="9"/>
        <v>0</v>
      </c>
      <c r="R8" s="25">
        <f t="shared" ca="1" si="9"/>
        <v>0</v>
      </c>
      <c r="S8" s="185">
        <f t="shared" ca="1" si="10"/>
        <v>1</v>
      </c>
    </row>
    <row r="9" spans="2:21" s="114" customFormat="1" x14ac:dyDescent="0.25">
      <c r="B9" s="145" t="str">
        <f>Parameters!B23</f>
        <v>Seeking Pregnancy</v>
      </c>
      <c r="C9" s="179">
        <v>1</v>
      </c>
      <c r="D9" s="34">
        <v>5</v>
      </c>
      <c r="E9" s="187">
        <f t="shared" ca="1" si="1"/>
        <v>0</v>
      </c>
      <c r="F9" s="187">
        <f t="shared" ca="1" si="2"/>
        <v>0</v>
      </c>
      <c r="G9" s="187">
        <f t="shared" ca="1" si="3"/>
        <v>0</v>
      </c>
      <c r="H9" s="187">
        <f t="shared" ca="1" si="4"/>
        <v>0</v>
      </c>
      <c r="I9" s="187">
        <f t="shared" ca="1" si="5"/>
        <v>1</v>
      </c>
      <c r="J9" s="187">
        <f t="shared" ca="1" si="6"/>
        <v>0</v>
      </c>
      <c r="K9" s="16">
        <f t="shared" ca="1" si="7"/>
        <v>1</v>
      </c>
      <c r="M9" s="25">
        <f t="shared" ca="1" si="8"/>
        <v>0</v>
      </c>
      <c r="N9" s="25">
        <f t="shared" ca="1" si="9"/>
        <v>0</v>
      </c>
      <c r="O9" s="25">
        <f t="shared" ca="1" si="9"/>
        <v>0</v>
      </c>
      <c r="P9" s="25">
        <f t="shared" ca="1" si="9"/>
        <v>0</v>
      </c>
      <c r="Q9" s="25">
        <f t="shared" ca="1" si="9"/>
        <v>1</v>
      </c>
      <c r="R9" s="25">
        <f t="shared" ca="1" si="9"/>
        <v>0</v>
      </c>
      <c r="S9" s="185">
        <f t="shared" ca="1" si="10"/>
        <v>1</v>
      </c>
    </row>
    <row r="10" spans="2:21" x14ac:dyDescent="0.25">
      <c r="B10" s="145" t="str">
        <f>Parameters!B24</f>
        <v>Pregnant</v>
      </c>
      <c r="C10" s="188">
        <v>0</v>
      </c>
      <c r="D10" s="34">
        <v>6</v>
      </c>
      <c r="E10" s="187">
        <f t="shared" ca="1" si="1"/>
        <v>4.9999999999999999E-13</v>
      </c>
      <c r="F10" s="187">
        <f t="shared" ca="1" si="2"/>
        <v>0.99999999999950007</v>
      </c>
      <c r="G10" s="187">
        <f t="shared" ca="1" si="3"/>
        <v>0</v>
      </c>
      <c r="H10" s="187">
        <f t="shared" ca="1" si="4"/>
        <v>0</v>
      </c>
      <c r="I10" s="187">
        <f t="shared" ca="1" si="5"/>
        <v>0</v>
      </c>
      <c r="J10" s="187">
        <f t="shared" ca="1" si="6"/>
        <v>0</v>
      </c>
      <c r="K10" s="16">
        <f t="shared" ca="1" si="7"/>
        <v>1</v>
      </c>
      <c r="L10" s="114"/>
      <c r="M10" s="25">
        <f t="shared" ca="1" si="8"/>
        <v>4.9999999999999999E-13</v>
      </c>
      <c r="N10" s="25">
        <f t="shared" ca="1" si="9"/>
        <v>0.99999999999950007</v>
      </c>
      <c r="O10" s="25">
        <f t="shared" ca="1" si="9"/>
        <v>0</v>
      </c>
      <c r="P10" s="25">
        <f t="shared" ca="1" si="9"/>
        <v>0</v>
      </c>
      <c r="Q10" s="25">
        <f t="shared" ca="1" si="9"/>
        <v>0</v>
      </c>
      <c r="R10" s="25">
        <f t="shared" ca="1" si="9"/>
        <v>0</v>
      </c>
      <c r="S10" s="185">
        <f t="shared" ca="1" si="10"/>
        <v>1</v>
      </c>
    </row>
    <row r="11" spans="2:21" x14ac:dyDescent="0.25">
      <c r="B11" s="13"/>
      <c r="C11" s="13"/>
      <c r="D11" s="23"/>
      <c r="E11" s="23"/>
      <c r="F11" s="36"/>
      <c r="G11" s="16"/>
      <c r="H11" s="16"/>
      <c r="I11" s="16"/>
      <c r="J11" s="16"/>
      <c r="K11" s="13"/>
    </row>
    <row r="12" spans="2:21" x14ac:dyDescent="0.25">
      <c r="M12" s="125">
        <v>1</v>
      </c>
      <c r="N12" s="125">
        <v>2</v>
      </c>
      <c r="O12" s="125">
        <v>3</v>
      </c>
      <c r="P12" s="125">
        <v>4</v>
      </c>
      <c r="Q12" s="125">
        <v>5</v>
      </c>
      <c r="R12" s="125">
        <v>6</v>
      </c>
      <c r="S12" s="114"/>
    </row>
    <row r="13" spans="2:21" x14ac:dyDescent="0.25">
      <c r="B13" s="177" t="str">
        <f>"Non-pregnant | "&amp; Parameters!F18</f>
        <v>Non-pregnant | 15-19</v>
      </c>
      <c r="C13" s="177"/>
      <c r="D13" s="180" t="s">
        <v>121</v>
      </c>
      <c r="E13" s="181">
        <f t="array" ref="E13:J13">TRANSPOSE(Parameters!F19:F24)</f>
        <v>1.1900000000000001E-2</v>
      </c>
      <c r="F13" s="181">
        <v>0.6139</v>
      </c>
      <c r="G13" s="181">
        <v>0.2366</v>
      </c>
      <c r="H13" s="181">
        <v>0.1089</v>
      </c>
      <c r="I13" s="181">
        <v>1E-3</v>
      </c>
      <c r="J13" s="181">
        <v>2.7699999999999999E-2</v>
      </c>
      <c r="K13" s="186">
        <f>SUM(E13:J13)</f>
        <v>1</v>
      </c>
      <c r="M13" s="25">
        <f>E13*ratioSterile</f>
        <v>5.9500000000000004E-3</v>
      </c>
      <c r="N13" s="25">
        <f>F13*$U13</f>
        <v>0.617596695678575</v>
      </c>
      <c r="O13" s="25">
        <f>G13*$U13</f>
        <v>0.23802472421819654</v>
      </c>
      <c r="P13" s="25">
        <f>H13*$U13</f>
        <v>0.10955575852646493</v>
      </c>
      <c r="Q13" s="25">
        <f>I13*$U13</f>
        <v>1.0060216577269508E-3</v>
      </c>
      <c r="R13" s="25">
        <f>J13*$U13</f>
        <v>2.7866799919036535E-2</v>
      </c>
      <c r="S13" s="185">
        <f>SUM(M13:R13)</f>
        <v>0.99999999999999989</v>
      </c>
      <c r="U13">
        <f>(1-E13*ratioSterile)/(1-E13)</f>
        <v>1.0060216577269507</v>
      </c>
    </row>
    <row r="14" spans="2:21" ht="30" x14ac:dyDescent="0.25">
      <c r="B14" s="33"/>
      <c r="C14" s="20" t="s">
        <v>120</v>
      </c>
      <c r="D14" s="20" t="s">
        <v>14</v>
      </c>
      <c r="E14" s="182" t="str">
        <f t="array" ref="E14:J14">TRANSPOSE(B15:B20)</f>
        <v>Sterile</v>
      </c>
      <c r="F14" s="183" t="str">
        <v>Inactive</v>
      </c>
      <c r="G14" s="184" t="str">
        <v>Careful sex</v>
      </c>
      <c r="H14" s="184" t="str">
        <v>Unsafe Sex</v>
      </c>
      <c r="I14" s="184" t="str">
        <v>Seeking Pregnancy</v>
      </c>
      <c r="J14" s="184" t="str">
        <v>Pregnant</v>
      </c>
      <c r="K14" s="14" t="s">
        <v>57</v>
      </c>
      <c r="M14" s="182" t="str">
        <f t="shared" ref="M14:R14" si="11">E14</f>
        <v>Sterile</v>
      </c>
      <c r="N14" s="183" t="str">
        <f t="shared" si="11"/>
        <v>Inactive</v>
      </c>
      <c r="O14" s="184" t="str">
        <f t="shared" si="11"/>
        <v>Careful sex</v>
      </c>
      <c r="P14" s="184" t="str">
        <f t="shared" si="11"/>
        <v>Unsafe Sex</v>
      </c>
      <c r="Q14" s="184" t="str">
        <f t="shared" si="11"/>
        <v>Seeking Pregnancy</v>
      </c>
      <c r="R14" s="184" t="str">
        <f t="shared" si="11"/>
        <v>Pregnant</v>
      </c>
      <c r="S14" s="114"/>
    </row>
    <row r="15" spans="2:21" x14ac:dyDescent="0.25">
      <c r="B15" s="145" t="str">
        <f t="shared" ref="B15:B20" si="12">B5</f>
        <v>Sterile</v>
      </c>
      <c r="C15" s="188">
        <v>1</v>
      </c>
      <c r="D15" s="34">
        <v>1</v>
      </c>
      <c r="E15" s="187">
        <f t="shared" ref="E15:E20" ca="1" si="13">M15</f>
        <v>1</v>
      </c>
      <c r="F15" s="187">
        <f t="shared" ref="F15:F20" ca="1" si="14">N15</f>
        <v>0</v>
      </c>
      <c r="G15" s="187">
        <f t="shared" ref="G15:G20" ca="1" si="15">O15</f>
        <v>0</v>
      </c>
      <c r="H15" s="187">
        <f t="shared" ref="H15:H20" ca="1" si="16">P15</f>
        <v>0</v>
      </c>
      <c r="I15" s="187">
        <f t="shared" ref="I15:I20" ca="1" si="17">Q15</f>
        <v>0</v>
      </c>
      <c r="J15" s="187">
        <f t="shared" ref="J15:J20" ca="1" si="18">R15</f>
        <v>0</v>
      </c>
      <c r="K15" s="16">
        <f t="shared" ref="K15:K20" ca="1" si="19">SUM(E15:J15)</f>
        <v>1</v>
      </c>
      <c r="M15" s="25">
        <f t="shared" ref="M15:R18" ca="1" si="20">IF(M$12=$D15,$C15,(1-$C15)*M$13/(1-OFFSET($L$13,0,$D15)))</f>
        <v>1</v>
      </c>
      <c r="N15" s="25">
        <f t="shared" ca="1" si="20"/>
        <v>0</v>
      </c>
      <c r="O15" s="25">
        <f t="shared" ca="1" si="20"/>
        <v>0</v>
      </c>
      <c r="P15" s="25">
        <f t="shared" ca="1" si="20"/>
        <v>0</v>
      </c>
      <c r="Q15" s="25">
        <f t="shared" ca="1" si="20"/>
        <v>0</v>
      </c>
      <c r="R15" s="25">
        <f t="shared" ca="1" si="20"/>
        <v>0</v>
      </c>
      <c r="S15" s="185">
        <f t="shared" ref="S15:S20" ca="1" si="21">SUM(M15:R15)</f>
        <v>1</v>
      </c>
    </row>
    <row r="16" spans="2:21" x14ac:dyDescent="0.25">
      <c r="B16" s="145" t="str">
        <f t="shared" si="12"/>
        <v>Inactive</v>
      </c>
      <c r="C16" s="178">
        <v>0.75</v>
      </c>
      <c r="D16" s="34">
        <v>2</v>
      </c>
      <c r="E16" s="187">
        <f t="shared" ca="1" si="13"/>
        <v>3.889872245323743E-3</v>
      </c>
      <c r="F16" s="187">
        <f t="shared" ca="1" si="14"/>
        <v>0.75</v>
      </c>
      <c r="G16" s="187">
        <f t="shared" ca="1" si="15"/>
        <v>0.15561105351885729</v>
      </c>
      <c r="H16" s="187">
        <f t="shared" ca="1" si="16"/>
        <v>7.1623177211342176E-2</v>
      </c>
      <c r="I16" s="187">
        <f t="shared" ca="1" si="17"/>
        <v>6.5769676043473074E-4</v>
      </c>
      <c r="J16" s="187">
        <f t="shared" ca="1" si="18"/>
        <v>1.8218200264042042E-2</v>
      </c>
      <c r="K16" s="16">
        <f t="shared" ca="1" si="19"/>
        <v>1</v>
      </c>
      <c r="M16" s="25">
        <f t="shared" ca="1" si="20"/>
        <v>3.889872245323743E-3</v>
      </c>
      <c r="N16" s="25">
        <f t="shared" ca="1" si="20"/>
        <v>0.75</v>
      </c>
      <c r="O16" s="25">
        <f t="shared" ca="1" si="20"/>
        <v>0.15561105351885729</v>
      </c>
      <c r="P16" s="25">
        <f t="shared" ca="1" si="20"/>
        <v>7.1623177211342176E-2</v>
      </c>
      <c r="Q16" s="25">
        <f t="shared" ca="1" si="20"/>
        <v>6.5769676043473074E-4</v>
      </c>
      <c r="R16" s="25">
        <f t="shared" ca="1" si="20"/>
        <v>1.8218200264042042E-2</v>
      </c>
      <c r="S16" s="185">
        <f t="shared" ca="1" si="21"/>
        <v>1</v>
      </c>
    </row>
    <row r="17" spans="2:21" x14ac:dyDescent="0.25">
      <c r="B17" s="145" t="str">
        <f t="shared" si="12"/>
        <v>Careful sex</v>
      </c>
      <c r="C17" s="179">
        <v>0.8</v>
      </c>
      <c r="D17" s="34">
        <v>3</v>
      </c>
      <c r="E17" s="187">
        <f t="shared" ca="1" si="13"/>
        <v>1.5617304626833642E-3</v>
      </c>
      <c r="F17" s="187">
        <f t="shared" ca="1" si="14"/>
        <v>0.16210412996534751</v>
      </c>
      <c r="G17" s="187">
        <f t="shared" ca="1" si="15"/>
        <v>0.8</v>
      </c>
      <c r="H17" s="187">
        <f t="shared" ca="1" si="16"/>
        <v>2.8755725286245877E-2</v>
      </c>
      <c r="I17" s="187">
        <f t="shared" ca="1" si="17"/>
        <v>2.6405624688931019E-4</v>
      </c>
      <c r="J17" s="187">
        <f t="shared" ca="1" si="18"/>
        <v>7.3143580388338918E-3</v>
      </c>
      <c r="K17" s="16">
        <f t="shared" ca="1" si="19"/>
        <v>1</v>
      </c>
      <c r="M17" s="25">
        <f t="shared" ca="1" si="20"/>
        <v>1.5617304626833642E-3</v>
      </c>
      <c r="N17" s="25">
        <f t="shared" ca="1" si="20"/>
        <v>0.16210412996534751</v>
      </c>
      <c r="O17" s="25">
        <f t="shared" ca="1" si="20"/>
        <v>0.8</v>
      </c>
      <c r="P17" s="25">
        <f t="shared" ca="1" si="20"/>
        <v>2.8755725286245877E-2</v>
      </c>
      <c r="Q17" s="25">
        <f t="shared" ca="1" si="20"/>
        <v>2.6405624688931019E-4</v>
      </c>
      <c r="R17" s="25">
        <f t="shared" ca="1" si="20"/>
        <v>7.3143580388338918E-3</v>
      </c>
      <c r="S17" s="185">
        <f t="shared" ca="1" si="21"/>
        <v>1</v>
      </c>
    </row>
    <row r="18" spans="2:21" s="23" customFormat="1" x14ac:dyDescent="0.25">
      <c r="B18" s="145" t="str">
        <f t="shared" si="12"/>
        <v>Unsafe Sex</v>
      </c>
      <c r="C18" s="179">
        <v>0.8</v>
      </c>
      <c r="D18" s="34">
        <v>4</v>
      </c>
      <c r="E18" s="187">
        <f t="shared" ca="1" si="13"/>
        <v>1.3364115848857089E-3</v>
      </c>
      <c r="F18" s="187">
        <f t="shared" ca="1" si="14"/>
        <v>0.13871653426755987</v>
      </c>
      <c r="G18" s="187">
        <f t="shared" ca="1" si="15"/>
        <v>5.3462016627634244E-2</v>
      </c>
      <c r="H18" s="187">
        <f t="shared" ca="1" si="16"/>
        <v>0.8</v>
      </c>
      <c r="I18" s="187">
        <f t="shared" ca="1" si="17"/>
        <v>2.259594954676004E-4</v>
      </c>
      <c r="J18" s="187">
        <f t="shared" ca="1" si="18"/>
        <v>6.2590780244525298E-3</v>
      </c>
      <c r="K18" s="16">
        <f t="shared" ca="1" si="19"/>
        <v>1</v>
      </c>
      <c r="M18" s="25">
        <f t="shared" ca="1" si="20"/>
        <v>1.3364115848857089E-3</v>
      </c>
      <c r="N18" s="25">
        <f t="shared" ca="1" si="20"/>
        <v>0.13871653426755987</v>
      </c>
      <c r="O18" s="25">
        <f t="shared" ca="1" si="20"/>
        <v>5.3462016627634244E-2</v>
      </c>
      <c r="P18" s="25">
        <f t="shared" ca="1" si="20"/>
        <v>0.8</v>
      </c>
      <c r="Q18" s="25">
        <f t="shared" ca="1" si="20"/>
        <v>2.259594954676004E-4</v>
      </c>
      <c r="R18" s="25">
        <f t="shared" ca="1" si="20"/>
        <v>6.2590780244525298E-3</v>
      </c>
      <c r="S18" s="185">
        <f t="shared" ca="1" si="21"/>
        <v>1</v>
      </c>
    </row>
    <row r="19" spans="2:21" s="23" customFormat="1" x14ac:dyDescent="0.25">
      <c r="B19" s="145" t="str">
        <f t="shared" si="12"/>
        <v>Seeking Pregnancy</v>
      </c>
      <c r="C19" s="179">
        <v>0</v>
      </c>
      <c r="D19" s="34">
        <v>5</v>
      </c>
      <c r="E19" s="187">
        <f t="shared" ca="1" si="13"/>
        <v>5.9559918568011872E-3</v>
      </c>
      <c r="F19" s="187">
        <f t="shared" ca="1" si="14"/>
        <v>0.61821863701662416</v>
      </c>
      <c r="G19" s="187">
        <f t="shared" ca="1" si="15"/>
        <v>0.23826442338839107</v>
      </c>
      <c r="H19" s="187">
        <f t="shared" ca="1" si="16"/>
        <v>0.10966608498307602</v>
      </c>
      <c r="I19" s="187">
        <f t="shared" ca="1" si="17"/>
        <v>0</v>
      </c>
      <c r="J19" s="187">
        <f t="shared" ca="1" si="18"/>
        <v>2.7894862755107493E-2</v>
      </c>
      <c r="K19" s="16">
        <f t="shared" ca="1" si="19"/>
        <v>0.99999999999999989</v>
      </c>
      <c r="M19" s="25">
        <f t="shared" ref="M19:R20" ca="1" si="22">IF(M$12=$D19,$C19,(1-$C19)*M$13/(1-OFFSET($L$13,0,$D19)))</f>
        <v>5.9559918568011872E-3</v>
      </c>
      <c r="N19" s="25">
        <f t="shared" ca="1" si="22"/>
        <v>0.61821863701662416</v>
      </c>
      <c r="O19" s="25">
        <f t="shared" ca="1" si="22"/>
        <v>0.23826442338839107</v>
      </c>
      <c r="P19" s="25">
        <f t="shared" ca="1" si="22"/>
        <v>0.10966608498307602</v>
      </c>
      <c r="Q19" s="25">
        <f t="shared" ca="1" si="22"/>
        <v>0</v>
      </c>
      <c r="R19" s="25">
        <f t="shared" ca="1" si="22"/>
        <v>2.7894862755107493E-2</v>
      </c>
      <c r="S19" s="185">
        <f t="shared" ca="1" si="21"/>
        <v>0.99999999999999989</v>
      </c>
    </row>
    <row r="20" spans="2:21" x14ac:dyDescent="0.25">
      <c r="B20" s="145" t="str">
        <f t="shared" si="12"/>
        <v>Pregnant</v>
      </c>
      <c r="C20" s="188">
        <v>0</v>
      </c>
      <c r="D20" s="34">
        <v>6</v>
      </c>
      <c r="E20" s="187">
        <f t="shared" ca="1" si="13"/>
        <v>6.1205604329781747E-3</v>
      </c>
      <c r="F20" s="187">
        <f t="shared" ca="1" si="14"/>
        <v>0.63530048724510058</v>
      </c>
      <c r="G20" s="187">
        <f t="shared" ca="1" si="15"/>
        <v>0.2448478502723421</v>
      </c>
      <c r="H20" s="187">
        <f t="shared" ca="1" si="16"/>
        <v>0.11269624215831807</v>
      </c>
      <c r="I20" s="187">
        <f t="shared" ca="1" si="17"/>
        <v>1.0348598912609556E-3</v>
      </c>
      <c r="J20" s="187">
        <f t="shared" ca="1" si="18"/>
        <v>0</v>
      </c>
      <c r="K20" s="16">
        <f t="shared" ca="1" si="19"/>
        <v>0.99999999999999989</v>
      </c>
      <c r="M20" s="25">
        <f t="shared" ca="1" si="22"/>
        <v>6.1205604329781747E-3</v>
      </c>
      <c r="N20" s="25">
        <f t="shared" ca="1" si="22"/>
        <v>0.63530048724510058</v>
      </c>
      <c r="O20" s="25">
        <f t="shared" ca="1" si="22"/>
        <v>0.2448478502723421</v>
      </c>
      <c r="P20" s="25">
        <f t="shared" ca="1" si="22"/>
        <v>0.11269624215831807</v>
      </c>
      <c r="Q20" s="25">
        <f t="shared" ca="1" si="22"/>
        <v>1.0348598912609556E-3</v>
      </c>
      <c r="R20" s="25">
        <f t="shared" ca="1" si="22"/>
        <v>0</v>
      </c>
      <c r="S20" s="185">
        <f t="shared" ca="1" si="21"/>
        <v>0.99999999999999989</v>
      </c>
    </row>
    <row r="22" spans="2:21" x14ac:dyDescent="0.25">
      <c r="B22" s="114"/>
      <c r="D22" s="114"/>
      <c r="E22" s="114"/>
      <c r="F22" s="114"/>
      <c r="G22" s="114"/>
      <c r="H22" s="114"/>
      <c r="I22" s="114"/>
      <c r="K22" s="114"/>
      <c r="L22" s="114"/>
      <c r="M22" s="125">
        <v>1</v>
      </c>
      <c r="N22" s="125">
        <v>2</v>
      </c>
      <c r="O22" s="125">
        <v>3</v>
      </c>
      <c r="P22" s="125">
        <v>4</v>
      </c>
      <c r="Q22" s="125">
        <v>5</v>
      </c>
      <c r="R22" s="125">
        <v>6</v>
      </c>
      <c r="S22" s="114"/>
    </row>
    <row r="23" spans="2:21" x14ac:dyDescent="0.25">
      <c r="B23" s="177" t="str">
        <f>"Non-pregnant | "&amp; Parameters!G18</f>
        <v>Non-pregnant | 20-24</v>
      </c>
      <c r="C23" s="177"/>
      <c r="D23" s="180" t="s">
        <v>121</v>
      </c>
      <c r="E23" s="181">
        <f t="array" ref="E23:J23">TRANSPOSE(Parameters!G19:G24)</f>
        <v>3.27E-2</v>
      </c>
      <c r="F23" s="181">
        <v>0.1888</v>
      </c>
      <c r="G23" s="181">
        <v>0.54320000000000002</v>
      </c>
      <c r="H23" s="181">
        <v>0.1424</v>
      </c>
      <c r="I23" s="181">
        <v>2.64E-2</v>
      </c>
      <c r="J23" s="181">
        <v>6.6500000000000004E-2</v>
      </c>
      <c r="K23" s="186">
        <f>SUM(E23:J23)</f>
        <v>1</v>
      </c>
      <c r="L23" s="114"/>
      <c r="M23" s="25">
        <f>E23*ratioSterile</f>
        <v>1.635E-2</v>
      </c>
      <c r="N23" s="25">
        <f>F23*$U23</f>
        <v>0.19199123332988732</v>
      </c>
      <c r="O23" s="25">
        <f>G23*$U23</f>
        <v>0.55238155691098945</v>
      </c>
      <c r="P23" s="25">
        <f>H23*$U23</f>
        <v>0.14480694717254214</v>
      </c>
      <c r="Q23" s="25">
        <f>I23*$U23</f>
        <v>2.684623177917916E-2</v>
      </c>
      <c r="R23" s="25">
        <f>J23*$U23</f>
        <v>6.762403080740205E-2</v>
      </c>
      <c r="S23" s="185">
        <f>SUM(M23:R23)</f>
        <v>1</v>
      </c>
      <c r="T23" s="114"/>
      <c r="U23" s="114">
        <f>(1-E23*ratioSterile)/(1-E23)</f>
        <v>1.0169027189083015</v>
      </c>
    </row>
    <row r="24" spans="2:21" ht="30" x14ac:dyDescent="0.25">
      <c r="B24" s="33"/>
      <c r="C24" s="20" t="s">
        <v>120</v>
      </c>
      <c r="D24" s="20" t="s">
        <v>14</v>
      </c>
      <c r="E24" s="182" t="str">
        <f t="array" ref="E24:J24">TRANSPOSE(B25:B30)</f>
        <v>Sterile</v>
      </c>
      <c r="F24" s="183" t="str">
        <v>Inactive</v>
      </c>
      <c r="G24" s="184" t="str">
        <v>Careful sex</v>
      </c>
      <c r="H24" s="184" t="str">
        <v>Unsafe Sex</v>
      </c>
      <c r="I24" s="184" t="str">
        <v>Seeking Pregnancy</v>
      </c>
      <c r="J24" s="184" t="str">
        <v>Pregnant</v>
      </c>
      <c r="K24" s="14" t="s">
        <v>57</v>
      </c>
      <c r="L24" s="114"/>
      <c r="M24" s="182" t="str">
        <f t="shared" ref="M24:R24" si="23">E24</f>
        <v>Sterile</v>
      </c>
      <c r="N24" s="183" t="str">
        <f t="shared" si="23"/>
        <v>Inactive</v>
      </c>
      <c r="O24" s="184" t="str">
        <f t="shared" si="23"/>
        <v>Careful sex</v>
      </c>
      <c r="P24" s="184" t="str">
        <f t="shared" si="23"/>
        <v>Unsafe Sex</v>
      </c>
      <c r="Q24" s="184" t="str">
        <f t="shared" si="23"/>
        <v>Seeking Pregnancy</v>
      </c>
      <c r="R24" s="184" t="str">
        <f t="shared" si="23"/>
        <v>Pregnant</v>
      </c>
      <c r="S24" s="114"/>
    </row>
    <row r="25" spans="2:21" x14ac:dyDescent="0.25">
      <c r="B25" s="145" t="str">
        <f t="shared" ref="B25:B30" si="24">B15</f>
        <v>Sterile</v>
      </c>
      <c r="C25" s="188">
        <v>1</v>
      </c>
      <c r="D25" s="34">
        <v>1</v>
      </c>
      <c r="E25" s="187">
        <f t="shared" ref="E25:E30" ca="1" si="25">M25</f>
        <v>1</v>
      </c>
      <c r="F25" s="187">
        <f t="shared" ref="F25:F30" ca="1" si="26">N25</f>
        <v>0</v>
      </c>
      <c r="G25" s="187">
        <f t="shared" ref="G25:G30" ca="1" si="27">O25</f>
        <v>0</v>
      </c>
      <c r="H25" s="187">
        <f t="shared" ref="H25:H30" ca="1" si="28">P25</f>
        <v>0</v>
      </c>
      <c r="I25" s="187">
        <f t="shared" ref="I25:I30" ca="1" si="29">Q25</f>
        <v>0</v>
      </c>
      <c r="J25" s="187">
        <f t="shared" ref="J25:J30" ca="1" si="30">R25</f>
        <v>0</v>
      </c>
      <c r="K25" s="16">
        <f t="shared" ref="K25:K30" ca="1" si="31">SUM(E25:J25)</f>
        <v>1</v>
      </c>
      <c r="L25" s="114"/>
      <c r="M25" s="25">
        <f t="shared" ref="M25:M30" ca="1" si="32">IF(M$22=$D25,$C25,(1-$C25)*M$23/(1-OFFSET($L$23,0,$D25)))</f>
        <v>1</v>
      </c>
      <c r="N25" s="25">
        <f t="shared" ref="N25:R30" ca="1" si="33">IF(N$22=$D25,$C25,(1-$C25)*N$23/(1-OFFSET($L$23,0,$D25)))</f>
        <v>0</v>
      </c>
      <c r="O25" s="25">
        <f t="shared" ca="1" si="33"/>
        <v>0</v>
      </c>
      <c r="P25" s="25">
        <f t="shared" ca="1" si="33"/>
        <v>0</v>
      </c>
      <c r="Q25" s="25">
        <f t="shared" ca="1" si="33"/>
        <v>0</v>
      </c>
      <c r="R25" s="25">
        <f t="shared" ca="1" si="33"/>
        <v>0</v>
      </c>
      <c r="S25" s="185">
        <f t="shared" ref="S25:S30" ca="1" si="34">SUM(M25:R25)</f>
        <v>1</v>
      </c>
    </row>
    <row r="26" spans="2:21" x14ac:dyDescent="0.25">
      <c r="B26" s="145" t="str">
        <f t="shared" si="24"/>
        <v>Inactive</v>
      </c>
      <c r="C26" s="178">
        <v>0.5</v>
      </c>
      <c r="D26" s="34">
        <v>2</v>
      </c>
      <c r="E26" s="187">
        <f t="shared" ca="1" si="25"/>
        <v>1.0117464484562484E-2</v>
      </c>
      <c r="F26" s="187">
        <f t="shared" ca="1" si="26"/>
        <v>0.5</v>
      </c>
      <c r="G26" s="187">
        <f t="shared" ca="1" si="27"/>
        <v>0.34181656171096431</v>
      </c>
      <c r="H26" s="187">
        <f t="shared" ca="1" si="28"/>
        <v>8.9607287164288132E-2</v>
      </c>
      <c r="I26" s="187">
        <f t="shared" ca="1" si="29"/>
        <v>1.6612586946188248E-2</v>
      </c>
      <c r="J26" s="187">
        <f t="shared" ca="1" si="30"/>
        <v>4.1846099693996913E-2</v>
      </c>
      <c r="K26" s="16">
        <f t="shared" ca="1" si="31"/>
        <v>1.0000000000000002</v>
      </c>
      <c r="L26" s="114"/>
      <c r="M26" s="25">
        <f t="shared" ca="1" si="32"/>
        <v>1.0117464484562484E-2</v>
      </c>
      <c r="N26" s="25">
        <f t="shared" ca="1" si="33"/>
        <v>0.5</v>
      </c>
      <c r="O26" s="25">
        <f t="shared" ca="1" si="33"/>
        <v>0.34181656171096431</v>
      </c>
      <c r="P26" s="25">
        <f t="shared" ca="1" si="33"/>
        <v>8.9607287164288132E-2</v>
      </c>
      <c r="Q26" s="25">
        <f t="shared" ca="1" si="33"/>
        <v>1.6612586946188248E-2</v>
      </c>
      <c r="R26" s="25">
        <f t="shared" ca="1" si="33"/>
        <v>4.1846099693996913E-2</v>
      </c>
      <c r="S26" s="185">
        <f t="shared" ca="1" si="34"/>
        <v>1.0000000000000002</v>
      </c>
    </row>
    <row r="27" spans="2:21" x14ac:dyDescent="0.25">
      <c r="B27" s="145" t="str">
        <f t="shared" si="24"/>
        <v>Careful sex</v>
      </c>
      <c r="C27" s="179">
        <v>0.85</v>
      </c>
      <c r="D27" s="34">
        <v>3</v>
      </c>
      <c r="E27" s="187">
        <f t="shared" ca="1" si="25"/>
        <v>5.4789967613383429E-3</v>
      </c>
      <c r="F27" s="187">
        <f t="shared" ca="1" si="26"/>
        <v>6.4337574655645671E-2</v>
      </c>
      <c r="G27" s="187">
        <f t="shared" ca="1" si="27"/>
        <v>0.85</v>
      </c>
      <c r="H27" s="187">
        <f t="shared" ca="1" si="28"/>
        <v>4.852579783349547E-2</v>
      </c>
      <c r="I27" s="187">
        <f t="shared" ca="1" si="29"/>
        <v>8.9963557781199462E-3</v>
      </c>
      <c r="J27" s="187">
        <f t="shared" ca="1" si="30"/>
        <v>2.2661274971400625E-2</v>
      </c>
      <c r="K27" s="16">
        <f t="shared" ca="1" si="31"/>
        <v>1</v>
      </c>
      <c r="L27" s="114"/>
      <c r="M27" s="25">
        <f t="shared" ca="1" si="32"/>
        <v>5.4789967613383429E-3</v>
      </c>
      <c r="N27" s="25">
        <f t="shared" ca="1" si="33"/>
        <v>6.4337574655645671E-2</v>
      </c>
      <c r="O27" s="25">
        <f t="shared" ca="1" si="33"/>
        <v>0.85</v>
      </c>
      <c r="P27" s="25">
        <f t="shared" ca="1" si="33"/>
        <v>4.852579783349547E-2</v>
      </c>
      <c r="Q27" s="25">
        <f t="shared" ca="1" si="33"/>
        <v>8.9963557781199462E-3</v>
      </c>
      <c r="R27" s="25">
        <f t="shared" ca="1" si="33"/>
        <v>2.2661274971400625E-2</v>
      </c>
      <c r="S27" s="185">
        <f t="shared" ca="1" si="34"/>
        <v>1</v>
      </c>
    </row>
    <row r="28" spans="2:21" x14ac:dyDescent="0.25">
      <c r="B28" s="145" t="str">
        <f t="shared" si="24"/>
        <v>Unsafe Sex</v>
      </c>
      <c r="C28" s="179">
        <v>0.7</v>
      </c>
      <c r="D28" s="34">
        <v>4</v>
      </c>
      <c r="E28" s="187">
        <f t="shared" ca="1" si="25"/>
        <v>5.7355470601438861E-3</v>
      </c>
      <c r="F28" s="187">
        <f t="shared" ca="1" si="26"/>
        <v>6.7350137853127462E-2</v>
      </c>
      <c r="G28" s="187">
        <f t="shared" ca="1" si="27"/>
        <v>0.1937743372977693</v>
      </c>
      <c r="H28" s="187">
        <f t="shared" ca="1" si="28"/>
        <v>0.7</v>
      </c>
      <c r="I28" s="187">
        <f t="shared" ca="1" si="29"/>
        <v>9.4176040218356214E-3</v>
      </c>
      <c r="J28" s="187">
        <f t="shared" ca="1" si="30"/>
        <v>2.3722373767123817E-2</v>
      </c>
      <c r="K28" s="16">
        <f t="shared" ca="1" si="31"/>
        <v>1</v>
      </c>
      <c r="L28" s="114"/>
      <c r="M28" s="25">
        <f t="shared" ca="1" si="32"/>
        <v>5.7355470601438861E-3</v>
      </c>
      <c r="N28" s="25">
        <f t="shared" ca="1" si="33"/>
        <v>6.7350137853127462E-2</v>
      </c>
      <c r="O28" s="25">
        <f t="shared" ca="1" si="33"/>
        <v>0.1937743372977693</v>
      </c>
      <c r="P28" s="25">
        <f t="shared" ca="1" si="33"/>
        <v>0.7</v>
      </c>
      <c r="Q28" s="25">
        <f t="shared" ca="1" si="33"/>
        <v>9.4176040218356214E-3</v>
      </c>
      <c r="R28" s="25">
        <f t="shared" ca="1" si="33"/>
        <v>2.3722373767123817E-2</v>
      </c>
      <c r="S28" s="185">
        <f t="shared" ca="1" si="34"/>
        <v>1</v>
      </c>
    </row>
    <row r="29" spans="2:21" s="114" customFormat="1" x14ac:dyDescent="0.25">
      <c r="B29" s="145" t="str">
        <f t="shared" si="24"/>
        <v>Seeking Pregnancy</v>
      </c>
      <c r="C29" s="179">
        <v>0.95</v>
      </c>
      <c r="D29" s="34">
        <v>5</v>
      </c>
      <c r="E29" s="187">
        <f t="shared" ca="1" si="25"/>
        <v>8.4005223706280676E-4</v>
      </c>
      <c r="F29" s="187">
        <f t="shared" ca="1" si="26"/>
        <v>9.8643831838054526E-3</v>
      </c>
      <c r="G29" s="187">
        <f t="shared" ca="1" si="27"/>
        <v>2.8381000770355522E-2</v>
      </c>
      <c r="H29" s="187">
        <f t="shared" ca="1" si="28"/>
        <v>7.4400856216837738E-3</v>
      </c>
      <c r="I29" s="187">
        <f t="shared" ca="1" si="29"/>
        <v>0.95</v>
      </c>
      <c r="J29" s="187">
        <f t="shared" ca="1" si="30"/>
        <v>3.4744781870924926E-3</v>
      </c>
      <c r="K29" s="16">
        <f t="shared" ca="1" si="31"/>
        <v>1</v>
      </c>
      <c r="M29" s="25">
        <f t="shared" ca="1" si="32"/>
        <v>8.4005223706280676E-4</v>
      </c>
      <c r="N29" s="25">
        <f t="shared" ca="1" si="33"/>
        <v>9.8643831838054526E-3</v>
      </c>
      <c r="O29" s="25">
        <f t="shared" ca="1" si="33"/>
        <v>2.8381000770355522E-2</v>
      </c>
      <c r="P29" s="25">
        <f t="shared" ca="1" si="33"/>
        <v>7.4400856216837738E-3</v>
      </c>
      <c r="Q29" s="25">
        <f t="shared" ca="1" si="33"/>
        <v>0.95</v>
      </c>
      <c r="R29" s="25">
        <f t="shared" ca="1" si="33"/>
        <v>3.4744781870924926E-3</v>
      </c>
      <c r="S29" s="185">
        <f t="shared" ca="1" si="34"/>
        <v>1</v>
      </c>
    </row>
    <row r="30" spans="2:21" x14ac:dyDescent="0.25">
      <c r="B30" s="145" t="str">
        <f t="shared" si="24"/>
        <v>Pregnant</v>
      </c>
      <c r="C30" s="188">
        <v>0</v>
      </c>
      <c r="D30" s="34">
        <v>6</v>
      </c>
      <c r="E30" s="187">
        <f t="shared" ca="1" si="25"/>
        <v>1.7535844487882368E-2</v>
      </c>
      <c r="F30" s="187">
        <f t="shared" ca="1" si="26"/>
        <v>0.20591611074676713</v>
      </c>
      <c r="G30" s="187">
        <f t="shared" ca="1" si="27"/>
        <v>0.59244508134345297</v>
      </c>
      <c r="H30" s="187">
        <f t="shared" ca="1" si="28"/>
        <v>0.15530960895307011</v>
      </c>
      <c r="I30" s="187">
        <f t="shared" ca="1" si="29"/>
        <v>2.8793354468827609E-2</v>
      </c>
      <c r="J30" s="187">
        <f t="shared" ca="1" si="30"/>
        <v>0</v>
      </c>
      <c r="K30" s="16">
        <f t="shared" ca="1" si="31"/>
        <v>1.0000000000000002</v>
      </c>
      <c r="L30" s="114"/>
      <c r="M30" s="25">
        <f t="shared" ca="1" si="32"/>
        <v>1.7535844487882368E-2</v>
      </c>
      <c r="N30" s="25">
        <f t="shared" ca="1" si="33"/>
        <v>0.20591611074676713</v>
      </c>
      <c r="O30" s="25">
        <f t="shared" ca="1" si="33"/>
        <v>0.59244508134345297</v>
      </c>
      <c r="P30" s="25">
        <f t="shared" ca="1" si="33"/>
        <v>0.15530960895307011</v>
      </c>
      <c r="Q30" s="25">
        <f t="shared" ca="1" si="33"/>
        <v>2.8793354468827609E-2</v>
      </c>
      <c r="R30" s="25">
        <f t="shared" ca="1" si="33"/>
        <v>0</v>
      </c>
      <c r="S30" s="185">
        <f t="shared" ca="1" si="34"/>
        <v>1.0000000000000002</v>
      </c>
    </row>
    <row r="32" spans="2:21" x14ac:dyDescent="0.25">
      <c r="B32" s="114"/>
      <c r="D32" s="114"/>
      <c r="E32" s="114"/>
      <c r="F32" s="114"/>
      <c r="G32" s="114"/>
      <c r="H32" s="114"/>
      <c r="I32" s="114"/>
      <c r="K32" s="114"/>
      <c r="L32" s="114"/>
      <c r="M32" s="125">
        <v>1</v>
      </c>
      <c r="N32" s="125">
        <v>2</v>
      </c>
      <c r="O32" s="125">
        <v>3</v>
      </c>
      <c r="P32" s="125">
        <v>4</v>
      </c>
      <c r="Q32" s="125">
        <v>5</v>
      </c>
      <c r="R32" s="125">
        <v>6</v>
      </c>
      <c r="S32" s="114"/>
    </row>
    <row r="33" spans="2:21" x14ac:dyDescent="0.25">
      <c r="B33" s="177" t="str">
        <f>"Non-pregnant | "&amp; Parameters!H18</f>
        <v>Non-pregnant | 25-29</v>
      </c>
      <c r="C33" s="177"/>
      <c r="D33" s="180" t="s">
        <v>121</v>
      </c>
      <c r="E33" s="181">
        <f t="array" ref="E33:J33">TRANSPOSE(Parameters!H19:H24)</f>
        <v>0.1119</v>
      </c>
      <c r="F33" s="181">
        <v>0.1273</v>
      </c>
      <c r="G33" s="181">
        <v>0.50529999999999997</v>
      </c>
      <c r="H33" s="181">
        <v>0.12920000000000001</v>
      </c>
      <c r="I33" s="181">
        <v>5.2999999999999999E-2</v>
      </c>
      <c r="J33" s="181">
        <v>7.3300000000000004E-2</v>
      </c>
      <c r="K33" s="186">
        <f>SUM(E33:J33)</f>
        <v>1</v>
      </c>
      <c r="L33" s="114"/>
      <c r="M33" s="25">
        <f>E33*ratioSterile</f>
        <v>5.595E-2</v>
      </c>
      <c r="N33" s="25">
        <f>F33*$U33</f>
        <v>0.1353198569980858</v>
      </c>
      <c r="O33" s="25">
        <f>G33*$U33</f>
        <v>0.53713372930976244</v>
      </c>
      <c r="P33" s="25">
        <f>H33*$U33</f>
        <v>0.13733955635626621</v>
      </c>
      <c r="Q33" s="25">
        <f>I33*$U33</f>
        <v>5.6338982096610743E-2</v>
      </c>
      <c r="R33" s="25">
        <f>J33*$U33</f>
        <v>7.7917875239274861E-2</v>
      </c>
      <c r="S33" s="185">
        <f>SUM(M33:R33)</f>
        <v>1</v>
      </c>
      <c r="T33" s="114"/>
      <c r="U33" s="114">
        <f>(1-E33*ratioSterile)/(1-E33)</f>
        <v>1.0629996622002027</v>
      </c>
    </row>
    <row r="34" spans="2:21" ht="30" x14ac:dyDescent="0.25">
      <c r="B34" s="33"/>
      <c r="C34" s="20" t="s">
        <v>120</v>
      </c>
      <c r="D34" s="20" t="s">
        <v>14</v>
      </c>
      <c r="E34" s="182" t="str">
        <f t="array" ref="E34:J34">TRANSPOSE(B35:B40)</f>
        <v>Sterile</v>
      </c>
      <c r="F34" s="183" t="str">
        <v>Inactive</v>
      </c>
      <c r="G34" s="184" t="str">
        <v>Careful sex</v>
      </c>
      <c r="H34" s="184" t="str">
        <v>Unsafe Sex</v>
      </c>
      <c r="I34" s="184" t="str">
        <v>Seeking Pregnancy</v>
      </c>
      <c r="J34" s="184" t="str">
        <v>Pregnant</v>
      </c>
      <c r="K34" s="14" t="s">
        <v>57</v>
      </c>
      <c r="L34" s="114"/>
      <c r="M34" s="182" t="str">
        <f t="shared" ref="M34:R34" si="35">E34</f>
        <v>Sterile</v>
      </c>
      <c r="N34" s="183" t="str">
        <f t="shared" si="35"/>
        <v>Inactive</v>
      </c>
      <c r="O34" s="184" t="str">
        <f t="shared" si="35"/>
        <v>Careful sex</v>
      </c>
      <c r="P34" s="184" t="str">
        <f t="shared" si="35"/>
        <v>Unsafe Sex</v>
      </c>
      <c r="Q34" s="184" t="str">
        <f t="shared" si="35"/>
        <v>Seeking Pregnancy</v>
      </c>
      <c r="R34" s="184" t="str">
        <f t="shared" si="35"/>
        <v>Pregnant</v>
      </c>
      <c r="S34" s="114"/>
    </row>
    <row r="35" spans="2:21" x14ac:dyDescent="0.25">
      <c r="B35" s="145" t="str">
        <f t="shared" ref="B35:B40" si="36">B25</f>
        <v>Sterile</v>
      </c>
      <c r="C35" s="188">
        <v>1</v>
      </c>
      <c r="D35" s="34">
        <v>1</v>
      </c>
      <c r="E35" s="187">
        <f t="shared" ref="E35:E40" ca="1" si="37">M35</f>
        <v>1</v>
      </c>
      <c r="F35" s="187">
        <f t="shared" ref="F35:F40" ca="1" si="38">N35</f>
        <v>0</v>
      </c>
      <c r="G35" s="187">
        <f t="shared" ref="G35:G40" ca="1" si="39">O35</f>
        <v>0</v>
      </c>
      <c r="H35" s="187">
        <f t="shared" ref="H35:H40" ca="1" si="40">P35</f>
        <v>0</v>
      </c>
      <c r="I35" s="187">
        <f t="shared" ref="I35:I40" ca="1" si="41">Q35</f>
        <v>0</v>
      </c>
      <c r="J35" s="187">
        <f t="shared" ref="J35:J40" ca="1" si="42">R35</f>
        <v>0</v>
      </c>
      <c r="K35" s="16">
        <f t="shared" ref="K35:K40" ca="1" si="43">SUM(E35:J35)</f>
        <v>1</v>
      </c>
      <c r="L35" s="114"/>
      <c r="M35" s="25">
        <f t="shared" ref="M35:M40" ca="1" si="44">IF(M$32=$D35,$C35,(1-$C35)*M$33/(1-OFFSET($L$33,0,$D35)))</f>
        <v>1</v>
      </c>
      <c r="N35" s="25">
        <f t="shared" ref="N35:R40" ca="1" si="45">IF(N$32=$D35,$C35,(1-$C35)*N$33/(1-OFFSET($L$33,0,$D35)))</f>
        <v>0</v>
      </c>
      <c r="O35" s="25">
        <f t="shared" ca="1" si="45"/>
        <v>0</v>
      </c>
      <c r="P35" s="25">
        <f t="shared" ca="1" si="45"/>
        <v>0</v>
      </c>
      <c r="Q35" s="25">
        <f t="shared" ca="1" si="45"/>
        <v>0</v>
      </c>
      <c r="R35" s="25">
        <f t="shared" ca="1" si="45"/>
        <v>0</v>
      </c>
      <c r="S35" s="185">
        <f t="shared" ref="S35:S40" ca="1" si="46">SUM(M35:R35)</f>
        <v>1</v>
      </c>
    </row>
    <row r="36" spans="2:21" x14ac:dyDescent="0.25">
      <c r="B36" s="145" t="str">
        <f t="shared" si="36"/>
        <v>Inactive</v>
      </c>
      <c r="C36" s="178">
        <v>0.5</v>
      </c>
      <c r="D36" s="34">
        <v>2</v>
      </c>
      <c r="E36" s="187">
        <f t="shared" ca="1" si="37"/>
        <v>3.2353003855135447E-2</v>
      </c>
      <c r="F36" s="187">
        <f t="shared" ca="1" si="38"/>
        <v>0.5</v>
      </c>
      <c r="G36" s="187">
        <f t="shared" ca="1" si="39"/>
        <v>0.31059677596214519</v>
      </c>
      <c r="H36" s="187">
        <f t="shared" ca="1" si="40"/>
        <v>7.9416393141320332E-2</v>
      </c>
      <c r="I36" s="187">
        <f t="shared" ca="1" si="41"/>
        <v>3.2577932170975057E-2</v>
      </c>
      <c r="J36" s="187">
        <f t="shared" ca="1" si="42"/>
        <v>4.5055894870423996E-2</v>
      </c>
      <c r="K36" s="16">
        <f t="shared" ca="1" si="43"/>
        <v>1</v>
      </c>
      <c r="L36" s="114"/>
      <c r="M36" s="25">
        <f t="shared" ca="1" si="44"/>
        <v>3.2353003855135447E-2</v>
      </c>
      <c r="N36" s="25">
        <f t="shared" ca="1" si="45"/>
        <v>0.5</v>
      </c>
      <c r="O36" s="25">
        <f t="shared" ca="1" si="45"/>
        <v>0.31059677596214519</v>
      </c>
      <c r="P36" s="25">
        <f t="shared" ca="1" si="45"/>
        <v>7.9416393141320332E-2</v>
      </c>
      <c r="Q36" s="25">
        <f t="shared" ca="1" si="45"/>
        <v>3.2577932170975057E-2</v>
      </c>
      <c r="R36" s="25">
        <f t="shared" ca="1" si="45"/>
        <v>4.5055894870423996E-2</v>
      </c>
      <c r="S36" s="185">
        <f t="shared" ca="1" si="46"/>
        <v>1</v>
      </c>
    </row>
    <row r="37" spans="2:21" x14ac:dyDescent="0.25">
      <c r="B37" s="145" t="str">
        <f t="shared" si="36"/>
        <v>Careful sex</v>
      </c>
      <c r="C37" s="179">
        <v>0.8</v>
      </c>
      <c r="D37" s="34">
        <v>3</v>
      </c>
      <c r="E37" s="187">
        <f t="shared" ca="1" si="37"/>
        <v>2.4175449170908896E-2</v>
      </c>
      <c r="F37" s="187">
        <f t="shared" ca="1" si="38"/>
        <v>5.8470390074564504E-2</v>
      </c>
      <c r="G37" s="187">
        <f t="shared" ca="1" si="39"/>
        <v>0.8</v>
      </c>
      <c r="H37" s="187">
        <f t="shared" ca="1" si="40"/>
        <v>5.9343082463737123E-2</v>
      </c>
      <c r="I37" s="187">
        <f t="shared" ca="1" si="41"/>
        <v>2.4343524540077918E-2</v>
      </c>
      <c r="J37" s="187">
        <f t="shared" ca="1" si="42"/>
        <v>3.3667553750711537E-2</v>
      </c>
      <c r="K37" s="16">
        <f t="shared" ca="1" si="43"/>
        <v>1</v>
      </c>
      <c r="L37" s="114"/>
      <c r="M37" s="25">
        <f t="shared" ca="1" si="44"/>
        <v>2.4175449170908896E-2</v>
      </c>
      <c r="N37" s="25">
        <f t="shared" ca="1" si="45"/>
        <v>5.8470390074564504E-2</v>
      </c>
      <c r="O37" s="25">
        <f t="shared" ca="1" si="45"/>
        <v>0.8</v>
      </c>
      <c r="P37" s="25">
        <f t="shared" ca="1" si="45"/>
        <v>5.9343082463737123E-2</v>
      </c>
      <c r="Q37" s="25">
        <f t="shared" ca="1" si="45"/>
        <v>2.4343524540077918E-2</v>
      </c>
      <c r="R37" s="25">
        <f t="shared" ca="1" si="45"/>
        <v>3.3667553750711537E-2</v>
      </c>
      <c r="S37" s="185">
        <f t="shared" ca="1" si="46"/>
        <v>1</v>
      </c>
    </row>
    <row r="38" spans="2:21" x14ac:dyDescent="0.25">
      <c r="B38" s="145" t="str">
        <f t="shared" si="36"/>
        <v>Unsafe Sex</v>
      </c>
      <c r="C38" s="179">
        <v>0.7</v>
      </c>
      <c r="D38" s="34">
        <v>4</v>
      </c>
      <c r="E38" s="187">
        <f t="shared" ca="1" si="37"/>
        <v>1.9457250096113092E-2</v>
      </c>
      <c r="F38" s="187">
        <f t="shared" ca="1" si="38"/>
        <v>4.7059022351778647E-2</v>
      </c>
      <c r="G38" s="187">
        <f t="shared" ca="1" si="39"/>
        <v>0.18679437544661232</v>
      </c>
      <c r="H38" s="187">
        <f t="shared" ca="1" si="40"/>
        <v>0.7</v>
      </c>
      <c r="I38" s="187">
        <f t="shared" ca="1" si="41"/>
        <v>1.9592523052979326E-2</v>
      </c>
      <c r="J38" s="187">
        <f t="shared" ca="1" si="42"/>
        <v>2.7096829052516692E-2</v>
      </c>
      <c r="K38" s="16">
        <f t="shared" ca="1" si="43"/>
        <v>1</v>
      </c>
      <c r="L38" s="114"/>
      <c r="M38" s="25">
        <f t="shared" ca="1" si="44"/>
        <v>1.9457250096113092E-2</v>
      </c>
      <c r="N38" s="25">
        <f t="shared" ca="1" si="45"/>
        <v>4.7059022351778647E-2</v>
      </c>
      <c r="O38" s="25">
        <f t="shared" ca="1" si="45"/>
        <v>0.18679437544661232</v>
      </c>
      <c r="P38" s="25">
        <f t="shared" ca="1" si="45"/>
        <v>0.7</v>
      </c>
      <c r="Q38" s="25">
        <f t="shared" ca="1" si="45"/>
        <v>1.9592523052979326E-2</v>
      </c>
      <c r="R38" s="25">
        <f t="shared" ca="1" si="45"/>
        <v>2.7096829052516692E-2</v>
      </c>
      <c r="S38" s="185">
        <f t="shared" ca="1" si="46"/>
        <v>1</v>
      </c>
    </row>
    <row r="39" spans="2:21" s="114" customFormat="1" x14ac:dyDescent="0.25">
      <c r="B39" s="145" t="str">
        <f t="shared" si="36"/>
        <v>Seeking Pregnancy</v>
      </c>
      <c r="C39" s="179">
        <v>0.95</v>
      </c>
      <c r="D39" s="34">
        <v>5</v>
      </c>
      <c r="E39" s="187">
        <f t="shared" ca="1" si="37"/>
        <v>2.9645179221405612E-3</v>
      </c>
      <c r="F39" s="187">
        <f t="shared" ca="1" si="38"/>
        <v>7.1699399694785193E-3</v>
      </c>
      <c r="G39" s="187">
        <f t="shared" ca="1" si="39"/>
        <v>2.8460099501787087E-2</v>
      </c>
      <c r="H39" s="187">
        <f t="shared" ca="1" si="40"/>
        <v>7.2769539988737234E-3</v>
      </c>
      <c r="I39" s="187">
        <f t="shared" ca="1" si="41"/>
        <v>0.95</v>
      </c>
      <c r="J39" s="187">
        <f t="shared" ca="1" si="42"/>
        <v>4.1284886077201533E-3</v>
      </c>
      <c r="K39" s="16">
        <f t="shared" ca="1" si="43"/>
        <v>1</v>
      </c>
      <c r="M39" s="25">
        <f t="shared" ca="1" si="44"/>
        <v>2.9645179221405612E-3</v>
      </c>
      <c r="N39" s="25">
        <f t="shared" ca="1" si="45"/>
        <v>7.1699399694785193E-3</v>
      </c>
      <c r="O39" s="25">
        <f t="shared" ca="1" si="45"/>
        <v>2.8460099501787087E-2</v>
      </c>
      <c r="P39" s="25">
        <f t="shared" ca="1" si="45"/>
        <v>7.2769539988737234E-3</v>
      </c>
      <c r="Q39" s="25">
        <f t="shared" ca="1" si="45"/>
        <v>0.95</v>
      </c>
      <c r="R39" s="25">
        <f t="shared" ca="1" si="45"/>
        <v>4.1284886077201533E-3</v>
      </c>
      <c r="S39" s="185">
        <f t="shared" ca="1" si="46"/>
        <v>1</v>
      </c>
    </row>
    <row r="40" spans="2:21" x14ac:dyDescent="0.25">
      <c r="B40" s="145" t="str">
        <f t="shared" si="36"/>
        <v>Pregnant</v>
      </c>
      <c r="C40" s="188">
        <v>0</v>
      </c>
      <c r="D40" s="34">
        <v>6</v>
      </c>
      <c r="E40" s="187">
        <f t="shared" ca="1" si="37"/>
        <v>6.0677892454013997E-2</v>
      </c>
      <c r="F40" s="187">
        <f t="shared" ca="1" si="38"/>
        <v>0.1467546689869956</v>
      </c>
      <c r="G40" s="187">
        <f t="shared" ca="1" si="39"/>
        <v>0.58252265702379324</v>
      </c>
      <c r="H40" s="187">
        <f t="shared" ca="1" si="40"/>
        <v>0.14894503718083138</v>
      </c>
      <c r="I40" s="187">
        <f t="shared" ca="1" si="41"/>
        <v>6.1099744354365805E-2</v>
      </c>
      <c r="J40" s="187">
        <f t="shared" ca="1" si="42"/>
        <v>0</v>
      </c>
      <c r="K40" s="16">
        <f t="shared" ca="1" si="43"/>
        <v>1</v>
      </c>
      <c r="L40" s="114"/>
      <c r="M40" s="25">
        <f t="shared" ca="1" si="44"/>
        <v>6.0677892454013997E-2</v>
      </c>
      <c r="N40" s="25">
        <f t="shared" ca="1" si="45"/>
        <v>0.1467546689869956</v>
      </c>
      <c r="O40" s="25">
        <f t="shared" ca="1" si="45"/>
        <v>0.58252265702379324</v>
      </c>
      <c r="P40" s="25">
        <f t="shared" ca="1" si="45"/>
        <v>0.14894503718083138</v>
      </c>
      <c r="Q40" s="25">
        <f t="shared" ca="1" si="45"/>
        <v>6.1099744354365805E-2</v>
      </c>
      <c r="R40" s="25">
        <f t="shared" ca="1" si="45"/>
        <v>0</v>
      </c>
      <c r="S40" s="185">
        <f t="shared" ca="1" si="46"/>
        <v>1</v>
      </c>
    </row>
    <row r="42" spans="2:21" x14ac:dyDescent="0.25">
      <c r="B42" s="114"/>
      <c r="D42" s="114"/>
      <c r="E42" s="114"/>
      <c r="F42" s="114"/>
      <c r="G42" s="114"/>
      <c r="H42" s="114"/>
      <c r="I42" s="114"/>
      <c r="K42" s="114"/>
      <c r="L42" s="114"/>
      <c r="M42" s="125">
        <v>1</v>
      </c>
      <c r="N42" s="125">
        <v>2</v>
      </c>
      <c r="O42" s="125">
        <v>3</v>
      </c>
      <c r="P42" s="125">
        <v>4</v>
      </c>
      <c r="Q42" s="125">
        <v>5</v>
      </c>
      <c r="R42" s="125">
        <v>6</v>
      </c>
      <c r="S42" s="114"/>
    </row>
    <row r="43" spans="2:21" x14ac:dyDescent="0.25">
      <c r="B43" s="177" t="str">
        <f>"Non-pregnant | "&amp; Parameters!I18</f>
        <v>Non-pregnant | 30-34</v>
      </c>
      <c r="C43" s="177"/>
      <c r="D43" s="180" t="s">
        <v>121</v>
      </c>
      <c r="E43" s="181">
        <f t="array" ref="E43:J43">TRANSPOSE(Parameters!I19:I24)</f>
        <v>0.2364</v>
      </c>
      <c r="F43" s="181">
        <v>7.7799999999999994E-2</v>
      </c>
      <c r="G43" s="181">
        <v>0.42120000000000002</v>
      </c>
      <c r="H43" s="181">
        <v>0.14199999999999999</v>
      </c>
      <c r="I43" s="181">
        <v>6.7100000000000007E-2</v>
      </c>
      <c r="J43" s="181">
        <v>5.5500000000000001E-2</v>
      </c>
      <c r="K43" s="186">
        <f>SUM(E43:J43)</f>
        <v>1.0000000000000002</v>
      </c>
      <c r="L43" s="114"/>
      <c r="M43" s="25">
        <f>E43*ratioSterile</f>
        <v>0.1182</v>
      </c>
      <c r="N43" s="25">
        <f>F43*$U43</f>
        <v>8.984290204295442E-2</v>
      </c>
      <c r="O43" s="25">
        <f>G43*$U43</f>
        <v>0.48639884756416973</v>
      </c>
      <c r="P43" s="25">
        <f>H43*$U43</f>
        <v>0.1639806181246726</v>
      </c>
      <c r="Q43" s="25">
        <f>I43*$U43</f>
        <v>7.7486616029334737E-2</v>
      </c>
      <c r="R43" s="25">
        <f>J43*$U43</f>
        <v>6.4091016238868523E-2</v>
      </c>
      <c r="S43" s="185">
        <f>SUM(M43:R43)</f>
        <v>0.99999999999999989</v>
      </c>
      <c r="T43" s="114"/>
      <c r="U43" s="114">
        <f>(1-E43*ratioSterile)/(1-E43)</f>
        <v>1.1547930853850183</v>
      </c>
    </row>
    <row r="44" spans="2:21" ht="30" x14ac:dyDescent="0.25">
      <c r="B44" s="33"/>
      <c r="C44" s="20" t="s">
        <v>120</v>
      </c>
      <c r="D44" s="20" t="s">
        <v>14</v>
      </c>
      <c r="E44" s="182" t="str">
        <f t="array" ref="E44:J44">TRANSPOSE(B45:B50)</f>
        <v>Sterile</v>
      </c>
      <c r="F44" s="183" t="str">
        <v>Inactive</v>
      </c>
      <c r="G44" s="184" t="str">
        <v>Careful sex</v>
      </c>
      <c r="H44" s="184" t="str">
        <v>Unsafe Sex</v>
      </c>
      <c r="I44" s="184" t="str">
        <v>Seeking Pregnancy</v>
      </c>
      <c r="J44" s="184" t="str">
        <v>Pregnant</v>
      </c>
      <c r="K44" s="14" t="s">
        <v>57</v>
      </c>
      <c r="L44" s="114"/>
      <c r="M44" s="182" t="str">
        <f t="shared" ref="M44:R44" si="47">E44</f>
        <v>Sterile</v>
      </c>
      <c r="N44" s="183" t="str">
        <f t="shared" si="47"/>
        <v>Inactive</v>
      </c>
      <c r="O44" s="184" t="str">
        <f t="shared" si="47"/>
        <v>Careful sex</v>
      </c>
      <c r="P44" s="184" t="str">
        <f t="shared" si="47"/>
        <v>Unsafe Sex</v>
      </c>
      <c r="Q44" s="184" t="str">
        <f t="shared" si="47"/>
        <v>Seeking Pregnancy</v>
      </c>
      <c r="R44" s="184" t="str">
        <f t="shared" si="47"/>
        <v>Pregnant</v>
      </c>
      <c r="S44" s="114"/>
    </row>
    <row r="45" spans="2:21" x14ac:dyDescent="0.25">
      <c r="B45" s="145" t="str">
        <f t="shared" ref="B45:B50" si="48">B35</f>
        <v>Sterile</v>
      </c>
      <c r="C45" s="188">
        <v>1</v>
      </c>
      <c r="D45" s="34">
        <v>1</v>
      </c>
      <c r="E45" s="187">
        <f t="shared" ref="E45:E50" ca="1" si="49">M45</f>
        <v>1</v>
      </c>
      <c r="F45" s="187">
        <f t="shared" ref="F45:F50" ca="1" si="50">N45</f>
        <v>0</v>
      </c>
      <c r="G45" s="187">
        <f t="shared" ref="G45:G50" ca="1" si="51">O45</f>
        <v>0</v>
      </c>
      <c r="H45" s="187">
        <f t="shared" ref="H45:H50" ca="1" si="52">P45</f>
        <v>0</v>
      </c>
      <c r="I45" s="187">
        <f t="shared" ref="I45:I50" ca="1" si="53">Q45</f>
        <v>0</v>
      </c>
      <c r="J45" s="187">
        <f t="shared" ref="J45:J50" ca="1" si="54">R45</f>
        <v>0</v>
      </c>
      <c r="K45" s="16">
        <f t="shared" ref="K45:K50" ca="1" si="55">SUM(E45:J45)</f>
        <v>1</v>
      </c>
      <c r="L45" s="114"/>
      <c r="M45" s="25">
        <f t="shared" ref="M45:M50" ca="1" si="56">IF(M$42=$D45,$C45,(1-$C45)*M$43/(1-OFFSET($L$43,0,$D45)))</f>
        <v>1</v>
      </c>
      <c r="N45" s="25">
        <f t="shared" ref="N45:R50" ca="1" si="57">IF(N$42=$D45,$C45,(1-$C45)*N$43/(1-OFFSET($L$43,0,$D45)))</f>
        <v>0</v>
      </c>
      <c r="O45" s="25">
        <f t="shared" ca="1" si="57"/>
        <v>0</v>
      </c>
      <c r="P45" s="25">
        <f t="shared" ca="1" si="57"/>
        <v>0</v>
      </c>
      <c r="Q45" s="25">
        <f t="shared" ca="1" si="57"/>
        <v>0</v>
      </c>
      <c r="R45" s="25">
        <f t="shared" ca="1" si="57"/>
        <v>0</v>
      </c>
      <c r="S45" s="185">
        <f t="shared" ref="S45:S50" ca="1" si="58">SUM(M45:R45)</f>
        <v>1</v>
      </c>
    </row>
    <row r="46" spans="2:21" x14ac:dyDescent="0.25">
      <c r="B46" s="145" t="str">
        <f t="shared" si="48"/>
        <v>Inactive</v>
      </c>
      <c r="C46" s="178">
        <v>0.5</v>
      </c>
      <c r="D46" s="34">
        <v>2</v>
      </c>
      <c r="E46" s="187">
        <f t="shared" ca="1" si="49"/>
        <v>6.4933845083070693E-2</v>
      </c>
      <c r="F46" s="187">
        <f t="shared" ca="1" si="50"/>
        <v>0.5</v>
      </c>
      <c r="G46" s="187">
        <f t="shared" ca="1" si="51"/>
        <v>0.26720598490961012</v>
      </c>
      <c r="H46" s="187">
        <f t="shared" ca="1" si="52"/>
        <v>9.0083689119574165E-2</v>
      </c>
      <c r="I46" s="187">
        <f t="shared" ca="1" si="53"/>
        <v>4.2567715069883286E-2</v>
      </c>
      <c r="J46" s="187">
        <f t="shared" ca="1" si="54"/>
        <v>3.5208765817861733E-2</v>
      </c>
      <c r="K46" s="16">
        <f t="shared" ca="1" si="55"/>
        <v>1</v>
      </c>
      <c r="L46" s="114"/>
      <c r="M46" s="25">
        <f t="shared" ca="1" si="56"/>
        <v>6.4933845083070693E-2</v>
      </c>
      <c r="N46" s="25">
        <f t="shared" ca="1" si="57"/>
        <v>0.5</v>
      </c>
      <c r="O46" s="25">
        <f t="shared" ca="1" si="57"/>
        <v>0.26720598490961012</v>
      </c>
      <c r="P46" s="25">
        <f t="shared" ca="1" si="57"/>
        <v>9.0083689119574165E-2</v>
      </c>
      <c r="Q46" s="25">
        <f t="shared" ca="1" si="57"/>
        <v>4.2567715069883286E-2</v>
      </c>
      <c r="R46" s="25">
        <f t="shared" ca="1" si="57"/>
        <v>3.5208765817861733E-2</v>
      </c>
      <c r="S46" s="185">
        <f t="shared" ca="1" si="58"/>
        <v>1</v>
      </c>
    </row>
    <row r="47" spans="2:21" x14ac:dyDescent="0.25">
      <c r="B47" s="145" t="str">
        <f t="shared" si="48"/>
        <v>Careful sex</v>
      </c>
      <c r="C47" s="179">
        <v>0.8</v>
      </c>
      <c r="D47" s="34">
        <v>3</v>
      </c>
      <c r="E47" s="187">
        <f t="shared" ca="1" si="49"/>
        <v>4.6027934103893185E-2</v>
      </c>
      <c r="F47" s="187">
        <f t="shared" ca="1" si="50"/>
        <v>3.498547525326258E-2</v>
      </c>
      <c r="G47" s="187">
        <f t="shared" ca="1" si="51"/>
        <v>0.8</v>
      </c>
      <c r="H47" s="187">
        <f t="shared" ca="1" si="52"/>
        <v>6.3855237608782589E-2</v>
      </c>
      <c r="I47" s="187">
        <f t="shared" ca="1" si="53"/>
        <v>3.0173848194009246E-2</v>
      </c>
      <c r="J47" s="187">
        <f t="shared" ca="1" si="54"/>
        <v>2.4957504840052356E-2</v>
      </c>
      <c r="K47" s="16">
        <f t="shared" ca="1" si="55"/>
        <v>1</v>
      </c>
      <c r="L47" s="114"/>
      <c r="M47" s="25">
        <f t="shared" ca="1" si="56"/>
        <v>4.6027934103893185E-2</v>
      </c>
      <c r="N47" s="25">
        <f t="shared" ca="1" si="57"/>
        <v>3.498547525326258E-2</v>
      </c>
      <c r="O47" s="25">
        <f t="shared" ca="1" si="57"/>
        <v>0.8</v>
      </c>
      <c r="P47" s="25">
        <f t="shared" ca="1" si="57"/>
        <v>6.3855237608782589E-2</v>
      </c>
      <c r="Q47" s="25">
        <f t="shared" ca="1" si="57"/>
        <v>3.0173848194009246E-2</v>
      </c>
      <c r="R47" s="25">
        <f t="shared" ca="1" si="57"/>
        <v>2.4957504840052356E-2</v>
      </c>
      <c r="S47" s="185">
        <f t="shared" ca="1" si="58"/>
        <v>1</v>
      </c>
    </row>
    <row r="48" spans="2:21" x14ac:dyDescent="0.25">
      <c r="B48" s="145" t="str">
        <f t="shared" si="48"/>
        <v>Unsafe Sex</v>
      </c>
      <c r="C48" s="179">
        <v>0.7</v>
      </c>
      <c r="D48" s="34">
        <v>4</v>
      </c>
      <c r="E48" s="187">
        <f t="shared" ca="1" si="49"/>
        <v>4.2415284584021794E-2</v>
      </c>
      <c r="F48" s="187">
        <f t="shared" ca="1" si="50"/>
        <v>3.2239528409528803E-2</v>
      </c>
      <c r="G48" s="187">
        <f t="shared" ca="1" si="51"/>
        <v>0.17454099442279605</v>
      </c>
      <c r="H48" s="187">
        <f t="shared" ca="1" si="52"/>
        <v>0.7</v>
      </c>
      <c r="I48" s="187">
        <f t="shared" ca="1" si="53"/>
        <v>2.7805557278655309E-2</v>
      </c>
      <c r="J48" s="187">
        <f t="shared" ca="1" si="54"/>
        <v>2.2998635304998058E-2</v>
      </c>
      <c r="K48" s="16">
        <f t="shared" ca="1" si="55"/>
        <v>0.99999999999999989</v>
      </c>
      <c r="L48" s="114"/>
      <c r="M48" s="25">
        <f t="shared" ca="1" si="56"/>
        <v>4.2415284584021794E-2</v>
      </c>
      <c r="N48" s="25">
        <f t="shared" ca="1" si="57"/>
        <v>3.2239528409528803E-2</v>
      </c>
      <c r="O48" s="25">
        <f t="shared" ca="1" si="57"/>
        <v>0.17454099442279605</v>
      </c>
      <c r="P48" s="25">
        <f t="shared" ca="1" si="57"/>
        <v>0.7</v>
      </c>
      <c r="Q48" s="25">
        <f t="shared" ca="1" si="57"/>
        <v>2.7805557278655309E-2</v>
      </c>
      <c r="R48" s="25">
        <f t="shared" ca="1" si="57"/>
        <v>2.2998635304998058E-2</v>
      </c>
      <c r="S48" s="185">
        <f t="shared" ca="1" si="58"/>
        <v>0.99999999999999989</v>
      </c>
    </row>
    <row r="49" spans="2:21" s="114" customFormat="1" x14ac:dyDescent="0.25">
      <c r="B49" s="145" t="str">
        <f t="shared" si="48"/>
        <v>Seeking Pregnancy</v>
      </c>
      <c r="C49" s="179">
        <v>1</v>
      </c>
      <c r="D49" s="34">
        <v>5</v>
      </c>
      <c r="E49" s="187">
        <f t="shared" ca="1" si="49"/>
        <v>0</v>
      </c>
      <c r="F49" s="187">
        <f t="shared" ca="1" si="50"/>
        <v>0</v>
      </c>
      <c r="G49" s="187">
        <f t="shared" ca="1" si="51"/>
        <v>0</v>
      </c>
      <c r="H49" s="187">
        <f t="shared" ca="1" si="52"/>
        <v>0</v>
      </c>
      <c r="I49" s="187">
        <f t="shared" ca="1" si="53"/>
        <v>1</v>
      </c>
      <c r="J49" s="187">
        <f t="shared" ca="1" si="54"/>
        <v>0</v>
      </c>
      <c r="K49" s="16">
        <f t="shared" ca="1" si="55"/>
        <v>1</v>
      </c>
      <c r="M49" s="25">
        <f t="shared" ca="1" si="56"/>
        <v>0</v>
      </c>
      <c r="N49" s="25">
        <f t="shared" ca="1" si="57"/>
        <v>0</v>
      </c>
      <c r="O49" s="25">
        <f t="shared" ca="1" si="57"/>
        <v>0</v>
      </c>
      <c r="P49" s="25">
        <f t="shared" ca="1" si="57"/>
        <v>0</v>
      </c>
      <c r="Q49" s="25">
        <f t="shared" ca="1" si="57"/>
        <v>1</v>
      </c>
      <c r="R49" s="25">
        <f t="shared" ca="1" si="57"/>
        <v>0</v>
      </c>
      <c r="S49" s="185">
        <f t="shared" ca="1" si="58"/>
        <v>1</v>
      </c>
    </row>
    <row r="50" spans="2:21" x14ac:dyDescent="0.25">
      <c r="B50" s="145" t="str">
        <f t="shared" si="48"/>
        <v>Pregnant</v>
      </c>
      <c r="C50" s="188">
        <v>0</v>
      </c>
      <c r="D50" s="34">
        <v>6</v>
      </c>
      <c r="E50" s="187">
        <f t="shared" ca="1" si="49"/>
        <v>0.12629433208877899</v>
      </c>
      <c r="F50" s="187">
        <f t="shared" ca="1" si="50"/>
        <v>9.5995341001967216E-2</v>
      </c>
      <c r="G50" s="187">
        <f t="shared" ca="1" si="51"/>
        <v>0.51970742455049612</v>
      </c>
      <c r="H50" s="187">
        <f t="shared" ca="1" si="52"/>
        <v>0.17521000542775508</v>
      </c>
      <c r="I50" s="187">
        <f t="shared" ca="1" si="53"/>
        <v>8.2792896931002585E-2</v>
      </c>
      <c r="J50" s="187">
        <f t="shared" ca="1" si="54"/>
        <v>0</v>
      </c>
      <c r="K50" s="16">
        <f t="shared" ca="1" si="55"/>
        <v>1</v>
      </c>
      <c r="L50" s="114"/>
      <c r="M50" s="25">
        <f t="shared" ca="1" si="56"/>
        <v>0.12629433208877899</v>
      </c>
      <c r="N50" s="25">
        <f t="shared" ca="1" si="57"/>
        <v>9.5995341001967216E-2</v>
      </c>
      <c r="O50" s="25">
        <f t="shared" ca="1" si="57"/>
        <v>0.51970742455049612</v>
      </c>
      <c r="P50" s="25">
        <f t="shared" ca="1" si="57"/>
        <v>0.17521000542775508</v>
      </c>
      <c r="Q50" s="25">
        <f t="shared" ca="1" si="57"/>
        <v>8.2792896931002585E-2</v>
      </c>
      <c r="R50" s="25">
        <f t="shared" ca="1" si="57"/>
        <v>0</v>
      </c>
      <c r="S50" s="185">
        <f t="shared" ca="1" si="58"/>
        <v>1</v>
      </c>
    </row>
    <row r="52" spans="2:21" x14ac:dyDescent="0.25">
      <c r="B52" s="114"/>
      <c r="D52" s="114"/>
      <c r="E52" s="114"/>
      <c r="F52" s="114"/>
      <c r="G52" s="114"/>
      <c r="H52" s="114"/>
      <c r="I52" s="114"/>
      <c r="K52" s="114"/>
      <c r="L52" s="114"/>
      <c r="M52" s="125">
        <v>1</v>
      </c>
      <c r="N52" s="125">
        <v>2</v>
      </c>
      <c r="O52" s="125">
        <v>3</v>
      </c>
      <c r="P52" s="125">
        <v>4</v>
      </c>
      <c r="Q52" s="125">
        <v>5</v>
      </c>
      <c r="R52" s="125">
        <v>6</v>
      </c>
      <c r="S52" s="114"/>
    </row>
    <row r="53" spans="2:21" x14ac:dyDescent="0.25">
      <c r="B53" s="177" t="str">
        <f>"Non-pregnant | "&amp;Parameters!J18</f>
        <v>Non-pregnant | 35-39</v>
      </c>
      <c r="C53" s="177"/>
      <c r="D53" s="180" t="s">
        <v>121</v>
      </c>
      <c r="E53" s="181">
        <f t="array" ref="E53:J53">TRANSPOSE(Parameters!J19:J24)</f>
        <v>0.36130000000000001</v>
      </c>
      <c r="F53" s="181">
        <v>9.9000000000000005E-2</v>
      </c>
      <c r="G53" s="181">
        <v>0.34289999999999998</v>
      </c>
      <c r="H53" s="181">
        <v>0.1197</v>
      </c>
      <c r="I53" s="181">
        <v>5.4100000000000002E-2</v>
      </c>
      <c r="J53" s="181">
        <v>2.3E-2</v>
      </c>
      <c r="K53" s="186">
        <f>SUM(E53:J53)</f>
        <v>1</v>
      </c>
      <c r="L53" s="114"/>
      <c r="M53" s="25">
        <f>E53*ratioSterile</f>
        <v>0.18065000000000001</v>
      </c>
      <c r="N53" s="25">
        <f>F53*$U53</f>
        <v>0.12700117426021607</v>
      </c>
      <c r="O53" s="25">
        <f>G53*$U53</f>
        <v>0.43988588539220291</v>
      </c>
      <c r="P53" s="25">
        <f>H53*$U53</f>
        <v>0.1535559652418976</v>
      </c>
      <c r="Q53" s="25">
        <f>I53*$U53</f>
        <v>6.9401651792703939E-2</v>
      </c>
      <c r="R53" s="25">
        <f>J53*$U53</f>
        <v>2.950532331297949E-2</v>
      </c>
      <c r="S53" s="185">
        <f>SUM(M53:R53)</f>
        <v>1</v>
      </c>
      <c r="T53" s="114"/>
      <c r="U53" s="114">
        <f>(1-E53*ratioSterile)/(1-E53)</f>
        <v>1.2828401440425865</v>
      </c>
    </row>
    <row r="54" spans="2:21" ht="30" x14ac:dyDescent="0.25">
      <c r="B54" s="33"/>
      <c r="C54" s="20" t="s">
        <v>120</v>
      </c>
      <c r="D54" s="20" t="s">
        <v>14</v>
      </c>
      <c r="E54" s="182" t="str">
        <f t="array" ref="E54:J54">TRANSPOSE(B55:B60)</f>
        <v>Sterile</v>
      </c>
      <c r="F54" s="183" t="str">
        <v>Inactive</v>
      </c>
      <c r="G54" s="184" t="str">
        <v>Careful sex</v>
      </c>
      <c r="H54" s="184" t="str">
        <v>Unsafe Sex</v>
      </c>
      <c r="I54" s="184" t="str">
        <v>Seeking Pregnancy</v>
      </c>
      <c r="J54" s="184" t="str">
        <v>Pregnant</v>
      </c>
      <c r="K54" s="14" t="s">
        <v>57</v>
      </c>
      <c r="L54" s="114"/>
      <c r="M54" s="182" t="str">
        <f t="shared" ref="M54:R54" si="59">E54</f>
        <v>Sterile</v>
      </c>
      <c r="N54" s="183" t="str">
        <f t="shared" si="59"/>
        <v>Inactive</v>
      </c>
      <c r="O54" s="184" t="str">
        <f t="shared" si="59"/>
        <v>Careful sex</v>
      </c>
      <c r="P54" s="184" t="str">
        <f t="shared" si="59"/>
        <v>Unsafe Sex</v>
      </c>
      <c r="Q54" s="184" t="str">
        <f t="shared" si="59"/>
        <v>Seeking Pregnancy</v>
      </c>
      <c r="R54" s="184" t="str">
        <f t="shared" si="59"/>
        <v>Pregnant</v>
      </c>
      <c r="S54" s="114"/>
    </row>
    <row r="55" spans="2:21" x14ac:dyDescent="0.25">
      <c r="B55" s="145" t="str">
        <f t="shared" ref="B55:B60" si="60">B45</f>
        <v>Sterile</v>
      </c>
      <c r="C55" s="188">
        <v>1</v>
      </c>
      <c r="D55" s="34">
        <v>1</v>
      </c>
      <c r="E55" s="187">
        <f t="shared" ref="E55:E60" ca="1" si="61">M55</f>
        <v>1</v>
      </c>
      <c r="F55" s="187">
        <f t="shared" ref="F55:F60" ca="1" si="62">N55</f>
        <v>0</v>
      </c>
      <c r="G55" s="187">
        <f t="shared" ref="G55:G60" ca="1" si="63">O55</f>
        <v>0</v>
      </c>
      <c r="H55" s="187">
        <f t="shared" ref="H55:H60" ca="1" si="64">P55</f>
        <v>0</v>
      </c>
      <c r="I55" s="187">
        <f t="shared" ref="I55:I60" ca="1" si="65">Q55</f>
        <v>0</v>
      </c>
      <c r="J55" s="187">
        <f t="shared" ref="J55:J60" ca="1" si="66">R55</f>
        <v>0</v>
      </c>
      <c r="K55" s="16">
        <f t="shared" ref="K55:K60" ca="1" si="67">SUM(E55:J55)</f>
        <v>1</v>
      </c>
      <c r="L55" s="114"/>
      <c r="M55" s="25">
        <f t="shared" ref="M55:M60" ca="1" si="68">IF(M$52=$D55,$C55,(1-$C55)*M$53/(1-OFFSET($L$53,0,$D55)))</f>
        <v>1</v>
      </c>
      <c r="N55" s="25">
        <f t="shared" ref="N55:R60" ca="1" si="69">IF(N$52=$D55,$C55,(1-$C55)*N$53/(1-OFFSET($L$53,0,$D55)))</f>
        <v>0</v>
      </c>
      <c r="O55" s="25">
        <f t="shared" ca="1" si="69"/>
        <v>0</v>
      </c>
      <c r="P55" s="25">
        <f t="shared" ca="1" si="69"/>
        <v>0</v>
      </c>
      <c r="Q55" s="25">
        <f t="shared" ca="1" si="69"/>
        <v>0</v>
      </c>
      <c r="R55" s="25">
        <f t="shared" ca="1" si="69"/>
        <v>0</v>
      </c>
      <c r="S55" s="185">
        <f t="shared" ref="S55:S60" ca="1" si="70">SUM(M55:R55)</f>
        <v>1</v>
      </c>
    </row>
    <row r="56" spans="2:21" x14ac:dyDescent="0.25">
      <c r="B56" s="145" t="str">
        <f t="shared" si="60"/>
        <v>Inactive</v>
      </c>
      <c r="C56" s="178">
        <v>0.7</v>
      </c>
      <c r="D56" s="34">
        <v>2</v>
      </c>
      <c r="E56" s="187">
        <f t="shared" ca="1" si="61"/>
        <v>6.207912130245407E-2</v>
      </c>
      <c r="F56" s="187">
        <f t="shared" ca="1" si="62"/>
        <v>0.7</v>
      </c>
      <c r="G56" s="187">
        <f t="shared" ca="1" si="63"/>
        <v>0.1511637378272902</v>
      </c>
      <c r="H56" s="187">
        <f t="shared" ca="1" si="64"/>
        <v>5.2768443913463504E-2</v>
      </c>
      <c r="I56" s="187">
        <f t="shared" ca="1" si="65"/>
        <v>2.384939695671158E-2</v>
      </c>
      <c r="J56" s="187">
        <f t="shared" ca="1" si="66"/>
        <v>1.0139300000080708E-2</v>
      </c>
      <c r="K56" s="16">
        <f t="shared" ca="1" si="67"/>
        <v>1</v>
      </c>
      <c r="L56" s="114"/>
      <c r="M56" s="25">
        <f t="shared" ca="1" si="68"/>
        <v>6.207912130245407E-2</v>
      </c>
      <c r="N56" s="25">
        <f t="shared" ca="1" si="69"/>
        <v>0.7</v>
      </c>
      <c r="O56" s="25">
        <f t="shared" ca="1" si="69"/>
        <v>0.1511637378272902</v>
      </c>
      <c r="P56" s="25">
        <f t="shared" ca="1" si="69"/>
        <v>5.2768443913463504E-2</v>
      </c>
      <c r="Q56" s="25">
        <f t="shared" ca="1" si="69"/>
        <v>2.384939695671158E-2</v>
      </c>
      <c r="R56" s="25">
        <f t="shared" ca="1" si="69"/>
        <v>1.0139300000080708E-2</v>
      </c>
      <c r="S56" s="185">
        <f t="shared" ca="1" si="70"/>
        <v>1</v>
      </c>
    </row>
    <row r="57" spans="2:21" x14ac:dyDescent="0.25">
      <c r="B57" s="145" t="str">
        <f t="shared" si="60"/>
        <v>Careful sex</v>
      </c>
      <c r="C57" s="179">
        <v>0.85</v>
      </c>
      <c r="D57" s="34">
        <v>3</v>
      </c>
      <c r="E57" s="187">
        <f t="shared" ca="1" si="61"/>
        <v>4.8378534468773757E-2</v>
      </c>
      <c r="F57" s="187">
        <f t="shared" ca="1" si="62"/>
        <v>3.4011240999294798E-2</v>
      </c>
      <c r="G57" s="187">
        <f t="shared" ca="1" si="63"/>
        <v>0.85</v>
      </c>
      <c r="H57" s="187">
        <f t="shared" ca="1" si="64"/>
        <v>4.1122682299147346E-2</v>
      </c>
      <c r="I57" s="187">
        <f t="shared" ca="1" si="65"/>
        <v>1.8585940788503525E-2</v>
      </c>
      <c r="J57" s="187">
        <f t="shared" ca="1" si="66"/>
        <v>7.90160144428061E-3</v>
      </c>
      <c r="K57" s="16">
        <f t="shared" ca="1" si="67"/>
        <v>1</v>
      </c>
      <c r="L57" s="114"/>
      <c r="M57" s="25">
        <f t="shared" ca="1" si="68"/>
        <v>4.8378534468773757E-2</v>
      </c>
      <c r="N57" s="25">
        <f t="shared" ca="1" si="69"/>
        <v>3.4011240999294798E-2</v>
      </c>
      <c r="O57" s="25">
        <f t="shared" ca="1" si="69"/>
        <v>0.85</v>
      </c>
      <c r="P57" s="25">
        <f t="shared" ca="1" si="69"/>
        <v>4.1122682299147346E-2</v>
      </c>
      <c r="Q57" s="25">
        <f t="shared" ca="1" si="69"/>
        <v>1.8585940788503525E-2</v>
      </c>
      <c r="R57" s="25">
        <f t="shared" ca="1" si="69"/>
        <v>7.90160144428061E-3</v>
      </c>
      <c r="S57" s="185">
        <f t="shared" ca="1" si="70"/>
        <v>1</v>
      </c>
    </row>
    <row r="58" spans="2:21" x14ac:dyDescent="0.25">
      <c r="B58" s="145" t="str">
        <f t="shared" si="60"/>
        <v>Unsafe Sex</v>
      </c>
      <c r="C58" s="179">
        <v>0.7</v>
      </c>
      <c r="D58" s="34">
        <v>4</v>
      </c>
      <c r="E58" s="187">
        <f t="shared" ca="1" si="61"/>
        <v>6.4026678403478754E-2</v>
      </c>
      <c r="F58" s="187">
        <f t="shared" ca="1" si="62"/>
        <v>4.5012252096446263E-2</v>
      </c>
      <c r="G58" s="187">
        <f t="shared" ca="1" si="63"/>
        <v>0.15590607317041844</v>
      </c>
      <c r="H58" s="187">
        <f t="shared" ca="1" si="64"/>
        <v>0.7</v>
      </c>
      <c r="I58" s="187">
        <f t="shared" ca="1" si="65"/>
        <v>2.4597604428462053E-2</v>
      </c>
      <c r="J58" s="187">
        <f t="shared" ca="1" si="66"/>
        <v>1.0457391901194586E-2</v>
      </c>
      <c r="K58" s="16">
        <f t="shared" ca="1" si="67"/>
        <v>1</v>
      </c>
      <c r="L58" s="114"/>
      <c r="M58" s="25">
        <f t="shared" ca="1" si="68"/>
        <v>6.4026678403478754E-2</v>
      </c>
      <c r="N58" s="25">
        <f t="shared" ca="1" si="69"/>
        <v>4.5012252096446263E-2</v>
      </c>
      <c r="O58" s="25">
        <f t="shared" ca="1" si="69"/>
        <v>0.15590607317041844</v>
      </c>
      <c r="P58" s="25">
        <f t="shared" ca="1" si="69"/>
        <v>0.7</v>
      </c>
      <c r="Q58" s="25">
        <f t="shared" ca="1" si="69"/>
        <v>2.4597604428462053E-2</v>
      </c>
      <c r="R58" s="25">
        <f t="shared" ca="1" si="69"/>
        <v>1.0457391901194586E-2</v>
      </c>
      <c r="S58" s="185">
        <f t="shared" ca="1" si="70"/>
        <v>1</v>
      </c>
    </row>
    <row r="59" spans="2:21" s="114" customFormat="1" x14ac:dyDescent="0.25">
      <c r="B59" s="145" t="str">
        <f t="shared" si="60"/>
        <v>Seeking Pregnancy</v>
      </c>
      <c r="C59" s="179">
        <v>1</v>
      </c>
      <c r="D59" s="34">
        <v>5</v>
      </c>
      <c r="E59" s="187">
        <f t="shared" ca="1" si="61"/>
        <v>0</v>
      </c>
      <c r="F59" s="187">
        <f t="shared" ca="1" si="62"/>
        <v>0</v>
      </c>
      <c r="G59" s="187">
        <f t="shared" ca="1" si="63"/>
        <v>0</v>
      </c>
      <c r="H59" s="187">
        <f t="shared" ca="1" si="64"/>
        <v>0</v>
      </c>
      <c r="I59" s="187">
        <f t="shared" ca="1" si="65"/>
        <v>1</v>
      </c>
      <c r="J59" s="187">
        <f t="shared" ca="1" si="66"/>
        <v>0</v>
      </c>
      <c r="K59" s="16">
        <f t="shared" ca="1" si="67"/>
        <v>1</v>
      </c>
      <c r="M59" s="25">
        <f t="shared" ca="1" si="68"/>
        <v>0</v>
      </c>
      <c r="N59" s="25">
        <f t="shared" ca="1" si="69"/>
        <v>0</v>
      </c>
      <c r="O59" s="25">
        <f t="shared" ca="1" si="69"/>
        <v>0</v>
      </c>
      <c r="P59" s="25">
        <f t="shared" ca="1" si="69"/>
        <v>0</v>
      </c>
      <c r="Q59" s="25">
        <f t="shared" ca="1" si="69"/>
        <v>1</v>
      </c>
      <c r="R59" s="25">
        <f t="shared" ca="1" si="69"/>
        <v>0</v>
      </c>
      <c r="S59" s="185">
        <f t="shared" ca="1" si="70"/>
        <v>1</v>
      </c>
    </row>
    <row r="60" spans="2:21" x14ac:dyDescent="0.25">
      <c r="B60" s="145" t="str">
        <f t="shared" si="60"/>
        <v>Pregnant</v>
      </c>
      <c r="C60" s="188">
        <v>0</v>
      </c>
      <c r="D60" s="34">
        <v>6</v>
      </c>
      <c r="E60" s="187">
        <f t="shared" ca="1" si="61"/>
        <v>0.18614218536126881</v>
      </c>
      <c r="F60" s="187">
        <f t="shared" ca="1" si="62"/>
        <v>0.13086230899664511</v>
      </c>
      <c r="G60" s="187">
        <f t="shared" ca="1" si="63"/>
        <v>0.45325945207019802</v>
      </c>
      <c r="H60" s="187">
        <f t="shared" ca="1" si="64"/>
        <v>0.15822442815048907</v>
      </c>
      <c r="I60" s="187">
        <f t="shared" ca="1" si="65"/>
        <v>7.1511625421398994E-2</v>
      </c>
      <c r="J60" s="187">
        <f t="shared" ca="1" si="66"/>
        <v>0</v>
      </c>
      <c r="K60" s="16">
        <f t="shared" ca="1" si="67"/>
        <v>1</v>
      </c>
      <c r="L60" s="114"/>
      <c r="M60" s="25">
        <f t="shared" ca="1" si="68"/>
        <v>0.18614218536126881</v>
      </c>
      <c r="N60" s="25">
        <f t="shared" ca="1" si="69"/>
        <v>0.13086230899664511</v>
      </c>
      <c r="O60" s="25">
        <f t="shared" ca="1" si="69"/>
        <v>0.45325945207019802</v>
      </c>
      <c r="P60" s="25">
        <f t="shared" ca="1" si="69"/>
        <v>0.15822442815048907</v>
      </c>
      <c r="Q60" s="25">
        <f t="shared" ca="1" si="69"/>
        <v>7.1511625421398994E-2</v>
      </c>
      <c r="R60" s="25">
        <f t="shared" ca="1" si="69"/>
        <v>0</v>
      </c>
      <c r="S60" s="185">
        <f t="shared" ca="1" si="70"/>
        <v>1</v>
      </c>
    </row>
    <row r="62" spans="2:21" x14ac:dyDescent="0.25">
      <c r="B62" s="114"/>
      <c r="D62" s="114"/>
      <c r="E62" s="114"/>
      <c r="F62" s="114"/>
      <c r="G62" s="114"/>
      <c r="H62" s="114"/>
      <c r="I62" s="114"/>
      <c r="K62" s="114"/>
      <c r="L62" s="114"/>
      <c r="M62" s="125">
        <v>1</v>
      </c>
      <c r="N62" s="125">
        <v>2</v>
      </c>
      <c r="O62" s="125">
        <v>3</v>
      </c>
      <c r="P62" s="125">
        <v>4</v>
      </c>
      <c r="Q62" s="125">
        <v>5</v>
      </c>
      <c r="R62" s="125">
        <v>6</v>
      </c>
      <c r="S62" s="114"/>
    </row>
    <row r="63" spans="2:21" x14ac:dyDescent="0.25">
      <c r="B63" s="177" t="str">
        <f>"Non-pregnant | "&amp;Parameters!K18</f>
        <v>Non-pregnant | 40-44</v>
      </c>
      <c r="C63" s="177"/>
      <c r="D63" s="180" t="s">
        <v>121</v>
      </c>
      <c r="E63" s="181">
        <f t="array" ref="E63:J63">TRANSPOSE(Parameters!K19:K24)</f>
        <v>0.51859999999999995</v>
      </c>
      <c r="F63" s="181">
        <v>0.1014</v>
      </c>
      <c r="G63" s="181">
        <v>0.22589999999999999</v>
      </c>
      <c r="H63" s="181">
        <v>9.11E-2</v>
      </c>
      <c r="I63" s="181">
        <v>5.6500000000000002E-2</v>
      </c>
      <c r="J63" s="181">
        <v>6.4999999999999997E-3</v>
      </c>
      <c r="K63" s="186">
        <f>SUM(E63:J63)</f>
        <v>0.99999999999999989</v>
      </c>
      <c r="L63" s="114"/>
      <c r="M63" s="25">
        <f>E63*ratioSterile*1.5</f>
        <v>0.38894999999999996</v>
      </c>
      <c r="N63" s="25">
        <f>F63*$U63</f>
        <v>0.15601782301620273</v>
      </c>
      <c r="O63" s="25">
        <f>G63*$U63</f>
        <v>0.34757816784378887</v>
      </c>
      <c r="P63" s="25">
        <f>H63*$U63</f>
        <v>0.14016985874532611</v>
      </c>
      <c r="Q63" s="25">
        <f>I63*$U63</f>
        <v>8.6933007893643527E-2</v>
      </c>
      <c r="R63" s="25">
        <f>J63*$U63</f>
        <v>1.0001142501038635E-2</v>
      </c>
      <c r="S63" s="185">
        <f>SUM(M63:R63)</f>
        <v>1.1296499999999998</v>
      </c>
      <c r="T63" s="114"/>
      <c r="U63" s="114">
        <f>(1-E63*ratioSterile)/(1-E63)</f>
        <v>1.5386373078520978</v>
      </c>
    </row>
    <row r="64" spans="2:21" ht="30" x14ac:dyDescent="0.25">
      <c r="B64" s="33"/>
      <c r="C64" s="20" t="s">
        <v>120</v>
      </c>
      <c r="D64" s="20" t="s">
        <v>14</v>
      </c>
      <c r="E64" s="182" t="str">
        <f t="array" ref="E64:J64">TRANSPOSE(B65:B70)</f>
        <v>Sterile</v>
      </c>
      <c r="F64" s="183" t="str">
        <v>Inactive</v>
      </c>
      <c r="G64" s="184" t="str">
        <v>Careful sex</v>
      </c>
      <c r="H64" s="184" t="str">
        <v>Unsafe Sex</v>
      </c>
      <c r="I64" s="184" t="str">
        <v>Seeking Pregnancy</v>
      </c>
      <c r="J64" s="184" t="str">
        <v>Pregnant</v>
      </c>
      <c r="K64" s="14" t="s">
        <v>57</v>
      </c>
      <c r="L64" s="114"/>
      <c r="M64" s="182" t="str">
        <f t="shared" ref="M64:R64" si="71">E64</f>
        <v>Sterile</v>
      </c>
      <c r="N64" s="183" t="str">
        <f t="shared" si="71"/>
        <v>Inactive</v>
      </c>
      <c r="O64" s="184" t="str">
        <f t="shared" si="71"/>
        <v>Careful sex</v>
      </c>
      <c r="P64" s="184" t="str">
        <f t="shared" si="71"/>
        <v>Unsafe Sex</v>
      </c>
      <c r="Q64" s="184" t="str">
        <f t="shared" si="71"/>
        <v>Seeking Pregnancy</v>
      </c>
      <c r="R64" s="184" t="str">
        <f t="shared" si="71"/>
        <v>Pregnant</v>
      </c>
      <c r="S64" s="114"/>
    </row>
    <row r="65" spans="2:19" x14ac:dyDescent="0.25">
      <c r="B65" s="145" t="str">
        <f t="shared" ref="B65:B70" si="72">B55</f>
        <v>Sterile</v>
      </c>
      <c r="C65" s="188">
        <v>1</v>
      </c>
      <c r="D65" s="34">
        <v>1</v>
      </c>
      <c r="E65" s="187">
        <f t="shared" ref="E65:E70" ca="1" si="73">M65</f>
        <v>1</v>
      </c>
      <c r="F65" s="187">
        <f t="shared" ref="F65:F70" ca="1" si="74">N65</f>
        <v>0</v>
      </c>
      <c r="G65" s="187">
        <f t="shared" ref="G65:G70" ca="1" si="75">O65</f>
        <v>0</v>
      </c>
      <c r="H65" s="187">
        <f t="shared" ref="H65:H70" ca="1" si="76">P65</f>
        <v>0</v>
      </c>
      <c r="I65" s="187">
        <f t="shared" ref="I65:I70" ca="1" si="77">Q65</f>
        <v>0</v>
      </c>
      <c r="J65" s="187">
        <f t="shared" ref="J65:J70" ca="1" si="78">R65</f>
        <v>0</v>
      </c>
      <c r="K65" s="16">
        <f t="shared" ref="K65:K70" ca="1" si="79">SUM(E65:J65)</f>
        <v>1</v>
      </c>
      <c r="L65" s="114"/>
      <c r="M65" s="25">
        <f t="shared" ref="M65:M70" ca="1" si="80">IF(M$62=$D65,$C65,(1-$C65)*M$63/(1-OFFSET($L$63,0,$D65)))</f>
        <v>1</v>
      </c>
      <c r="N65" s="25">
        <f t="shared" ref="N65:R70" ca="1" si="81">IF(N$62=$D65,$C65,(1-$C65)*N$63/(1-OFFSET($L$63,0,$D65)))</f>
        <v>0</v>
      </c>
      <c r="O65" s="25">
        <f t="shared" ca="1" si="81"/>
        <v>0</v>
      </c>
      <c r="P65" s="25">
        <f t="shared" ca="1" si="81"/>
        <v>0</v>
      </c>
      <c r="Q65" s="25">
        <f t="shared" ca="1" si="81"/>
        <v>0</v>
      </c>
      <c r="R65" s="25">
        <f t="shared" ca="1" si="81"/>
        <v>0</v>
      </c>
      <c r="S65" s="185">
        <f t="shared" ref="S65:S70" ca="1" si="82">SUM(M65:R65)</f>
        <v>1</v>
      </c>
    </row>
    <row r="66" spans="2:19" x14ac:dyDescent="0.25">
      <c r="B66" s="145" t="str">
        <f t="shared" si="72"/>
        <v>Inactive</v>
      </c>
      <c r="C66" s="178">
        <v>0.5</v>
      </c>
      <c r="D66" s="34">
        <v>2</v>
      </c>
      <c r="E66" s="187">
        <f t="shared" ca="1" si="73"/>
        <v>0.2304254820818728</v>
      </c>
      <c r="F66" s="187">
        <f t="shared" ca="1" si="74"/>
        <v>0.5</v>
      </c>
      <c r="G66" s="187">
        <f t="shared" ca="1" si="75"/>
        <v>0.2059155852591314</v>
      </c>
      <c r="H66" s="187">
        <f t="shared" ca="1" si="76"/>
        <v>8.3040769442704165E-2</v>
      </c>
      <c r="I66" s="187">
        <f t="shared" ca="1" si="77"/>
        <v>5.1501684670831896E-2</v>
      </c>
      <c r="J66" s="187">
        <f t="shared" ca="1" si="78"/>
        <v>5.9249725727505715E-3</v>
      </c>
      <c r="K66" s="16">
        <f t="shared" ca="1" si="79"/>
        <v>1.0768084940272908</v>
      </c>
      <c r="L66" s="114"/>
      <c r="M66" s="25">
        <f t="shared" ca="1" si="80"/>
        <v>0.2304254820818728</v>
      </c>
      <c r="N66" s="25">
        <f t="shared" ca="1" si="81"/>
        <v>0.5</v>
      </c>
      <c r="O66" s="25">
        <f t="shared" ca="1" si="81"/>
        <v>0.2059155852591314</v>
      </c>
      <c r="P66" s="25">
        <f t="shared" ca="1" si="81"/>
        <v>8.3040769442704165E-2</v>
      </c>
      <c r="Q66" s="25">
        <f t="shared" ca="1" si="81"/>
        <v>5.1501684670831896E-2</v>
      </c>
      <c r="R66" s="25">
        <f t="shared" ca="1" si="81"/>
        <v>5.9249725727505715E-3</v>
      </c>
      <c r="S66" s="185">
        <f t="shared" ca="1" si="82"/>
        <v>1.0768084940272908</v>
      </c>
    </row>
    <row r="67" spans="2:19" x14ac:dyDescent="0.25">
      <c r="B67" s="145" t="str">
        <f t="shared" si="72"/>
        <v>Careful sex</v>
      </c>
      <c r="C67" s="179">
        <v>0.7</v>
      </c>
      <c r="D67" s="34">
        <v>3</v>
      </c>
      <c r="E67" s="187">
        <f t="shared" ca="1" si="73"/>
        <v>0.1788490118645536</v>
      </c>
      <c r="F67" s="187">
        <f t="shared" ca="1" si="74"/>
        <v>7.1740926802176808E-2</v>
      </c>
      <c r="G67" s="187">
        <f t="shared" ca="1" si="75"/>
        <v>0.7</v>
      </c>
      <c r="H67" s="187">
        <f t="shared" ca="1" si="76"/>
        <v>6.4453633448504008E-2</v>
      </c>
      <c r="I67" s="187">
        <f t="shared" ca="1" si="77"/>
        <v>3.9973987813836181E-2</v>
      </c>
      <c r="J67" s="187">
        <f t="shared" ca="1" si="78"/>
        <v>4.5987773591138967E-3</v>
      </c>
      <c r="K67" s="16">
        <f t="shared" ca="1" si="79"/>
        <v>1.0596163372881844</v>
      </c>
      <c r="L67" s="114"/>
      <c r="M67" s="25">
        <f t="shared" ca="1" si="80"/>
        <v>0.1788490118645536</v>
      </c>
      <c r="N67" s="25">
        <f t="shared" ca="1" si="81"/>
        <v>7.1740926802176808E-2</v>
      </c>
      <c r="O67" s="25">
        <f t="shared" ca="1" si="81"/>
        <v>0.7</v>
      </c>
      <c r="P67" s="25">
        <f t="shared" ca="1" si="81"/>
        <v>6.4453633448504008E-2</v>
      </c>
      <c r="Q67" s="25">
        <f t="shared" ca="1" si="81"/>
        <v>3.9973987813836181E-2</v>
      </c>
      <c r="R67" s="25">
        <f t="shared" ca="1" si="81"/>
        <v>4.5987773591138967E-3</v>
      </c>
      <c r="S67" s="185">
        <f t="shared" ca="1" si="82"/>
        <v>1.0596163372881844</v>
      </c>
    </row>
    <row r="68" spans="2:19" x14ac:dyDescent="0.25">
      <c r="B68" s="145" t="str">
        <f t="shared" si="72"/>
        <v>Unsafe Sex</v>
      </c>
      <c r="C68" s="179">
        <v>0.7</v>
      </c>
      <c r="D68" s="34">
        <v>4</v>
      </c>
      <c r="E68" s="187">
        <f t="shared" ca="1" si="73"/>
        <v>0.13570703607776757</v>
      </c>
      <c r="F68" s="187">
        <f t="shared" ca="1" si="74"/>
        <v>5.4435573561729227E-2</v>
      </c>
      <c r="G68" s="187">
        <f t="shared" ca="1" si="75"/>
        <v>0.12127215056799437</v>
      </c>
      <c r="H68" s="187">
        <f t="shared" ca="1" si="76"/>
        <v>0.7</v>
      </c>
      <c r="I68" s="187">
        <f t="shared" ca="1" si="77"/>
        <v>3.0331458641397444E-2</v>
      </c>
      <c r="J68" s="187">
        <f t="shared" ca="1" si="78"/>
        <v>3.489459843700591E-3</v>
      </c>
      <c r="K68" s="16">
        <f t="shared" ca="1" si="79"/>
        <v>1.0452356786925889</v>
      </c>
      <c r="L68" s="114"/>
      <c r="M68" s="25">
        <f t="shared" ca="1" si="80"/>
        <v>0.13570703607776757</v>
      </c>
      <c r="N68" s="25">
        <f t="shared" ca="1" si="81"/>
        <v>5.4435573561729227E-2</v>
      </c>
      <c r="O68" s="25">
        <f t="shared" ca="1" si="81"/>
        <v>0.12127215056799437</v>
      </c>
      <c r="P68" s="25">
        <f t="shared" ca="1" si="81"/>
        <v>0.7</v>
      </c>
      <c r="Q68" s="25">
        <f t="shared" ca="1" si="81"/>
        <v>3.0331458641397444E-2</v>
      </c>
      <c r="R68" s="25">
        <f t="shared" ca="1" si="81"/>
        <v>3.489459843700591E-3</v>
      </c>
      <c r="S68" s="185">
        <f t="shared" ca="1" si="82"/>
        <v>1.0452356786925889</v>
      </c>
    </row>
    <row r="69" spans="2:19" s="114" customFormat="1" x14ac:dyDescent="0.25">
      <c r="B69" s="145" t="str">
        <f t="shared" si="72"/>
        <v>Seeking Pregnancy</v>
      </c>
      <c r="C69" s="179">
        <v>1</v>
      </c>
      <c r="D69" s="34">
        <v>5</v>
      </c>
      <c r="E69" s="187">
        <f t="shared" ca="1" si="73"/>
        <v>0</v>
      </c>
      <c r="F69" s="187">
        <f t="shared" ca="1" si="74"/>
        <v>0</v>
      </c>
      <c r="G69" s="187">
        <f t="shared" ca="1" si="75"/>
        <v>0</v>
      </c>
      <c r="H69" s="187">
        <f t="shared" ca="1" si="76"/>
        <v>0</v>
      </c>
      <c r="I69" s="187">
        <f t="shared" ca="1" si="77"/>
        <v>1</v>
      </c>
      <c r="J69" s="187">
        <f t="shared" ca="1" si="78"/>
        <v>0</v>
      </c>
      <c r="K69" s="16">
        <f t="shared" ca="1" si="79"/>
        <v>1</v>
      </c>
      <c r="M69" s="25">
        <f t="shared" ca="1" si="80"/>
        <v>0</v>
      </c>
      <c r="N69" s="25">
        <f t="shared" ca="1" si="81"/>
        <v>0</v>
      </c>
      <c r="O69" s="25">
        <f t="shared" ca="1" si="81"/>
        <v>0</v>
      </c>
      <c r="P69" s="25">
        <f t="shared" ca="1" si="81"/>
        <v>0</v>
      </c>
      <c r="Q69" s="25">
        <f t="shared" ca="1" si="81"/>
        <v>1</v>
      </c>
      <c r="R69" s="25">
        <f t="shared" ca="1" si="81"/>
        <v>0</v>
      </c>
      <c r="S69" s="185">
        <f t="shared" ca="1" si="82"/>
        <v>1</v>
      </c>
    </row>
    <row r="70" spans="2:19" x14ac:dyDescent="0.25">
      <c r="B70" s="145" t="str">
        <f t="shared" si="72"/>
        <v>Pregnant</v>
      </c>
      <c r="C70" s="188">
        <v>0</v>
      </c>
      <c r="D70" s="34">
        <v>6</v>
      </c>
      <c r="E70" s="187">
        <f t="shared" ca="1" si="73"/>
        <v>0.39287924127771839</v>
      </c>
      <c r="F70" s="187">
        <f t="shared" ca="1" si="74"/>
        <v>0.15759394249236941</v>
      </c>
      <c r="G70" s="187">
        <f t="shared" ca="1" si="75"/>
        <v>0.35108946359986432</v>
      </c>
      <c r="H70" s="187">
        <f t="shared" ca="1" si="76"/>
        <v>0.14158587930034372</v>
      </c>
      <c r="I70" s="187">
        <f t="shared" ca="1" si="77"/>
        <v>8.7811220422276834E-2</v>
      </c>
      <c r="J70" s="187">
        <f t="shared" ca="1" si="78"/>
        <v>0</v>
      </c>
      <c r="K70" s="16">
        <f t="shared" ca="1" si="79"/>
        <v>1.1309597470925725</v>
      </c>
      <c r="L70" s="114"/>
      <c r="M70" s="25">
        <f t="shared" ca="1" si="80"/>
        <v>0.39287924127771839</v>
      </c>
      <c r="N70" s="25">
        <f t="shared" ca="1" si="81"/>
        <v>0.15759394249236941</v>
      </c>
      <c r="O70" s="25">
        <f t="shared" ca="1" si="81"/>
        <v>0.35108946359986432</v>
      </c>
      <c r="P70" s="25">
        <f t="shared" ca="1" si="81"/>
        <v>0.14158587930034372</v>
      </c>
      <c r="Q70" s="25">
        <f t="shared" ca="1" si="81"/>
        <v>8.7811220422276834E-2</v>
      </c>
      <c r="R70" s="25">
        <f t="shared" ca="1" si="81"/>
        <v>0</v>
      </c>
      <c r="S70" s="185">
        <f t="shared" ca="1" si="82"/>
        <v>1.1309597470925725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utcomes">
    <tabColor theme="5" tint="0.59999389629810485"/>
  </sheetPr>
  <dimension ref="A1:DC113"/>
  <sheetViews>
    <sheetView showGridLines="0" topLeftCell="AU1" zoomScale="90" zoomScaleNormal="90" workbookViewId="0">
      <selection activeCell="AW14" sqref="AW14"/>
    </sheetView>
  </sheetViews>
  <sheetFormatPr defaultColWidth="9" defaultRowHeight="15" x14ac:dyDescent="0.25"/>
  <cols>
    <col min="1" max="1" width="9" style="23"/>
    <col min="2" max="8" width="9.140625" style="21"/>
    <col min="9" max="9" width="3.85546875" style="23" customWidth="1"/>
    <col min="10" max="10" width="8.140625" style="23" customWidth="1"/>
    <col min="11" max="16" width="9" style="23"/>
    <col min="17" max="17" width="10.140625" style="23" customWidth="1"/>
    <col min="18" max="19" width="9" style="23"/>
    <col min="20" max="20" width="3" style="23" customWidth="1"/>
    <col min="21" max="24" width="9" style="23"/>
    <col min="25" max="26" width="11.140625" style="23" customWidth="1"/>
    <col min="27" max="27" width="9" style="23"/>
    <col min="28" max="28" width="4.28515625" style="23" customWidth="1"/>
    <col min="29" max="37" width="9" style="23"/>
    <col min="38" max="38" width="4.85546875" style="23" customWidth="1"/>
    <col min="39" max="39" width="9" style="23"/>
    <col min="40" max="40" width="5" style="23" customWidth="1"/>
    <col min="41" max="47" width="9" style="23"/>
    <col min="48" max="48" width="4.28515625" style="23" customWidth="1"/>
    <col min="49" max="49" width="15.140625" style="23" customWidth="1"/>
    <col min="50" max="50" width="4.28515625" style="23" customWidth="1"/>
    <col min="51" max="59" width="9" style="23"/>
    <col min="60" max="60" width="3.42578125" style="23" customWidth="1"/>
    <col min="61" max="61" width="13.85546875" style="23" customWidth="1"/>
    <col min="62" max="62" width="4.28515625" style="23" customWidth="1"/>
    <col min="63" max="63" width="12.140625" style="23" customWidth="1"/>
    <col min="64" max="65" width="14.28515625" style="23" customWidth="1"/>
    <col min="66" max="66" width="15" style="23" customWidth="1"/>
    <col min="67" max="67" width="12.5703125" style="23" customWidth="1"/>
    <col min="68" max="68" width="6.85546875" style="23" customWidth="1"/>
    <col min="69" max="69" width="10.42578125" style="23" customWidth="1"/>
    <col min="70" max="70" width="6.85546875" style="23" customWidth="1"/>
    <col min="71" max="75" width="9" style="23"/>
    <col min="76" max="76" width="11.140625" style="23" customWidth="1"/>
    <col min="77" max="88" width="9" style="23"/>
    <col min="89" max="89" width="4.28515625" style="23" customWidth="1"/>
    <col min="90" max="99" width="9" style="23"/>
    <col min="100" max="100" width="20.42578125" style="23" customWidth="1"/>
    <col min="101" max="16384" width="9" style="23"/>
  </cols>
  <sheetData>
    <row r="1" spans="1:107" ht="38.25" customHeight="1" x14ac:dyDescent="0.25">
      <c r="B1" s="73" t="s">
        <v>15</v>
      </c>
      <c r="C1" s="73"/>
      <c r="K1" s="69" t="s">
        <v>46</v>
      </c>
      <c r="L1" s="69"/>
      <c r="M1" s="69"/>
      <c r="N1" s="69"/>
      <c r="O1" s="69"/>
      <c r="P1" s="69"/>
      <c r="Q1" s="69"/>
      <c r="R1" s="69"/>
      <c r="U1" s="69" t="s">
        <v>125</v>
      </c>
      <c r="V1" s="69"/>
      <c r="W1" s="69"/>
      <c r="X1" s="69"/>
      <c r="Y1" s="69"/>
      <c r="Z1" s="69"/>
      <c r="AA1" s="69"/>
      <c r="AD1" s="69" t="s">
        <v>136</v>
      </c>
      <c r="AE1" s="69"/>
      <c r="AF1" s="69"/>
      <c r="AG1" s="69"/>
      <c r="AH1" s="69"/>
      <c r="AM1" s="76"/>
      <c r="AN1" s="85" t="s">
        <v>64</v>
      </c>
      <c r="AO1" s="85"/>
      <c r="AP1" s="85"/>
      <c r="AQ1" s="85"/>
      <c r="AR1" s="85"/>
      <c r="AS1" s="76"/>
      <c r="AT1" s="76"/>
      <c r="AU1" s="76"/>
      <c r="AW1" s="76"/>
      <c r="AZ1" s="69" t="s">
        <v>99</v>
      </c>
      <c r="BA1" s="69"/>
      <c r="BB1" s="69"/>
      <c r="BC1" s="69"/>
      <c r="BD1" s="69"/>
      <c r="BI1" s="76"/>
      <c r="BQ1" s="76"/>
      <c r="BS1" s="76"/>
      <c r="BT1" s="85" t="s">
        <v>109</v>
      </c>
      <c r="BU1" s="85"/>
      <c r="BV1" s="85"/>
      <c r="BW1" s="85"/>
      <c r="BX1" s="85"/>
      <c r="BY1" s="85"/>
      <c r="BZ1" s="76"/>
      <c r="CA1" s="76"/>
      <c r="CB1" s="76"/>
      <c r="CC1" s="85" t="s">
        <v>80</v>
      </c>
      <c r="CD1" s="85"/>
      <c r="CE1" s="85"/>
      <c r="CF1" s="85"/>
      <c r="CG1" s="85"/>
      <c r="CH1" s="76"/>
      <c r="CI1" s="76"/>
      <c r="CJ1" s="76"/>
      <c r="CM1" s="69" t="s">
        <v>80</v>
      </c>
      <c r="CN1" s="69"/>
      <c r="CO1" s="69"/>
      <c r="CP1" s="69"/>
      <c r="CQ1" s="69"/>
      <c r="CV1" s="69" t="s">
        <v>56</v>
      </c>
      <c r="CW1" s="41"/>
      <c r="CX1" s="41"/>
      <c r="CY1" s="41"/>
      <c r="CZ1" s="41"/>
      <c r="DA1" s="41"/>
      <c r="DB1" s="41"/>
      <c r="DC1" s="41"/>
    </row>
    <row r="2" spans="1:107" ht="60" x14ac:dyDescent="0.25">
      <c r="A2" s="69"/>
      <c r="B2" s="74" t="s">
        <v>43</v>
      </c>
      <c r="C2" s="20" t="s">
        <v>16</v>
      </c>
      <c r="D2" s="20" t="s">
        <v>17</v>
      </c>
      <c r="E2" s="20" t="s">
        <v>18</v>
      </c>
      <c r="F2" s="20" t="s">
        <v>41</v>
      </c>
      <c r="G2" s="20" t="s">
        <v>19</v>
      </c>
      <c r="H2" s="20" t="s">
        <v>20</v>
      </c>
      <c r="K2" s="75" t="str">
        <f t="array" ref="K2:P2">TRANSPOSE(Parameters!B30:B35)</f>
        <v>Hormonal Implant</v>
      </c>
      <c r="L2" s="75" t="str">
        <v>Depo-Provera</v>
      </c>
      <c r="M2" s="75" t="str">
        <v>Birth Control Pill</v>
      </c>
      <c r="N2" s="75" t="str">
        <v>Vaginal Ring</v>
      </c>
      <c r="O2" s="75" t="str">
        <v>IUD, coil, or loop</v>
      </c>
      <c r="P2" s="75" t="str">
        <v>Partner's Condom Use</v>
      </c>
      <c r="Q2" s="75" t="str">
        <f t="array" ref="Q2:R2">TRANSPOSE(Parameters!B36:B37)</f>
        <v>Withdrawal</v>
      </c>
      <c r="R2" s="75" t="str">
        <v>Other Method</v>
      </c>
      <c r="U2" s="69"/>
      <c r="V2" s="91" t="str">
        <f t="array" ref="V2:AA2">TRANSPOSE(Parameters!B19:B24)</f>
        <v>Sterile</v>
      </c>
      <c r="W2" s="91" t="str">
        <v>Inactive</v>
      </c>
      <c r="X2" s="91" t="str">
        <v>Careful sex</v>
      </c>
      <c r="Y2" s="91" t="str">
        <v>Unsafe Sex</v>
      </c>
      <c r="Z2" s="91" t="str">
        <v>Seeking Pregnancy</v>
      </c>
      <c r="AA2" s="91" t="str">
        <v>Pregnant</v>
      </c>
      <c r="AB2" s="79"/>
      <c r="AC2" s="76"/>
      <c r="AD2" s="77" t="str">
        <f t="shared" ref="AD2:AJ2" si="0">B2</f>
        <v>10-14</v>
      </c>
      <c r="AE2" s="77" t="str">
        <f t="shared" si="0"/>
        <v>15-19</v>
      </c>
      <c r="AF2" s="77" t="str">
        <f t="shared" si="0"/>
        <v>20-24</v>
      </c>
      <c r="AG2" s="77" t="str">
        <f t="shared" si="0"/>
        <v>25-29</v>
      </c>
      <c r="AH2" s="77" t="str">
        <f t="shared" si="0"/>
        <v>30-34</v>
      </c>
      <c r="AI2" s="77" t="str">
        <f t="shared" si="0"/>
        <v>35-39</v>
      </c>
      <c r="AJ2" s="77" t="str">
        <f t="shared" si="0"/>
        <v>40-44</v>
      </c>
      <c r="AK2" s="45" t="s">
        <v>57</v>
      </c>
      <c r="AM2" s="76"/>
      <c r="AN2" s="77" t="s">
        <v>43</v>
      </c>
      <c r="AO2" s="124" t="str">
        <f t="shared" ref="AO2:AT2" si="1">AE2</f>
        <v>15-19</v>
      </c>
      <c r="AP2" s="124" t="str">
        <f t="shared" si="1"/>
        <v>20-24</v>
      </c>
      <c r="AQ2" s="124" t="str">
        <f t="shared" si="1"/>
        <v>25-29</v>
      </c>
      <c r="AR2" s="124" t="str">
        <f t="shared" si="1"/>
        <v>30-34</v>
      </c>
      <c r="AS2" s="124" t="str">
        <f t="shared" si="1"/>
        <v>35-39</v>
      </c>
      <c r="AT2" s="124" t="str">
        <f t="shared" si="1"/>
        <v>40-44</v>
      </c>
      <c r="AU2" s="45" t="s">
        <v>57</v>
      </c>
      <c r="AV2" s="79"/>
      <c r="AW2" s="78" t="s">
        <v>137</v>
      </c>
      <c r="AX2" s="79"/>
      <c r="AY2" s="76"/>
      <c r="AZ2" s="77" t="s">
        <v>43</v>
      </c>
      <c r="BA2" s="124" t="str">
        <f t="shared" ref="BA2:BG2" si="2">AO2</f>
        <v>15-19</v>
      </c>
      <c r="BB2" s="124" t="str">
        <f t="shared" si="2"/>
        <v>20-24</v>
      </c>
      <c r="BC2" s="124" t="str">
        <f t="shared" si="2"/>
        <v>25-29</v>
      </c>
      <c r="BD2" s="124" t="str">
        <f t="shared" si="2"/>
        <v>30-34</v>
      </c>
      <c r="BE2" s="124" t="str">
        <f t="shared" si="2"/>
        <v>35-39</v>
      </c>
      <c r="BF2" s="124" t="str">
        <f t="shared" si="2"/>
        <v>40-44</v>
      </c>
      <c r="BG2" s="124" t="str">
        <f t="shared" si="2"/>
        <v>Total</v>
      </c>
      <c r="BI2" s="78" t="s">
        <v>140</v>
      </c>
      <c r="BJ2" s="79"/>
      <c r="BK2" s="79"/>
      <c r="BL2" s="78" t="s">
        <v>123</v>
      </c>
      <c r="BM2" s="78" t="s">
        <v>124</v>
      </c>
      <c r="BN2" s="78" t="s">
        <v>85</v>
      </c>
      <c r="BO2" s="78" t="s">
        <v>101</v>
      </c>
      <c r="BQ2" s="78" t="s">
        <v>98</v>
      </c>
      <c r="BS2" s="76"/>
      <c r="BT2" s="85"/>
      <c r="BU2" s="138" t="str">
        <f t="array" ref="BU2:BZ2">TRANSPOSE(Parameters!B19:B24)</f>
        <v>Sterile</v>
      </c>
      <c r="BV2" s="138" t="str">
        <v>Inactive</v>
      </c>
      <c r="BW2" s="138" t="str">
        <v>Careful sex</v>
      </c>
      <c r="BX2" s="138" t="str">
        <v>Unsafe Sex</v>
      </c>
      <c r="BY2" s="138" t="str">
        <v>Seeking Pregnancy</v>
      </c>
      <c r="BZ2" s="176" t="str">
        <v>Pregnant</v>
      </c>
      <c r="CA2" s="76"/>
      <c r="CB2" s="76"/>
      <c r="CC2" s="77" t="str">
        <f t="shared" ref="CC2:CI2" si="3">B2</f>
        <v>10-14</v>
      </c>
      <c r="CD2" s="77" t="str">
        <f t="shared" si="3"/>
        <v>15-19</v>
      </c>
      <c r="CE2" s="77" t="str">
        <f t="shared" si="3"/>
        <v>20-24</v>
      </c>
      <c r="CF2" s="77" t="str">
        <f t="shared" si="3"/>
        <v>25-29</v>
      </c>
      <c r="CG2" s="77" t="str">
        <f t="shared" si="3"/>
        <v>30-34</v>
      </c>
      <c r="CH2" s="77" t="str">
        <f t="shared" si="3"/>
        <v>35-39</v>
      </c>
      <c r="CI2" s="77" t="str">
        <f t="shared" si="3"/>
        <v>40-44</v>
      </c>
      <c r="CJ2" s="77" t="s">
        <v>57</v>
      </c>
      <c r="CK2" s="79"/>
      <c r="CL2" s="76"/>
      <c r="CM2" s="77" t="str">
        <f t="shared" ref="CM2:CS2" si="4">B2</f>
        <v>10-14</v>
      </c>
      <c r="CN2" s="77" t="str">
        <f t="shared" si="4"/>
        <v>15-19</v>
      </c>
      <c r="CO2" s="77" t="str">
        <f t="shared" si="4"/>
        <v>20-24</v>
      </c>
      <c r="CP2" s="77" t="str">
        <f t="shared" si="4"/>
        <v>25-29</v>
      </c>
      <c r="CQ2" s="77" t="str">
        <f t="shared" si="4"/>
        <v>30-34</v>
      </c>
      <c r="CR2" s="77" t="str">
        <f t="shared" si="4"/>
        <v>35-39</v>
      </c>
      <c r="CS2" s="77" t="str">
        <f t="shared" si="4"/>
        <v>40-44</v>
      </c>
      <c r="CT2" s="45" t="s">
        <v>57</v>
      </c>
      <c r="CV2" s="154" t="s">
        <v>87</v>
      </c>
      <c r="CW2" s="22" t="s">
        <v>43</v>
      </c>
      <c r="CX2" s="20" t="s">
        <v>16</v>
      </c>
      <c r="CY2" s="20" t="s">
        <v>17</v>
      </c>
      <c r="CZ2" s="14" t="s">
        <v>18</v>
      </c>
      <c r="DA2" s="14" t="s">
        <v>41</v>
      </c>
      <c r="DB2" s="14" t="s">
        <v>19</v>
      </c>
      <c r="DC2" s="14" t="s">
        <v>20</v>
      </c>
    </row>
    <row r="3" spans="1:107" x14ac:dyDescent="0.25">
      <c r="A3" s="23" t="s">
        <v>36</v>
      </c>
      <c r="B3" s="80">
        <v>0</v>
      </c>
      <c r="C3" s="80">
        <v>24</v>
      </c>
      <c r="D3" s="80">
        <v>90</v>
      </c>
      <c r="E3" s="80">
        <v>108.3</v>
      </c>
      <c r="F3" s="80">
        <v>96.5</v>
      </c>
      <c r="G3" s="80">
        <v>45.9</v>
      </c>
      <c r="H3" s="80">
        <v>10.199999999999999</v>
      </c>
      <c r="J3" s="23" t="s">
        <v>36</v>
      </c>
      <c r="K3" s="149">
        <f t="array" ref="K3:P3">100*TRANSPOSE(Parameters!D30:D35)</f>
        <v>0.05</v>
      </c>
      <c r="L3" s="149">
        <v>6</v>
      </c>
      <c r="M3" s="149">
        <v>9</v>
      </c>
      <c r="N3" s="149">
        <v>9</v>
      </c>
      <c r="O3" s="149">
        <v>0.05</v>
      </c>
      <c r="P3" s="149">
        <v>18</v>
      </c>
      <c r="Q3" s="149">
        <f t="array" ref="Q3:R3">100*TRANSPOSE(Parameters!D36:D37)</f>
        <v>22</v>
      </c>
      <c r="R3" s="100">
        <v>18.670000000000002</v>
      </c>
      <c r="U3" s="23" t="s">
        <v>36</v>
      </c>
      <c r="V3" s="118">
        <f t="array" ref="V3:AA3">TRANSPOSE(Support!D73:D78)</f>
        <v>0.19652570626425689</v>
      </c>
      <c r="W3" s="118">
        <v>0.20635199157746972</v>
      </c>
      <c r="X3" s="118">
        <v>0.38340059659589404</v>
      </c>
      <c r="Y3" s="118">
        <v>0.12282856641516056</v>
      </c>
      <c r="Z3" s="118">
        <v>4.228812072293385E-2</v>
      </c>
      <c r="AA3" s="119">
        <v>4.3691875767678537E-2</v>
      </c>
      <c r="AB3" s="58"/>
      <c r="AC3" s="76" t="s">
        <v>36</v>
      </c>
      <c r="AD3" s="76">
        <v>0</v>
      </c>
      <c r="AE3" s="84">
        <f t="array" ref="AE3:AK3">TRANSPOSE(Support!C16:C22)</f>
        <v>2.7722772277227723E-2</v>
      </c>
      <c r="AF3" s="96">
        <v>6.5400843881856546E-2</v>
      </c>
      <c r="AG3" s="96">
        <v>7.0395371263259399E-2</v>
      </c>
      <c r="AH3" s="96">
        <v>5.3501945525291826E-2</v>
      </c>
      <c r="AI3" s="96">
        <v>2.3014959723820484E-2</v>
      </c>
      <c r="AJ3" s="96">
        <v>5.1347881899871627E-3</v>
      </c>
      <c r="AK3" s="96">
        <v>4.2673249867748189E-2</v>
      </c>
      <c r="AM3" s="76" t="s">
        <v>36</v>
      </c>
      <c r="AN3" s="76" t="s">
        <v>54</v>
      </c>
      <c r="AO3" s="84">
        <f t="array" ref="AO3:AU3">TRANSPOSE(Support!C61:C67)</f>
        <v>1.5495867768595042E-2</v>
      </c>
      <c r="AP3" s="96">
        <v>5.1643192488262914E-2</v>
      </c>
      <c r="AQ3" s="96">
        <v>8.0664294187425864E-2</v>
      </c>
      <c r="AR3" s="96">
        <v>0.11966987620357634</v>
      </c>
      <c r="AS3" s="96">
        <v>0.10280373831775701</v>
      </c>
      <c r="AT3" s="96">
        <v>0.13008130081300814</v>
      </c>
      <c r="AU3" s="96">
        <v>7.3823940381928271E-2</v>
      </c>
      <c r="AV3" s="58"/>
      <c r="AW3" s="96"/>
      <c r="AX3" s="58"/>
      <c r="AY3" s="76" t="s">
        <v>36</v>
      </c>
      <c r="AZ3" s="76" t="s">
        <v>54</v>
      </c>
      <c r="BA3" s="84"/>
      <c r="BB3" s="96"/>
      <c r="BC3" s="96"/>
      <c r="BD3" s="96"/>
      <c r="BE3" s="96"/>
      <c r="BF3" s="96"/>
      <c r="BG3" s="96"/>
      <c r="BI3" s="96"/>
      <c r="BJ3" s="58"/>
      <c r="BK3" s="76" t="s">
        <v>36</v>
      </c>
      <c r="BQ3" s="96"/>
      <c r="BT3" s="23" t="s">
        <v>36</v>
      </c>
      <c r="BU3" s="118">
        <f t="array" ref="BU3:BZ3">TRANSPOSE(Support!C39:C44)</f>
        <v>0.60538116591928248</v>
      </c>
      <c r="BV3" s="118">
        <v>0.37735849056603776</v>
      </c>
      <c r="BW3" s="118">
        <v>0.69142066420664205</v>
      </c>
      <c r="BX3" s="118">
        <v>0.59420289855072461</v>
      </c>
      <c r="BY3" s="118">
        <v>0.63485477178423233</v>
      </c>
      <c r="BZ3" s="118">
        <v>0.13360323886639677</v>
      </c>
      <c r="CB3" s="76" t="s">
        <v>36</v>
      </c>
      <c r="CC3" s="76"/>
      <c r="CD3" s="84">
        <f t="array" ref="CD3:CJ3">TRANSPOSE(Support!C50:C56)</f>
        <v>0.34583333333333333</v>
      </c>
      <c r="CE3" s="96">
        <v>0.68446026097271651</v>
      </c>
      <c r="CF3" s="96">
        <v>0.67264038231780165</v>
      </c>
      <c r="CG3" s="96">
        <v>0.66204986149584488</v>
      </c>
      <c r="CH3" s="96">
        <v>0.60943396226415092</v>
      </c>
      <c r="CI3" s="96">
        <v>0.6202185792349727</v>
      </c>
      <c r="CJ3" s="96">
        <v>0.58713010803193988</v>
      </c>
      <c r="CK3" s="58"/>
      <c r="CL3" s="76" t="s">
        <v>36</v>
      </c>
      <c r="CM3" s="76"/>
      <c r="CN3" s="84">
        <f t="array" ref="CN3:CT3">TRANSPOSE(Support!C28:C34)</f>
        <v>3.8580246913580245E-2</v>
      </c>
      <c r="CO3" s="96">
        <v>0.25503355704697989</v>
      </c>
      <c r="CP3" s="96">
        <v>0.36577181208053694</v>
      </c>
      <c r="CQ3" s="96">
        <v>0.45787545787545786</v>
      </c>
      <c r="CR3" s="96">
        <v>0.39366515837104071</v>
      </c>
      <c r="CS3" s="96">
        <v>0.40883977900552487</v>
      </c>
      <c r="CT3" s="96">
        <v>0.2584679520583637</v>
      </c>
      <c r="CV3" s="145" t="s">
        <v>96</v>
      </c>
      <c r="CW3" s="16"/>
      <c r="CX3" s="16">
        <f>Parameters!F19</f>
        <v>1.1900000000000001E-2</v>
      </c>
      <c r="CY3" s="16">
        <f>Parameters!G19</f>
        <v>3.27E-2</v>
      </c>
      <c r="CZ3" s="16">
        <f>Parameters!H19</f>
        <v>0.1119</v>
      </c>
      <c r="DA3" s="16">
        <f>Parameters!I19</f>
        <v>0.2364</v>
      </c>
      <c r="DB3" s="16">
        <f>Parameters!J19</f>
        <v>0.36130000000000001</v>
      </c>
      <c r="DC3" s="16">
        <f>Parameters!K19</f>
        <v>0.51859999999999995</v>
      </c>
    </row>
    <row r="4" spans="1:107" x14ac:dyDescent="0.25">
      <c r="A4" s="23" t="s">
        <v>68</v>
      </c>
      <c r="B4" s="80"/>
      <c r="C4" s="80"/>
      <c r="D4" s="80"/>
      <c r="E4" s="80"/>
      <c r="F4" s="80"/>
      <c r="G4" s="80"/>
      <c r="H4" s="80"/>
      <c r="J4" s="23" t="s">
        <v>68</v>
      </c>
      <c r="K4" s="81"/>
      <c r="L4" s="81"/>
      <c r="M4" s="81"/>
      <c r="N4" s="81"/>
      <c r="O4" s="81"/>
      <c r="P4" s="81"/>
      <c r="Q4" s="81"/>
      <c r="U4" s="23" t="s">
        <v>68</v>
      </c>
      <c r="V4" s="118"/>
      <c r="W4" s="118"/>
      <c r="X4" s="118"/>
      <c r="Y4" s="118"/>
      <c r="Z4" s="118"/>
      <c r="AA4" s="119"/>
      <c r="AB4" s="58"/>
      <c r="AC4" s="23" t="s">
        <v>68</v>
      </c>
      <c r="AD4" s="76">
        <v>0</v>
      </c>
      <c r="AE4" s="84">
        <f t="array" ref="AE4:AK5">TRANSPOSE(Support!H16:I22)</f>
        <v>1.7597638035641832E-2</v>
      </c>
      <c r="AF4" s="96">
        <v>4.9662889189119541E-2</v>
      </c>
      <c r="AG4" s="96">
        <v>5.482568349296274E-2</v>
      </c>
      <c r="AH4" s="96">
        <v>3.9745818296317528E-2</v>
      </c>
      <c r="AI4" s="96">
        <v>1.3045140828403004E-2</v>
      </c>
      <c r="AJ4" s="96">
        <v>1.1572398362363727E-4</v>
      </c>
      <c r="AK4" s="96">
        <v>3.7412759570390135E-2</v>
      </c>
      <c r="AM4" s="23" t="s">
        <v>68</v>
      </c>
      <c r="AN4" s="76"/>
      <c r="AO4" s="84">
        <f t="array" ref="AO4:AU5">TRANSPOSE(Support!H61:I67)</f>
        <v>7.7150161224530823E-3</v>
      </c>
      <c r="AP4" s="96">
        <v>3.6783127200603075E-2</v>
      </c>
      <c r="AQ4" s="96">
        <v>6.228147833669348E-2</v>
      </c>
      <c r="AR4" s="96">
        <v>9.6076174297601999E-2</v>
      </c>
      <c r="AS4" s="96">
        <v>7.7069022226266742E-2</v>
      </c>
      <c r="AT4" s="96">
        <v>9.5758582452925178E-2</v>
      </c>
      <c r="AU4" s="96">
        <v>6.600293729196012E-2</v>
      </c>
      <c r="AV4" s="58"/>
      <c r="AW4" s="96"/>
      <c r="AX4" s="58"/>
      <c r="AY4" s="23" t="s">
        <v>68</v>
      </c>
      <c r="AZ4" s="76"/>
      <c r="BA4" s="84"/>
      <c r="BB4" s="96"/>
      <c r="BC4" s="96"/>
      <c r="BD4" s="96"/>
      <c r="BE4" s="96"/>
      <c r="BF4" s="96"/>
      <c r="BG4" s="96"/>
      <c r="BI4" s="96"/>
      <c r="BJ4" s="58"/>
      <c r="BK4" s="23" t="s">
        <v>68</v>
      </c>
      <c r="BQ4" s="96"/>
      <c r="BT4" s="23" t="s">
        <v>68</v>
      </c>
      <c r="BU4" s="118">
        <f t="array" ref="BU4:BZ4">TRANSPOSE(Support!H39:H44)</f>
        <v>0.57669225813026681</v>
      </c>
      <c r="BV4" s="118">
        <v>0.34953606981947016</v>
      </c>
      <c r="BW4" s="118">
        <v>0.67197722665676785</v>
      </c>
      <c r="BX4" s="118">
        <v>0.55756374778053175</v>
      </c>
      <c r="BY4" s="118">
        <v>0.57406793018281399</v>
      </c>
      <c r="BZ4" s="118">
        <v>9.1173875273053595E-2</v>
      </c>
      <c r="CB4" s="23" t="s">
        <v>68</v>
      </c>
      <c r="CC4" s="76"/>
      <c r="CD4" s="84">
        <f t="array" ref="CD4:CJ5">TRANSPOSE(Support!H50:I56)</f>
        <v>0.31574555608442667</v>
      </c>
      <c r="CE4" s="96">
        <v>0.65308874873724299</v>
      </c>
      <c r="CF4" s="96">
        <v>0.64085046613431418</v>
      </c>
      <c r="CG4" s="96">
        <v>0.62754731449671086</v>
      </c>
      <c r="CH4" s="96">
        <v>0.56789834006706819</v>
      </c>
      <c r="CI4" s="96">
        <v>0.57049678503737999</v>
      </c>
      <c r="CJ4" s="96">
        <v>0.57234178103433464</v>
      </c>
      <c r="CK4" s="58"/>
      <c r="CL4" s="23" t="s">
        <v>68</v>
      </c>
      <c r="CM4" s="76"/>
      <c r="CN4" s="84">
        <f t="array" ref="CN4:CT5">TRANSPOSE(Support!H28:I34)</f>
        <v>2.3751665365335621E-2</v>
      </c>
      <c r="CO4" s="96">
        <v>0.20554475077204035</v>
      </c>
      <c r="CP4" s="96">
        <v>0.31108685873118769</v>
      </c>
      <c r="CQ4" s="96">
        <v>0.39877511715323688</v>
      </c>
      <c r="CR4" s="96">
        <v>0.32925242840558355</v>
      </c>
      <c r="CS4" s="96">
        <v>0.33721917530474493</v>
      </c>
      <c r="CT4" s="96">
        <v>0.23888045622002596</v>
      </c>
      <c r="CV4" s="145" t="s">
        <v>108</v>
      </c>
      <c r="CW4" s="16"/>
      <c r="CX4" s="16">
        <f>Parameters!F20</f>
        <v>0.6139</v>
      </c>
      <c r="CY4" s="16">
        <f>Parameters!G20</f>
        <v>0.1888</v>
      </c>
      <c r="CZ4" s="16">
        <f>Parameters!H20</f>
        <v>0.1273</v>
      </c>
      <c r="DA4" s="16">
        <f>Parameters!I20</f>
        <v>7.7799999999999994E-2</v>
      </c>
      <c r="DB4" s="16">
        <f>Parameters!J20</f>
        <v>9.9000000000000005E-2</v>
      </c>
      <c r="DC4" s="16">
        <f>Parameters!K20</f>
        <v>0.1014</v>
      </c>
    </row>
    <row r="5" spans="1:107" x14ac:dyDescent="0.25">
      <c r="A5" s="23" t="s">
        <v>69</v>
      </c>
      <c r="B5" s="80"/>
      <c r="C5" s="80"/>
      <c r="D5" s="80"/>
      <c r="E5" s="80"/>
      <c r="F5" s="80"/>
      <c r="G5" s="80"/>
      <c r="H5" s="80"/>
      <c r="J5" s="23" t="s">
        <v>69</v>
      </c>
      <c r="K5" s="81"/>
      <c r="L5" s="81"/>
      <c r="M5" s="81"/>
      <c r="N5" s="81"/>
      <c r="O5" s="81"/>
      <c r="P5" s="81"/>
      <c r="Q5" s="81"/>
      <c r="U5" s="23" t="s">
        <v>69</v>
      </c>
      <c r="V5" s="118"/>
      <c r="W5" s="118"/>
      <c r="X5" s="118"/>
      <c r="Y5" s="118"/>
      <c r="Z5" s="118"/>
      <c r="AA5" s="119"/>
      <c r="AB5" s="58"/>
      <c r="AC5" s="23" t="s">
        <v>69</v>
      </c>
      <c r="AD5" s="76">
        <v>0</v>
      </c>
      <c r="AE5" s="84">
        <v>3.7847906518813618E-2</v>
      </c>
      <c r="AF5" s="96">
        <v>8.1138798574593551E-2</v>
      </c>
      <c r="AG5" s="96">
        <v>8.5965059033556057E-2</v>
      </c>
      <c r="AH5" s="96">
        <v>6.7258072754266124E-2</v>
      </c>
      <c r="AI5" s="96">
        <v>3.2984778619237966E-2</v>
      </c>
      <c r="AJ5" s="96">
        <v>1.0153852396350688E-2</v>
      </c>
      <c r="AK5" s="96">
        <v>4.7933740165106244E-2</v>
      </c>
      <c r="AM5" s="23" t="s">
        <v>69</v>
      </c>
      <c r="AN5" s="76"/>
      <c r="AO5" s="84">
        <v>2.3276719414737003E-2</v>
      </c>
      <c r="AP5" s="96">
        <v>6.6503257775922753E-2</v>
      </c>
      <c r="AQ5" s="96">
        <v>9.9047110038158248E-2</v>
      </c>
      <c r="AR5" s="96">
        <v>0.1432635781095507</v>
      </c>
      <c r="AS5" s="96">
        <v>0.12853845440924727</v>
      </c>
      <c r="AT5" s="96">
        <v>0.16440401917309111</v>
      </c>
      <c r="AU5" s="96">
        <v>8.1644943471896422E-2</v>
      </c>
      <c r="AV5" s="58"/>
      <c r="AW5" s="96"/>
      <c r="AX5" s="58"/>
      <c r="AY5" s="23" t="s">
        <v>69</v>
      </c>
      <c r="AZ5" s="76"/>
      <c r="BA5" s="84"/>
      <c r="BB5" s="96"/>
      <c r="BC5" s="96"/>
      <c r="BD5" s="96"/>
      <c r="BE5" s="96"/>
      <c r="BF5" s="96"/>
      <c r="BG5" s="96"/>
      <c r="BI5" s="96"/>
      <c r="BJ5" s="58"/>
      <c r="BK5" s="23" t="s">
        <v>69</v>
      </c>
      <c r="BQ5" s="96"/>
      <c r="BT5" s="23" t="s">
        <v>69</v>
      </c>
      <c r="BU5" s="118">
        <f t="array" ref="BU5:BZ5">TRANSPOSE(Support!I39:I44)</f>
        <v>0.63407007370829815</v>
      </c>
      <c r="BV5" s="118">
        <v>0.40518091131260536</v>
      </c>
      <c r="BW5" s="118">
        <v>0.71086410175651626</v>
      </c>
      <c r="BX5" s="118">
        <v>0.63084204932091748</v>
      </c>
      <c r="BY5" s="118">
        <v>0.69564161338565067</v>
      </c>
      <c r="BZ5" s="118">
        <v>0.17603260245973995</v>
      </c>
      <c r="CB5" s="23" t="s">
        <v>69</v>
      </c>
      <c r="CC5" s="76"/>
      <c r="CD5" s="84">
        <v>0.37592111058223998</v>
      </c>
      <c r="CE5" s="96">
        <v>0.71583177320819003</v>
      </c>
      <c r="CF5" s="96">
        <v>0.70443029850128913</v>
      </c>
      <c r="CG5" s="96">
        <v>0.6965524084949789</v>
      </c>
      <c r="CH5" s="96">
        <v>0.65096958446123365</v>
      </c>
      <c r="CI5" s="96">
        <v>0.66994037343256541</v>
      </c>
      <c r="CJ5" s="96">
        <v>0.60191843502954512</v>
      </c>
      <c r="CK5" s="58"/>
      <c r="CL5" s="23" t="s">
        <v>69</v>
      </c>
      <c r="CM5" s="76"/>
      <c r="CN5" s="84">
        <v>5.3408828461824868E-2</v>
      </c>
      <c r="CO5" s="96">
        <v>0.3045223633219194</v>
      </c>
      <c r="CP5" s="96">
        <v>0.42045676542988619</v>
      </c>
      <c r="CQ5" s="96">
        <v>0.51697579859767884</v>
      </c>
      <c r="CR5" s="96">
        <v>0.45807788833649787</v>
      </c>
      <c r="CS5" s="96">
        <v>0.48046038270630481</v>
      </c>
      <c r="CT5" s="96">
        <v>0.27805544789670145</v>
      </c>
      <c r="CV5" s="32" t="s">
        <v>12</v>
      </c>
      <c r="CW5" s="16"/>
      <c r="CX5" s="16">
        <f>Parameters!F21</f>
        <v>0.2366</v>
      </c>
      <c r="CY5" s="16">
        <f>Parameters!G21</f>
        <v>0.54320000000000002</v>
      </c>
      <c r="CZ5" s="16">
        <f>Parameters!H21</f>
        <v>0.50529999999999997</v>
      </c>
      <c r="DA5" s="16">
        <f>Parameters!I21</f>
        <v>0.42120000000000002</v>
      </c>
      <c r="DB5" s="16">
        <f>Parameters!J21</f>
        <v>0.34289999999999998</v>
      </c>
      <c r="DC5" s="16">
        <f>Parameters!K21</f>
        <v>0.22589999999999999</v>
      </c>
    </row>
    <row r="6" spans="1:107" x14ac:dyDescent="0.25">
      <c r="A6" s="23" t="s">
        <v>90</v>
      </c>
      <c r="B6" s="80"/>
      <c r="C6" s="80"/>
      <c r="D6" s="80"/>
      <c r="E6" s="80"/>
      <c r="F6" s="80"/>
      <c r="G6" s="80"/>
      <c r="H6" s="80"/>
      <c r="J6" s="23" t="s">
        <v>90</v>
      </c>
      <c r="K6" s="81"/>
      <c r="L6" s="81"/>
      <c r="M6" s="81"/>
      <c r="N6" s="81"/>
      <c r="O6" s="81"/>
      <c r="P6" s="81"/>
      <c r="Q6" s="81"/>
      <c r="U6" s="23" t="s">
        <v>90</v>
      </c>
      <c r="V6" s="118"/>
      <c r="W6" s="118"/>
      <c r="X6" s="118"/>
      <c r="Y6" s="118"/>
      <c r="Z6" s="118"/>
      <c r="AA6" s="118"/>
      <c r="AB6" s="58"/>
      <c r="AC6" s="23" t="s">
        <v>90</v>
      </c>
      <c r="AD6" s="92"/>
      <c r="AE6" s="84">
        <f t="shared" ref="AE6:AJ6" si="5">AE3-AE4</f>
        <v>1.0125134241585891E-2</v>
      </c>
      <c r="AF6" s="96">
        <f t="shared" si="5"/>
        <v>1.5737954692737005E-2</v>
      </c>
      <c r="AG6" s="96">
        <f t="shared" si="5"/>
        <v>1.5569687770296659E-2</v>
      </c>
      <c r="AH6" s="96">
        <f t="shared" si="5"/>
        <v>1.3756127228974298E-2</v>
      </c>
      <c r="AI6" s="96">
        <f t="shared" si="5"/>
        <v>9.9698188954174798E-3</v>
      </c>
      <c r="AJ6" s="96">
        <f t="shared" si="5"/>
        <v>5.0190642063635254E-3</v>
      </c>
      <c r="AK6" s="96">
        <f>AK3-AK4</f>
        <v>5.2604902973580545E-3</v>
      </c>
      <c r="AM6" s="23" t="s">
        <v>90</v>
      </c>
      <c r="AN6" s="92"/>
      <c r="AO6" s="84">
        <f t="shared" ref="AO6:AU6" si="6">AO3-AO4</f>
        <v>7.7808516461419595E-3</v>
      </c>
      <c r="AP6" s="96">
        <f t="shared" si="6"/>
        <v>1.4860065287659839E-2</v>
      </c>
      <c r="AQ6" s="96">
        <f t="shared" si="6"/>
        <v>1.8382815850732384E-2</v>
      </c>
      <c r="AR6" s="96">
        <f t="shared" si="6"/>
        <v>2.3593701905974346E-2</v>
      </c>
      <c r="AS6" s="96">
        <f t="shared" si="6"/>
        <v>2.5734716091490265E-2</v>
      </c>
      <c r="AT6" s="96">
        <f t="shared" si="6"/>
        <v>3.4322718360082966E-2</v>
      </c>
      <c r="AU6" s="96">
        <f t="shared" si="6"/>
        <v>7.821003089968151E-3</v>
      </c>
      <c r="AV6" s="58"/>
      <c r="AW6" s="96"/>
      <c r="AX6" s="58"/>
      <c r="AY6" s="23" t="s">
        <v>90</v>
      </c>
      <c r="AZ6" s="92"/>
      <c r="BA6" s="84"/>
      <c r="BB6" s="96"/>
      <c r="BC6" s="96"/>
      <c r="BD6" s="96"/>
      <c r="BE6" s="96"/>
      <c r="BF6" s="96"/>
      <c r="BG6" s="96"/>
      <c r="BI6" s="96"/>
      <c r="BJ6" s="58"/>
      <c r="BK6" s="23" t="s">
        <v>90</v>
      </c>
      <c r="BQ6" s="96"/>
      <c r="BT6" s="23" t="s">
        <v>90</v>
      </c>
      <c r="BU6" s="118">
        <f t="shared" ref="BU6:BZ6" si="7">BU3-BU4</f>
        <v>2.8688907789015672E-2</v>
      </c>
      <c r="BV6" s="118">
        <f t="shared" si="7"/>
        <v>2.78224207465676E-2</v>
      </c>
      <c r="BW6" s="118">
        <f t="shared" si="7"/>
        <v>1.944343754987421E-2</v>
      </c>
      <c r="BX6" s="118">
        <f t="shared" si="7"/>
        <v>3.6639150770192863E-2</v>
      </c>
      <c r="BY6" s="118">
        <f t="shared" si="7"/>
        <v>6.078684160141834E-2</v>
      </c>
      <c r="BZ6" s="118">
        <f t="shared" si="7"/>
        <v>4.2429363593343178E-2</v>
      </c>
      <c r="CB6" s="23" t="s">
        <v>90</v>
      </c>
      <c r="CC6" s="92"/>
      <c r="CD6" s="84">
        <f t="shared" ref="CD6:CI6" si="8">CD3-CD4</f>
        <v>3.0087777248906655E-2</v>
      </c>
      <c r="CE6" s="96">
        <f t="shared" si="8"/>
        <v>3.137151223547352E-2</v>
      </c>
      <c r="CF6" s="96">
        <f t="shared" si="8"/>
        <v>3.1789916183487477E-2</v>
      </c>
      <c r="CG6" s="96">
        <f t="shared" si="8"/>
        <v>3.4502546999134021E-2</v>
      </c>
      <c r="CH6" s="96">
        <f t="shared" si="8"/>
        <v>4.1535622197082733E-2</v>
      </c>
      <c r="CI6" s="96">
        <f t="shared" si="8"/>
        <v>4.9721794197592706E-2</v>
      </c>
      <c r="CJ6" s="96"/>
      <c r="CK6" s="58"/>
      <c r="CL6" s="23" t="s">
        <v>90</v>
      </c>
      <c r="CM6" s="92"/>
      <c r="CN6" s="84">
        <f t="shared" ref="CN6:CS6" si="9">CN3-CN4</f>
        <v>1.4828581548244624E-2</v>
      </c>
      <c r="CO6" s="96">
        <f t="shared" si="9"/>
        <v>4.948880627493954E-2</v>
      </c>
      <c r="CP6" s="96">
        <f t="shared" si="9"/>
        <v>5.4684953349349252E-2</v>
      </c>
      <c r="CQ6" s="96">
        <f t="shared" si="9"/>
        <v>5.9100340722220979E-2</v>
      </c>
      <c r="CR6" s="96">
        <f t="shared" si="9"/>
        <v>6.4412729965457161E-2</v>
      </c>
      <c r="CS6" s="96">
        <f t="shared" si="9"/>
        <v>7.1620603700779939E-2</v>
      </c>
      <c r="CT6" s="96"/>
      <c r="CV6" s="32" t="s">
        <v>52</v>
      </c>
      <c r="CW6" s="16"/>
      <c r="CX6" s="16">
        <f>Parameters!F22</f>
        <v>0.1089</v>
      </c>
      <c r="CY6" s="16">
        <f>Parameters!G22</f>
        <v>0.1424</v>
      </c>
      <c r="CZ6" s="16">
        <f>Parameters!H22</f>
        <v>0.12920000000000001</v>
      </c>
      <c r="DA6" s="16">
        <f>Parameters!I22</f>
        <v>0.14199999999999999</v>
      </c>
      <c r="DB6" s="16">
        <f>Parameters!J22</f>
        <v>0.1197</v>
      </c>
      <c r="DC6" s="16">
        <f>Parameters!K22</f>
        <v>9.11E-2</v>
      </c>
    </row>
    <row r="7" spans="1:107" x14ac:dyDescent="0.25">
      <c r="A7" s="23" t="s">
        <v>91</v>
      </c>
      <c r="B7" s="80"/>
      <c r="C7" s="80"/>
      <c r="D7" s="80"/>
      <c r="E7" s="80"/>
      <c r="F7" s="80"/>
      <c r="G7" s="80"/>
      <c r="H7" s="80"/>
      <c r="J7" s="23" t="s">
        <v>91</v>
      </c>
      <c r="K7" s="81"/>
      <c r="L7" s="81"/>
      <c r="M7" s="81"/>
      <c r="N7" s="81"/>
      <c r="O7" s="81"/>
      <c r="P7" s="81"/>
      <c r="Q7" s="81"/>
      <c r="U7" s="23" t="s">
        <v>91</v>
      </c>
      <c r="V7" s="118"/>
      <c r="W7" s="118"/>
      <c r="X7" s="118"/>
      <c r="Y7" s="118"/>
      <c r="Z7" s="118"/>
      <c r="AA7" s="118"/>
      <c r="AB7" s="58"/>
      <c r="AC7" s="23" t="s">
        <v>91</v>
      </c>
      <c r="AD7" s="92"/>
      <c r="AE7" s="84">
        <f t="shared" ref="AE7:AJ7" si="10">AE5-AE3</f>
        <v>1.0125134241585895E-2</v>
      </c>
      <c r="AF7" s="96">
        <f t="shared" si="10"/>
        <v>1.5737954692737005E-2</v>
      </c>
      <c r="AG7" s="96">
        <f t="shared" si="10"/>
        <v>1.5569687770296659E-2</v>
      </c>
      <c r="AH7" s="96">
        <f t="shared" si="10"/>
        <v>1.3756127228974298E-2</v>
      </c>
      <c r="AI7" s="96">
        <f t="shared" si="10"/>
        <v>9.9698188954174816E-3</v>
      </c>
      <c r="AJ7" s="96">
        <f t="shared" si="10"/>
        <v>5.0190642063635254E-3</v>
      </c>
      <c r="AK7" s="96">
        <f>AK5-AK3</f>
        <v>5.2604902973580545E-3</v>
      </c>
      <c r="AM7" s="23" t="s">
        <v>91</v>
      </c>
      <c r="AN7" s="92"/>
      <c r="AO7" s="84">
        <f t="shared" ref="AO7:AU7" si="11">AO5-AO3</f>
        <v>7.7808516461419612E-3</v>
      </c>
      <c r="AP7" s="96">
        <f t="shared" si="11"/>
        <v>1.4860065287659839E-2</v>
      </c>
      <c r="AQ7" s="96">
        <f t="shared" si="11"/>
        <v>1.8382815850732384E-2</v>
      </c>
      <c r="AR7" s="96">
        <f t="shared" si="11"/>
        <v>2.359370190597436E-2</v>
      </c>
      <c r="AS7" s="96">
        <f t="shared" si="11"/>
        <v>2.5734716091490265E-2</v>
      </c>
      <c r="AT7" s="96">
        <f t="shared" si="11"/>
        <v>3.4322718360082966E-2</v>
      </c>
      <c r="AU7" s="96">
        <f t="shared" si="11"/>
        <v>7.821003089968151E-3</v>
      </c>
      <c r="AV7" s="58"/>
      <c r="AW7" s="96"/>
      <c r="AX7" s="58"/>
      <c r="AY7" s="23" t="s">
        <v>91</v>
      </c>
      <c r="AZ7" s="92"/>
      <c r="BA7" s="84"/>
      <c r="BB7" s="96"/>
      <c r="BC7" s="96"/>
      <c r="BD7" s="96"/>
      <c r="BE7" s="96"/>
      <c r="BF7" s="96"/>
      <c r="BG7" s="96"/>
      <c r="BI7" s="96"/>
      <c r="BJ7" s="58"/>
      <c r="BK7" s="23" t="s">
        <v>91</v>
      </c>
      <c r="BQ7" s="96"/>
      <c r="BT7" s="23" t="s">
        <v>91</v>
      </c>
      <c r="BU7" s="84">
        <f t="shared" ref="BU7:BZ7" si="12">BU5-BU3</f>
        <v>2.8688907789015672E-2</v>
      </c>
      <c r="BV7" s="84">
        <f t="shared" si="12"/>
        <v>2.78224207465676E-2</v>
      </c>
      <c r="BW7" s="84">
        <f t="shared" si="12"/>
        <v>1.944343754987421E-2</v>
      </c>
      <c r="BX7" s="84">
        <f t="shared" si="12"/>
        <v>3.6639150770192863E-2</v>
      </c>
      <c r="BY7" s="84">
        <f t="shared" si="12"/>
        <v>6.078684160141834E-2</v>
      </c>
      <c r="BZ7" s="84">
        <f t="shared" si="12"/>
        <v>4.2429363593343178E-2</v>
      </c>
      <c r="CB7" s="23" t="s">
        <v>91</v>
      </c>
      <c r="CC7" s="92"/>
      <c r="CD7" s="84">
        <f t="shared" ref="CD7:CI7" si="13">CD5-CD3</f>
        <v>3.0087777248906655E-2</v>
      </c>
      <c r="CE7" s="96">
        <f t="shared" si="13"/>
        <v>3.137151223547352E-2</v>
      </c>
      <c r="CF7" s="96">
        <f t="shared" si="13"/>
        <v>3.1789916183487477E-2</v>
      </c>
      <c r="CG7" s="96">
        <f t="shared" si="13"/>
        <v>3.4502546999134021E-2</v>
      </c>
      <c r="CH7" s="96">
        <f t="shared" si="13"/>
        <v>4.1535622197082733E-2</v>
      </c>
      <c r="CI7" s="96">
        <f t="shared" si="13"/>
        <v>4.9721794197592706E-2</v>
      </c>
      <c r="CJ7" s="96"/>
      <c r="CK7" s="58"/>
      <c r="CL7" s="23" t="s">
        <v>91</v>
      </c>
      <c r="CM7" s="92"/>
      <c r="CN7" s="84">
        <f t="shared" ref="CN7:CS7" si="14">CN5-CN3</f>
        <v>1.4828581548244624E-2</v>
      </c>
      <c r="CO7" s="96">
        <f t="shared" si="14"/>
        <v>4.9488806274939512E-2</v>
      </c>
      <c r="CP7" s="96">
        <f t="shared" si="14"/>
        <v>5.4684953349349252E-2</v>
      </c>
      <c r="CQ7" s="96">
        <f t="shared" si="14"/>
        <v>5.9100340722220979E-2</v>
      </c>
      <c r="CR7" s="96">
        <f t="shared" si="14"/>
        <v>6.4412729965457161E-2</v>
      </c>
      <c r="CS7" s="96">
        <f t="shared" si="14"/>
        <v>7.1620603700779939E-2</v>
      </c>
      <c r="CT7" s="96"/>
      <c r="CV7" s="32" t="s">
        <v>13</v>
      </c>
      <c r="CW7" s="16"/>
      <c r="CX7" s="16">
        <f>Parameters!F23</f>
        <v>1E-3</v>
      </c>
      <c r="CY7" s="16">
        <f>Parameters!G23</f>
        <v>2.64E-2</v>
      </c>
      <c r="CZ7" s="16">
        <f>Parameters!H23</f>
        <v>5.2999999999999999E-2</v>
      </c>
      <c r="DA7" s="16">
        <f>Parameters!I23</f>
        <v>6.7100000000000007E-2</v>
      </c>
      <c r="DB7" s="16">
        <f>Parameters!J23</f>
        <v>5.4100000000000002E-2</v>
      </c>
      <c r="DC7" s="16">
        <f>Parameters!K23</f>
        <v>5.6500000000000002E-2</v>
      </c>
    </row>
    <row r="8" spans="1:107" x14ac:dyDescent="0.25">
      <c r="A8" s="23" t="s">
        <v>37</v>
      </c>
      <c r="B8" s="80" t="e">
        <f>MEDIAN(B14:B1007)</f>
        <v>#NUM!</v>
      </c>
      <c r="C8" s="82">
        <f t="shared" ref="C8:H8" si="15">MEDIAN(C14:C1007)</f>
        <v>22.352647352647352</v>
      </c>
      <c r="D8" s="82">
        <f t="shared" si="15"/>
        <v>47.765617875057004</v>
      </c>
      <c r="E8" s="82">
        <f t="shared" si="15"/>
        <v>60</v>
      </c>
      <c r="F8" s="82">
        <f t="shared" si="15"/>
        <v>53.763440860215056</v>
      </c>
      <c r="G8" s="82">
        <f t="shared" si="15"/>
        <v>18.362533692722373</v>
      </c>
      <c r="H8" s="82">
        <f t="shared" si="15"/>
        <v>0</v>
      </c>
      <c r="J8" s="23" t="s">
        <v>37</v>
      </c>
      <c r="K8" s="23">
        <f>MEDIAN(K14:K1007)</f>
        <v>0</v>
      </c>
      <c r="L8" s="23">
        <f t="shared" ref="L8:R8" si="16">MEDIAN(L14:L1007)</f>
        <v>0</v>
      </c>
      <c r="M8" s="23">
        <f t="shared" si="16"/>
        <v>8.8235294117647065</v>
      </c>
      <c r="N8" s="23">
        <f t="shared" si="16"/>
        <v>0</v>
      </c>
      <c r="O8" s="23">
        <f t="shared" si="16"/>
        <v>0</v>
      </c>
      <c r="P8" s="23">
        <f t="shared" si="16"/>
        <v>17.647058823529413</v>
      </c>
      <c r="Q8" s="23">
        <f t="shared" si="16"/>
        <v>20</v>
      </c>
      <c r="R8" s="23">
        <f t="shared" si="16"/>
        <v>12.5</v>
      </c>
      <c r="U8" s="23" t="s">
        <v>37</v>
      </c>
      <c r="V8" s="119">
        <f t="shared" ref="V8:AA8" si="17">MEDIAN(V14:V1007)</f>
        <v>0.19400000000000001</v>
      </c>
      <c r="W8" s="119">
        <f t="shared" si="17"/>
        <v>0.216</v>
      </c>
      <c r="X8" s="119">
        <f t="shared" si="17"/>
        <v>0.372</v>
      </c>
      <c r="Y8" s="119">
        <f t="shared" si="17"/>
        <v>0.13400000000000001</v>
      </c>
      <c r="Z8" s="119">
        <f t="shared" si="17"/>
        <v>2.8000000000000001E-2</v>
      </c>
      <c r="AA8" s="119">
        <f t="shared" si="17"/>
        <v>4.3999999999999997E-2</v>
      </c>
      <c r="AB8" s="60"/>
      <c r="AC8" s="76" t="s">
        <v>37</v>
      </c>
      <c r="AD8" s="76" t="e">
        <f t="shared" ref="AD8:AJ8" si="18">MEDIAN(AD14:AD1007)</f>
        <v>#NUM!</v>
      </c>
      <c r="AE8" s="64">
        <f t="shared" si="18"/>
        <v>3.3438897168405368E-2</v>
      </c>
      <c r="AF8" s="64">
        <f t="shared" si="18"/>
        <v>6.5148305084745756E-2</v>
      </c>
      <c r="AG8" s="64">
        <f t="shared" si="18"/>
        <v>6.8620527306967993E-2</v>
      </c>
      <c r="AH8" s="64">
        <f t="shared" si="18"/>
        <v>5.2631578947368418E-2</v>
      </c>
      <c r="AI8" s="64">
        <f t="shared" si="18"/>
        <v>1.9230769230769232E-2</v>
      </c>
      <c r="AJ8" s="64">
        <f t="shared" si="18"/>
        <v>0</v>
      </c>
      <c r="AK8" s="64"/>
      <c r="AM8" s="76" t="s">
        <v>37</v>
      </c>
      <c r="AN8" s="76" t="e">
        <f>MEDIAN(AN14:AN1007)</f>
        <v>#NUM!</v>
      </c>
      <c r="AO8" s="64">
        <f t="shared" ref="AO8:AT8" si="19">MEDIAN(AO14:AO1007)</f>
        <v>0</v>
      </c>
      <c r="AP8" s="64">
        <f t="shared" si="19"/>
        <v>2.8571428571428571E-2</v>
      </c>
      <c r="AQ8" s="64">
        <f t="shared" si="19"/>
        <v>4.6739130434782609E-2</v>
      </c>
      <c r="AR8" s="64">
        <f t="shared" si="19"/>
        <v>6.6666666666666666E-2</v>
      </c>
      <c r="AS8" s="64">
        <f t="shared" si="19"/>
        <v>6.9767441860465115E-2</v>
      </c>
      <c r="AT8" s="64">
        <f t="shared" si="19"/>
        <v>6.25E-2</v>
      </c>
      <c r="AU8" s="59">
        <f>MEDIAN(AU14:AU1007)</f>
        <v>4.7827743902439025E-2</v>
      </c>
      <c r="AV8" s="60"/>
      <c r="AW8" s="59">
        <f>MEDIAN(AW14:AW1007)</f>
        <v>3.183225443287363E-2</v>
      </c>
      <c r="AX8" s="60"/>
      <c r="AY8" s="76" t="s">
        <v>37</v>
      </c>
      <c r="AZ8" s="76" t="e">
        <f>MEDIAN(AZ14:AZ1007)</f>
        <v>#NUM!</v>
      </c>
      <c r="BA8" s="64">
        <f t="shared" ref="BA8:BF8" si="20">MEDIAN(BA14:BA1007)</f>
        <v>0.5</v>
      </c>
      <c r="BB8" s="64">
        <f t="shared" si="20"/>
        <v>0.66666666666666663</v>
      </c>
      <c r="BC8" s="64">
        <f t="shared" si="20"/>
        <v>0.66666666666666663</v>
      </c>
      <c r="BD8" s="64">
        <f t="shared" si="20"/>
        <v>0.66666666666666663</v>
      </c>
      <c r="BE8" s="64">
        <f t="shared" si="20"/>
        <v>0.5</v>
      </c>
      <c r="BF8" s="64">
        <f t="shared" si="20"/>
        <v>1</v>
      </c>
      <c r="BG8" s="64">
        <f>MEDIAN(BG14:BG1007)</f>
        <v>0.6</v>
      </c>
      <c r="BI8" s="59">
        <f>MEDIAN(BI14:BI1007)</f>
        <v>26.526878694061356</v>
      </c>
      <c r="BJ8" s="60"/>
      <c r="BK8" s="76" t="s">
        <v>37</v>
      </c>
      <c r="BL8" s="64">
        <f>MEDIAN(BL14:BL1007)</f>
        <v>0.2857142857142857</v>
      </c>
      <c r="BM8" s="64">
        <f>MEDIAN(BM14:BM1007)</f>
        <v>0</v>
      </c>
      <c r="BN8" s="64">
        <f>MEDIAN(BN14:BN1007)</f>
        <v>0.5714285714285714</v>
      </c>
      <c r="BO8" s="64" t="e">
        <f>MEDIAN(BO14:BO1007)</f>
        <v>#NUM!</v>
      </c>
      <c r="BQ8" s="59">
        <f>MEDIAN(BQ14:BQ1007)</f>
        <v>8</v>
      </c>
      <c r="BT8" s="23" t="s">
        <v>37</v>
      </c>
      <c r="BU8" s="119">
        <f t="shared" ref="BU8:BZ8" si="21">MEDIAN(BU14:BU1007)</f>
        <v>0.6203448275862069</v>
      </c>
      <c r="BV8" s="119">
        <f t="shared" si="21"/>
        <v>0.50878274268104773</v>
      </c>
      <c r="BW8" s="119">
        <f t="shared" si="21"/>
        <v>0.72345510413110281</v>
      </c>
      <c r="BX8" s="119">
        <f t="shared" si="21"/>
        <v>0.63007518796992479</v>
      </c>
      <c r="BY8" s="119">
        <f t="shared" si="21"/>
        <v>0.66666666666666663</v>
      </c>
      <c r="BZ8" s="119">
        <f t="shared" si="21"/>
        <v>0.13392857142857142</v>
      </c>
      <c r="CB8" s="76" t="s">
        <v>37</v>
      </c>
      <c r="CC8" s="76" t="e">
        <f>MEDIAN(CC14:CC1007)</f>
        <v>#NUM!</v>
      </c>
      <c r="CD8" s="64">
        <f t="shared" ref="CD8:CI8" si="22">MEDIAN(CD14:CD1007)</f>
        <v>0.52766445690973995</v>
      </c>
      <c r="CE8" s="64">
        <f t="shared" si="22"/>
        <v>0.70659971305595404</v>
      </c>
      <c r="CF8" s="64">
        <f t="shared" si="22"/>
        <v>0.70731707317073167</v>
      </c>
      <c r="CG8" s="64">
        <f t="shared" si="22"/>
        <v>0.66666666666666663</v>
      </c>
      <c r="CH8" s="64">
        <f t="shared" si="22"/>
        <v>0.60620300751879697</v>
      </c>
      <c r="CI8" s="64">
        <f t="shared" si="22"/>
        <v>0.62731481481481488</v>
      </c>
      <c r="CJ8" s="64"/>
      <c r="CK8" s="60"/>
      <c r="CL8" s="76" t="s">
        <v>37</v>
      </c>
      <c r="CM8" s="76"/>
      <c r="CN8" s="64">
        <f t="shared" ref="CN8:CS8" si="23">MEDIAN(CN14:CN1007)</f>
        <v>1.880607315389924E-2</v>
      </c>
      <c r="CO8" s="64">
        <f t="shared" si="23"/>
        <v>0.14285714285714285</v>
      </c>
      <c r="CP8" s="64">
        <f t="shared" si="23"/>
        <v>0.26969696969696966</v>
      </c>
      <c r="CQ8" s="64">
        <f t="shared" si="23"/>
        <v>0.33333333333333331</v>
      </c>
      <c r="CR8" s="64">
        <f t="shared" si="23"/>
        <v>0.35714285714285715</v>
      </c>
      <c r="CS8" s="64">
        <f t="shared" si="23"/>
        <v>0.30625000000000002</v>
      </c>
      <c r="CT8" s="64"/>
      <c r="CV8" s="46" t="s">
        <v>58</v>
      </c>
      <c r="CW8" s="18"/>
      <c r="CX8" s="18">
        <f>Parameters!F24</f>
        <v>2.7699999999999999E-2</v>
      </c>
      <c r="CY8" s="18">
        <f>Parameters!G24</f>
        <v>6.6500000000000004E-2</v>
      </c>
      <c r="CZ8" s="18">
        <f>Parameters!H24</f>
        <v>7.3300000000000004E-2</v>
      </c>
      <c r="DA8" s="18">
        <f>Parameters!I24</f>
        <v>5.5500000000000001E-2</v>
      </c>
      <c r="DB8" s="18">
        <f>Parameters!J24</f>
        <v>2.3E-2</v>
      </c>
      <c r="DC8" s="18">
        <f>Parameters!K24</f>
        <v>6.4999999999999997E-3</v>
      </c>
    </row>
    <row r="9" spans="1:107" x14ac:dyDescent="0.25">
      <c r="A9" s="23" t="s">
        <v>38</v>
      </c>
      <c r="B9" s="80" t="e">
        <f>_xlfn.PERCENTILE.INC(B14:B1007,alpha/2)</f>
        <v>#NUM!</v>
      </c>
      <c r="C9" s="82">
        <f t="shared" ref="C9:H9" si="24">_xlfn.PERCENTILE.INC(C14:C1007,alpha/2)</f>
        <v>0</v>
      </c>
      <c r="D9" s="82">
        <f t="shared" si="24"/>
        <v>0</v>
      </c>
      <c r="E9" s="82">
        <f t="shared" si="24"/>
        <v>0</v>
      </c>
      <c r="F9" s="82">
        <f t="shared" si="24"/>
        <v>0</v>
      </c>
      <c r="G9" s="82">
        <f t="shared" si="24"/>
        <v>0</v>
      </c>
      <c r="H9" s="82">
        <f t="shared" si="24"/>
        <v>0</v>
      </c>
      <c r="J9" s="23" t="s">
        <v>38</v>
      </c>
      <c r="K9" s="23">
        <f t="shared" ref="K9:R9" si="25">_xlfn.PERCENTILE.INC(K14:K1007,alpha/2)</f>
        <v>0</v>
      </c>
      <c r="L9" s="23">
        <f t="shared" si="25"/>
        <v>0</v>
      </c>
      <c r="M9" s="23">
        <f t="shared" si="25"/>
        <v>2.2459555106167848</v>
      </c>
      <c r="N9" s="23">
        <f t="shared" si="25"/>
        <v>0</v>
      </c>
      <c r="O9" s="23">
        <f t="shared" si="25"/>
        <v>0</v>
      </c>
      <c r="P9" s="23">
        <f t="shared" si="25"/>
        <v>4.441699604743083</v>
      </c>
      <c r="Q9" s="23">
        <f t="shared" si="25"/>
        <v>0</v>
      </c>
      <c r="R9" s="23">
        <f t="shared" si="25"/>
        <v>0</v>
      </c>
      <c r="U9" s="23" t="s">
        <v>38</v>
      </c>
      <c r="V9" s="119">
        <f t="shared" ref="V9:AA9" si="26">_xlfn.PERCENTILE.INC(V14:V1007,alpha/2)</f>
        <v>9.1799999999999993E-2</v>
      </c>
      <c r="W9" s="119">
        <f t="shared" si="26"/>
        <v>0.108</v>
      </c>
      <c r="X9" s="119">
        <f t="shared" si="26"/>
        <v>0.28799999999999998</v>
      </c>
      <c r="Y9" s="119">
        <f t="shared" si="26"/>
        <v>9.6000000000000002E-2</v>
      </c>
      <c r="Z9" s="119">
        <f t="shared" si="26"/>
        <v>1.2E-2</v>
      </c>
      <c r="AA9" s="119">
        <f t="shared" si="26"/>
        <v>1.7899999999999999E-2</v>
      </c>
      <c r="AB9" s="83"/>
      <c r="AC9" s="76" t="s">
        <v>38</v>
      </c>
      <c r="AD9" s="76" t="e">
        <f>_xlfn.PERCENTILE.INC(AD14:AD1007,alpha/2)</f>
        <v>#NUM!</v>
      </c>
      <c r="AE9" s="84">
        <f t="shared" ref="AE9:AJ9" si="27">_xlfn.PERCENTILE.INC(AE14:AE1007,alpha/2)</f>
        <v>0</v>
      </c>
      <c r="AF9" s="84">
        <f t="shared" si="27"/>
        <v>0</v>
      </c>
      <c r="AG9" s="84">
        <f t="shared" si="27"/>
        <v>0</v>
      </c>
      <c r="AH9" s="84">
        <f t="shared" si="27"/>
        <v>0</v>
      </c>
      <c r="AI9" s="84">
        <f t="shared" si="27"/>
        <v>0</v>
      </c>
      <c r="AJ9" s="84">
        <f t="shared" si="27"/>
        <v>0</v>
      </c>
      <c r="AK9" s="84"/>
      <c r="AM9" s="76" t="s">
        <v>38</v>
      </c>
      <c r="AN9" s="76" t="e">
        <f>_xlfn.PERCENTILE.INC(AN14:AN1007,alpha/2)</f>
        <v>#NUM!</v>
      </c>
      <c r="AO9" s="84">
        <f t="shared" ref="AO9:AT9" si="28">_xlfn.PERCENTILE.INC(AO14:AO1007,alpha/2)</f>
        <v>0</v>
      </c>
      <c r="AP9" s="84">
        <f t="shared" si="28"/>
        <v>0</v>
      </c>
      <c r="AQ9" s="84">
        <f t="shared" si="28"/>
        <v>0</v>
      </c>
      <c r="AR9" s="84">
        <f t="shared" si="28"/>
        <v>0</v>
      </c>
      <c r="AS9" s="84">
        <f t="shared" si="28"/>
        <v>0</v>
      </c>
      <c r="AT9" s="84">
        <f t="shared" si="28"/>
        <v>0</v>
      </c>
      <c r="AU9" s="83">
        <f>_xlfn.PERCENTILE.INC(AU14:AU1007,alpha/2)</f>
        <v>2.1378066584604814E-2</v>
      </c>
      <c r="AV9" s="83"/>
      <c r="AW9" s="83">
        <f>_xlfn.PERCENTILE.INC(AW14:AW1007,alpha/2)</f>
        <v>1.2816261360845002E-2</v>
      </c>
      <c r="AX9" s="83"/>
      <c r="AY9" s="76" t="s">
        <v>38</v>
      </c>
      <c r="AZ9" s="76" t="e">
        <f>_xlfn.PERCENTILE.INC(AZ14:AZ1007,alpha/2)</f>
        <v>#NUM!</v>
      </c>
      <c r="BA9" s="84">
        <f t="shared" ref="BA9:BF9" si="29">_xlfn.PERCENTILE.INC(BA14:BA1007,alpha/2)</f>
        <v>0</v>
      </c>
      <c r="BB9" s="84">
        <f t="shared" si="29"/>
        <v>0</v>
      </c>
      <c r="BC9" s="84">
        <f t="shared" si="29"/>
        <v>0</v>
      </c>
      <c r="BD9" s="84">
        <f t="shared" si="29"/>
        <v>0</v>
      </c>
      <c r="BE9" s="84">
        <f t="shared" si="29"/>
        <v>0</v>
      </c>
      <c r="BF9" s="84">
        <f t="shared" si="29"/>
        <v>0</v>
      </c>
      <c r="BG9" s="84">
        <f>_xlfn.PERCENTILE.INC(BG14:BG1007,alpha/2)</f>
        <v>0.25238095238095237</v>
      </c>
      <c r="BI9" s="83">
        <f>_xlfn.PERCENTILE.INC(BI14:BI1007,alpha/2)</f>
        <v>7.7965435978004711</v>
      </c>
      <c r="BJ9" s="83"/>
      <c r="BK9" s="76" t="s">
        <v>38</v>
      </c>
      <c r="BL9" s="84">
        <f>_xlfn.PERCENTILE.INC(BL14:BL1007,alpha/2)</f>
        <v>0</v>
      </c>
      <c r="BM9" s="84">
        <f>_xlfn.PERCENTILE.INC(BM14:BM1007,alpha/2)</f>
        <v>0</v>
      </c>
      <c r="BN9" s="84">
        <f>_xlfn.PERCENTILE.INC(BN14:BN1007,alpha/2)</f>
        <v>0.18166666666666667</v>
      </c>
      <c r="BO9" s="84" t="e">
        <f>_xlfn.PERCENTILE.INC(BO14:BO1007,alpha/2)</f>
        <v>#NUM!</v>
      </c>
      <c r="BQ9" s="83">
        <f>_xlfn.PERCENTILE.INC(BQ14:BQ1007,alpha/2)</f>
        <v>4</v>
      </c>
      <c r="BT9" s="23" t="s">
        <v>38</v>
      </c>
      <c r="BU9" s="119">
        <f t="shared" ref="BU9:BZ9" si="30">_xlfn.PERCENTILE.INC(BU14:BU1007,alpha/2)</f>
        <v>0.48009446693657221</v>
      </c>
      <c r="BV9" s="119">
        <f t="shared" si="30"/>
        <v>0.37065972222222221</v>
      </c>
      <c r="BW9" s="119">
        <f t="shared" si="30"/>
        <v>0.62186810878924703</v>
      </c>
      <c r="BX9" s="119">
        <f t="shared" si="30"/>
        <v>0.43531249999999999</v>
      </c>
      <c r="BY9" s="119">
        <f t="shared" si="30"/>
        <v>0.3158333333333333</v>
      </c>
      <c r="BZ9" s="119">
        <f t="shared" si="30"/>
        <v>0</v>
      </c>
      <c r="CB9" s="76" t="s">
        <v>38</v>
      </c>
      <c r="CC9" s="76" t="e">
        <f>_xlfn.PERCENTILE.INC(CC14:CC1007,alpha/2)</f>
        <v>#NUM!</v>
      </c>
      <c r="CD9" s="84">
        <f t="shared" ref="CD9:CI9" si="31">_xlfn.PERCENTILE.INC(CD14:CD1007,alpha/2)</f>
        <v>0.33828828828828827</v>
      </c>
      <c r="CE9" s="84">
        <f t="shared" si="31"/>
        <v>0.46862745098039216</v>
      </c>
      <c r="CF9" s="84">
        <f t="shared" si="31"/>
        <v>0.55703044375644994</v>
      </c>
      <c r="CG9" s="84">
        <f t="shared" si="31"/>
        <v>0.52631578947368418</v>
      </c>
      <c r="CH9" s="84">
        <f t="shared" si="31"/>
        <v>0.4072058823529412</v>
      </c>
      <c r="CI9" s="84">
        <f t="shared" si="31"/>
        <v>0.3553475935828877</v>
      </c>
      <c r="CJ9" s="84"/>
      <c r="CK9" s="83"/>
      <c r="CL9" s="76" t="s">
        <v>38</v>
      </c>
      <c r="CM9" s="76"/>
      <c r="CN9" s="84">
        <f t="shared" ref="CN9:CS9" si="32">_xlfn.PERCENTILE.INC(CN14:CN1007,alpha/2)</f>
        <v>0</v>
      </c>
      <c r="CO9" s="84">
        <f t="shared" si="32"/>
        <v>0</v>
      </c>
      <c r="CP9" s="84">
        <f t="shared" si="32"/>
        <v>0</v>
      </c>
      <c r="CQ9" s="84">
        <f t="shared" si="32"/>
        <v>0</v>
      </c>
      <c r="CR9" s="84">
        <f t="shared" si="32"/>
        <v>1.2499999999999992E-2</v>
      </c>
      <c r="CS9" s="84">
        <f t="shared" si="32"/>
        <v>0</v>
      </c>
      <c r="CT9" s="84"/>
      <c r="CV9" s="13"/>
      <c r="CW9" s="36"/>
      <c r="CX9" s="36">
        <f t="shared" ref="CX9:DC9" si="33">SUM(CX3:CX8)</f>
        <v>1</v>
      </c>
      <c r="CY9" s="36">
        <f t="shared" si="33"/>
        <v>1</v>
      </c>
      <c r="CZ9" s="36">
        <f t="shared" si="33"/>
        <v>1</v>
      </c>
      <c r="DA9" s="36">
        <f t="shared" si="33"/>
        <v>1.0000000000000002</v>
      </c>
      <c r="DB9" s="36">
        <f t="shared" si="33"/>
        <v>1</v>
      </c>
      <c r="DC9" s="36">
        <f t="shared" si="33"/>
        <v>0.99999999999999989</v>
      </c>
    </row>
    <row r="10" spans="1:107" x14ac:dyDescent="0.25">
      <c r="A10" s="23" t="s">
        <v>39</v>
      </c>
      <c r="B10" s="80" t="e">
        <f>_xlfn.PERCENTILE.INC(B14:B1007,1-alpha/2)</f>
        <v>#NUM!</v>
      </c>
      <c r="C10" s="82">
        <f t="shared" ref="C10:H10" si="34">_xlfn.PERCENTILE.INC(C14:C1007,1-alpha/2)</f>
        <v>107.38636363636351</v>
      </c>
      <c r="D10" s="82">
        <f t="shared" si="34"/>
        <v>141.96428571428569</v>
      </c>
      <c r="E10" s="82">
        <f t="shared" si="34"/>
        <v>125</v>
      </c>
      <c r="F10" s="82">
        <f t="shared" si="34"/>
        <v>112.90322580645162</v>
      </c>
      <c r="G10" s="82">
        <f t="shared" si="34"/>
        <v>90.26442307692318</v>
      </c>
      <c r="H10" s="82">
        <f t="shared" si="34"/>
        <v>51.01674641148319</v>
      </c>
      <c r="J10" s="23" t="s">
        <v>39</v>
      </c>
      <c r="K10" s="23">
        <f t="shared" ref="K10:R10" si="35">_xlfn.PERCENTILE.INC(K14:K1007,1-alpha/2)</f>
        <v>0</v>
      </c>
      <c r="L10" s="23">
        <f t="shared" si="35"/>
        <v>26.874999999999968</v>
      </c>
      <c r="M10" s="23">
        <f t="shared" si="35"/>
        <v>22.61931818181818</v>
      </c>
      <c r="N10" s="23">
        <f t="shared" si="35"/>
        <v>50</v>
      </c>
      <c r="O10" s="23">
        <f t="shared" si="35"/>
        <v>0</v>
      </c>
      <c r="P10" s="23">
        <f t="shared" si="35"/>
        <v>42.76041666666665</v>
      </c>
      <c r="Q10" s="23">
        <f t="shared" si="35"/>
        <v>50</v>
      </c>
      <c r="R10" s="23">
        <f t="shared" si="35"/>
        <v>59.999999999999901</v>
      </c>
      <c r="U10" s="23" t="s">
        <v>39</v>
      </c>
      <c r="V10" s="119">
        <f t="shared" ref="V10:AA10" si="36">_xlfn.PERCENTILE.INC(V14:V1007,1-alpha/2)</f>
        <v>0.3</v>
      </c>
      <c r="W10" s="119">
        <f t="shared" si="36"/>
        <v>0.3221</v>
      </c>
      <c r="X10" s="119">
        <f t="shared" si="36"/>
        <v>0.46800000000000003</v>
      </c>
      <c r="Y10" s="119">
        <f t="shared" si="36"/>
        <v>0.18229999999999991</v>
      </c>
      <c r="Z10" s="119">
        <f t="shared" si="36"/>
        <v>5.4099999999999968E-2</v>
      </c>
      <c r="AA10" s="119">
        <f t="shared" si="36"/>
        <v>0.08</v>
      </c>
      <c r="AB10" s="83"/>
      <c r="AC10" s="76" t="s">
        <v>39</v>
      </c>
      <c r="AD10" s="76" t="e">
        <f>_xlfn.PERCENTILE.INC(AD14:AD1007,1-alpha/2)</f>
        <v>#NUM!</v>
      </c>
      <c r="AE10" s="84">
        <f t="shared" ref="AE10:AJ10" si="37">_xlfn.PERCENTILE.INC(AE14:AE1007,1-alpha/2)</f>
        <v>9.5742685671417832E-2</v>
      </c>
      <c r="AF10" s="84">
        <f t="shared" si="37"/>
        <v>0.18706140350877171</v>
      </c>
      <c r="AG10" s="84">
        <f t="shared" si="37"/>
        <v>0.18593749999999998</v>
      </c>
      <c r="AH10" s="84">
        <f t="shared" si="37"/>
        <v>0.12724358974358974</v>
      </c>
      <c r="AI10" s="84">
        <f t="shared" si="37"/>
        <v>7.6923076923076927E-2</v>
      </c>
      <c r="AJ10" s="84">
        <f t="shared" si="37"/>
        <v>3.8541666666666544E-2</v>
      </c>
      <c r="AK10" s="84"/>
      <c r="AM10" s="76" t="s">
        <v>39</v>
      </c>
      <c r="AN10" s="76" t="e">
        <f>_xlfn.PERCENTILE.INC(AN14:AN1007,1-alpha/2)</f>
        <v>#NUM!</v>
      </c>
      <c r="AO10" s="84">
        <f t="shared" ref="AO10:AT10" si="38">_xlfn.PERCENTILE.INC(AO14:AO1007,1-alpha/2)</f>
        <v>4.674603174603173E-2</v>
      </c>
      <c r="AP10" s="84">
        <f t="shared" si="38"/>
        <v>9.1612200435729804E-2</v>
      </c>
      <c r="AQ10" s="84">
        <f t="shared" si="38"/>
        <v>0.13687865497076018</v>
      </c>
      <c r="AR10" s="84">
        <f t="shared" si="38"/>
        <v>0.16666666666666666</v>
      </c>
      <c r="AS10" s="84">
        <f t="shared" si="38"/>
        <v>0.2056896551724138</v>
      </c>
      <c r="AT10" s="84">
        <f t="shared" si="38"/>
        <v>0.32681159420289829</v>
      </c>
      <c r="AU10" s="83">
        <f>_xlfn.PERCENTILE.INC(AU14:AU1007,1-alpha/2)</f>
        <v>8.0669171845642429E-2</v>
      </c>
      <c r="AV10" s="83"/>
      <c r="AW10" s="83">
        <f>_xlfn.PERCENTILE.INC(AW14:AW1007,1-alpha/2)</f>
        <v>6.2075581395348807E-2</v>
      </c>
      <c r="AX10" s="83"/>
      <c r="AY10" s="76" t="s">
        <v>39</v>
      </c>
      <c r="AZ10" s="76" t="e">
        <f>_xlfn.PERCENTILE.INC(AZ14:AZ1007,1-alpha/2)</f>
        <v>#NUM!</v>
      </c>
      <c r="BA10" s="84">
        <f t="shared" ref="BA10:BF10" si="39">_xlfn.PERCENTILE.INC(BA14:BA1007,1-alpha/2)</f>
        <v>1</v>
      </c>
      <c r="BB10" s="84">
        <f t="shared" si="39"/>
        <v>1</v>
      </c>
      <c r="BC10" s="84">
        <f t="shared" si="39"/>
        <v>1</v>
      </c>
      <c r="BD10" s="84">
        <f t="shared" si="39"/>
        <v>1</v>
      </c>
      <c r="BE10" s="84">
        <f t="shared" si="39"/>
        <v>1</v>
      </c>
      <c r="BF10" s="84">
        <f t="shared" si="39"/>
        <v>1</v>
      </c>
      <c r="BG10" s="84">
        <f>_xlfn.PERCENTILE.INC(BG14:BG1007,1-alpha/2)</f>
        <v>1</v>
      </c>
      <c r="BI10" s="83">
        <f>_xlfn.PERCENTILE.INC(BI14:BI1007,1-alpha/2)</f>
        <v>52.387151310228219</v>
      </c>
      <c r="BJ10" s="83"/>
      <c r="BK10" s="76" t="s">
        <v>39</v>
      </c>
      <c r="BL10" s="84">
        <f>_xlfn.PERCENTILE.INC(BL14:BL1007,1-alpha/2)</f>
        <v>0.77749999999999986</v>
      </c>
      <c r="BM10" s="84">
        <f>_xlfn.PERCENTILE.INC(BM14:BM1007,1-alpha/2)</f>
        <v>0.5</v>
      </c>
      <c r="BN10" s="84">
        <f>_xlfn.PERCENTILE.INC(BN14:BN1007,1-alpha/2)</f>
        <v>1</v>
      </c>
      <c r="BO10" s="84" t="e">
        <f>_xlfn.PERCENTILE.INC(BO14:BO1007,1-alpha/2)</f>
        <v>#NUM!</v>
      </c>
      <c r="BQ10" s="83">
        <f>_xlfn.PERCENTILE.INC(BQ14:BQ1007,1-alpha/2)</f>
        <v>16.524999999999991</v>
      </c>
      <c r="BT10" s="23" t="s">
        <v>39</v>
      </c>
      <c r="BU10" s="119">
        <f t="shared" ref="BU10:BZ10" si="40">_xlfn.PERCENTILE.INC(BU14:BU1007,1-alpha/2)</f>
        <v>0.73583333333333334</v>
      </c>
      <c r="BV10" s="119">
        <f t="shared" si="40"/>
        <v>0.70005681818181809</v>
      </c>
      <c r="BW10" s="119">
        <f t="shared" si="40"/>
        <v>0.80653330249768729</v>
      </c>
      <c r="BX10" s="119">
        <f t="shared" si="40"/>
        <v>0.76369463869463861</v>
      </c>
      <c r="BY10" s="119">
        <f t="shared" si="40"/>
        <v>1</v>
      </c>
      <c r="BZ10" s="119">
        <f t="shared" si="40"/>
        <v>0.3458333333333331</v>
      </c>
      <c r="CB10" s="76" t="s">
        <v>39</v>
      </c>
      <c r="CC10" s="76" t="e">
        <f>_xlfn.PERCENTILE.INC(CC14:CC1007,1-alpha/2)</f>
        <v>#NUM!</v>
      </c>
      <c r="CD10" s="84">
        <f t="shared" ref="CD10:CI10" si="41">_xlfn.PERCENTILE.INC(CD14:CD1007,1-alpha/2)</f>
        <v>0.68414285714285716</v>
      </c>
      <c r="CE10" s="84">
        <f t="shared" si="41"/>
        <v>0.83065476190476184</v>
      </c>
      <c r="CF10" s="84">
        <f t="shared" si="41"/>
        <v>0.82701149425287346</v>
      </c>
      <c r="CG10" s="84">
        <f t="shared" si="41"/>
        <v>0.81160714285714286</v>
      </c>
      <c r="CH10" s="84">
        <f t="shared" si="41"/>
        <v>0.8</v>
      </c>
      <c r="CI10" s="84">
        <f t="shared" si="41"/>
        <v>0.97065217391304237</v>
      </c>
      <c r="CJ10" s="84"/>
      <c r="CK10" s="83"/>
      <c r="CL10" s="76" t="s">
        <v>39</v>
      </c>
      <c r="CM10" s="76"/>
      <c r="CN10" s="84">
        <f t="shared" ref="CN10:CS10" si="42">_xlfn.PERCENTILE.INC(CN14:CN1007,1-alpha/2)</f>
        <v>0.12023172905525845</v>
      </c>
      <c r="CO10" s="84">
        <f t="shared" si="42"/>
        <v>0.36666666666666653</v>
      </c>
      <c r="CP10" s="84">
        <f t="shared" si="42"/>
        <v>0.64523809523809439</v>
      </c>
      <c r="CQ10" s="84">
        <f t="shared" si="42"/>
        <v>0.7250000000000002</v>
      </c>
      <c r="CR10" s="84">
        <f t="shared" si="42"/>
        <v>0.96249999999999858</v>
      </c>
      <c r="CS10" s="84">
        <f t="shared" si="42"/>
        <v>0.81875000000000031</v>
      </c>
      <c r="CT10" s="84"/>
    </row>
    <row r="11" spans="1:107" x14ac:dyDescent="0.25">
      <c r="A11" s="23" t="s">
        <v>44</v>
      </c>
      <c r="B11" s="80" t="e">
        <f>B8-B9</f>
        <v>#NUM!</v>
      </c>
      <c r="C11" s="82">
        <f t="shared" ref="C11:H11" si="43">C8-C9</f>
        <v>22.352647352647352</v>
      </c>
      <c r="D11" s="82">
        <f t="shared" si="43"/>
        <v>47.765617875057004</v>
      </c>
      <c r="E11" s="82">
        <f t="shared" si="43"/>
        <v>60</v>
      </c>
      <c r="F11" s="82">
        <f t="shared" si="43"/>
        <v>53.763440860215056</v>
      </c>
      <c r="G11" s="82">
        <f t="shared" si="43"/>
        <v>18.362533692722373</v>
      </c>
      <c r="H11" s="82">
        <f t="shared" si="43"/>
        <v>0</v>
      </c>
      <c r="J11" s="23" t="s">
        <v>44</v>
      </c>
      <c r="K11" s="23">
        <f>K8-K9</f>
        <v>0</v>
      </c>
      <c r="L11" s="23">
        <f t="shared" ref="L11:R11" si="44">L8-L9</f>
        <v>0</v>
      </c>
      <c r="M11" s="23">
        <f t="shared" si="44"/>
        <v>6.5775739011479217</v>
      </c>
      <c r="N11" s="23">
        <f t="shared" si="44"/>
        <v>0</v>
      </c>
      <c r="O11" s="23">
        <f t="shared" si="44"/>
        <v>0</v>
      </c>
      <c r="P11" s="23">
        <f t="shared" si="44"/>
        <v>13.205359218786331</v>
      </c>
      <c r="Q11" s="23">
        <f t="shared" si="44"/>
        <v>20</v>
      </c>
      <c r="R11" s="23">
        <f t="shared" si="44"/>
        <v>12.5</v>
      </c>
      <c r="U11" s="23" t="s">
        <v>44</v>
      </c>
      <c r="V11" s="119">
        <f t="shared" ref="V11:AA11" si="45">V8-V9</f>
        <v>0.10220000000000001</v>
      </c>
      <c r="W11" s="119">
        <f t="shared" si="45"/>
        <v>0.108</v>
      </c>
      <c r="X11" s="119">
        <f t="shared" si="45"/>
        <v>8.4000000000000019E-2</v>
      </c>
      <c r="Y11" s="119">
        <f t="shared" si="45"/>
        <v>3.8000000000000006E-2</v>
      </c>
      <c r="Z11" s="119">
        <f t="shared" si="45"/>
        <v>1.6E-2</v>
      </c>
      <c r="AA11" s="119">
        <f t="shared" si="45"/>
        <v>2.6099999999999998E-2</v>
      </c>
      <c r="AB11" s="83"/>
      <c r="AC11" s="76" t="s">
        <v>44</v>
      </c>
      <c r="AD11" s="76" t="e">
        <f>AD8-AD9</f>
        <v>#NUM!</v>
      </c>
      <c r="AE11" s="84">
        <f t="shared" ref="AE11:AJ11" si="46">AE8-AE9</f>
        <v>3.3438897168405368E-2</v>
      </c>
      <c r="AF11" s="84">
        <f t="shared" si="46"/>
        <v>6.5148305084745756E-2</v>
      </c>
      <c r="AG11" s="84">
        <f t="shared" si="46"/>
        <v>6.8620527306967993E-2</v>
      </c>
      <c r="AH11" s="84">
        <f t="shared" si="46"/>
        <v>5.2631578947368418E-2</v>
      </c>
      <c r="AI11" s="84">
        <f t="shared" si="46"/>
        <v>1.9230769230769232E-2</v>
      </c>
      <c r="AJ11" s="84">
        <f t="shared" si="46"/>
        <v>0</v>
      </c>
      <c r="AK11" s="84"/>
      <c r="AM11" s="76" t="s">
        <v>44</v>
      </c>
      <c r="AN11" s="76" t="e">
        <f>AN8-AN9</f>
        <v>#NUM!</v>
      </c>
      <c r="AO11" s="84">
        <f t="shared" ref="AO11:AT11" si="47">AO8-AO9</f>
        <v>0</v>
      </c>
      <c r="AP11" s="84">
        <f t="shared" si="47"/>
        <v>2.8571428571428571E-2</v>
      </c>
      <c r="AQ11" s="84">
        <f t="shared" si="47"/>
        <v>4.6739130434782609E-2</v>
      </c>
      <c r="AR11" s="84">
        <f t="shared" si="47"/>
        <v>6.6666666666666666E-2</v>
      </c>
      <c r="AS11" s="84">
        <f t="shared" si="47"/>
        <v>6.9767441860465115E-2</v>
      </c>
      <c r="AT11" s="84">
        <f t="shared" si="47"/>
        <v>6.25E-2</v>
      </c>
      <c r="AU11" s="83">
        <f>AU8-AU9</f>
        <v>2.6449677317834212E-2</v>
      </c>
      <c r="AV11" s="83"/>
      <c r="AW11" s="83">
        <f>AW8-AW9</f>
        <v>1.9015993072028628E-2</v>
      </c>
      <c r="AX11" s="83"/>
      <c r="AY11" s="76" t="s">
        <v>44</v>
      </c>
      <c r="AZ11" s="76" t="e">
        <f>AZ8-AZ9</f>
        <v>#NUM!</v>
      </c>
      <c r="BA11" s="84">
        <f t="shared" ref="BA11:BG11" si="48">BA8-BA9</f>
        <v>0.5</v>
      </c>
      <c r="BB11" s="84">
        <f t="shared" si="48"/>
        <v>0.66666666666666663</v>
      </c>
      <c r="BC11" s="84">
        <f t="shared" si="48"/>
        <v>0.66666666666666663</v>
      </c>
      <c r="BD11" s="84">
        <f t="shared" si="48"/>
        <v>0.66666666666666663</v>
      </c>
      <c r="BE11" s="84">
        <f t="shared" si="48"/>
        <v>0.5</v>
      </c>
      <c r="BF11" s="84">
        <f t="shared" si="48"/>
        <v>1</v>
      </c>
      <c r="BG11" s="84">
        <f t="shared" si="48"/>
        <v>0.34761904761904761</v>
      </c>
      <c r="BI11" s="83">
        <f>BI8-BI9</f>
        <v>18.730335096260884</v>
      </c>
      <c r="BJ11" s="83"/>
      <c r="BK11" s="76" t="s">
        <v>44</v>
      </c>
      <c r="BL11" s="84">
        <f>BL8-BL9</f>
        <v>0.2857142857142857</v>
      </c>
      <c r="BM11" s="84">
        <f>BM8-BM9</f>
        <v>0</v>
      </c>
      <c r="BN11" s="84">
        <f>BN8-BN9</f>
        <v>0.38976190476190475</v>
      </c>
      <c r="BO11" s="84" t="e">
        <f>BO8-BO9</f>
        <v>#NUM!</v>
      </c>
      <c r="BQ11" s="83">
        <f>BQ8-BQ9</f>
        <v>4</v>
      </c>
      <c r="BT11" s="23" t="s">
        <v>44</v>
      </c>
      <c r="BU11" s="119">
        <f t="shared" ref="BU11:BZ11" si="49">BU8-BU9</f>
        <v>0.1402503606496347</v>
      </c>
      <c r="BV11" s="119">
        <f t="shared" si="49"/>
        <v>0.13812302045882552</v>
      </c>
      <c r="BW11" s="119">
        <f t="shared" si="49"/>
        <v>0.10158699534185578</v>
      </c>
      <c r="BX11" s="119">
        <f t="shared" si="49"/>
        <v>0.1947626879699248</v>
      </c>
      <c r="BY11" s="119">
        <f t="shared" si="49"/>
        <v>0.35083333333333333</v>
      </c>
      <c r="BZ11" s="119">
        <f t="shared" si="49"/>
        <v>0.13392857142857142</v>
      </c>
      <c r="CB11" s="76" t="s">
        <v>44</v>
      </c>
      <c r="CC11" s="76" t="e">
        <f>CC8-CC9</f>
        <v>#NUM!</v>
      </c>
      <c r="CD11" s="84">
        <f t="shared" ref="CD11:CI11" si="50">CD8-CD9</f>
        <v>0.18937616862145168</v>
      </c>
      <c r="CE11" s="84">
        <f t="shared" si="50"/>
        <v>0.23797226207556188</v>
      </c>
      <c r="CF11" s="84">
        <f t="shared" si="50"/>
        <v>0.15028662941428172</v>
      </c>
      <c r="CG11" s="84">
        <f t="shared" si="50"/>
        <v>0.14035087719298245</v>
      </c>
      <c r="CH11" s="84">
        <f t="shared" si="50"/>
        <v>0.19899712516585577</v>
      </c>
      <c r="CI11" s="84">
        <f t="shared" si="50"/>
        <v>0.27196722123192718</v>
      </c>
      <c r="CJ11" s="84"/>
      <c r="CK11" s="83"/>
      <c r="CL11" s="76" t="s">
        <v>44</v>
      </c>
      <c r="CM11" s="76"/>
      <c r="CN11" s="84">
        <f t="shared" ref="CN11:CS11" si="51">CN8-CN9</f>
        <v>1.880607315389924E-2</v>
      </c>
      <c r="CO11" s="84">
        <f t="shared" si="51"/>
        <v>0.14285714285714285</v>
      </c>
      <c r="CP11" s="84">
        <f t="shared" si="51"/>
        <v>0.26969696969696966</v>
      </c>
      <c r="CQ11" s="84">
        <f t="shared" si="51"/>
        <v>0.33333333333333331</v>
      </c>
      <c r="CR11" s="84">
        <f t="shared" si="51"/>
        <v>0.34464285714285714</v>
      </c>
      <c r="CS11" s="84">
        <f t="shared" si="51"/>
        <v>0.30625000000000002</v>
      </c>
      <c r="CT11" s="84"/>
      <c r="CV11" s="154" t="s">
        <v>110</v>
      </c>
      <c r="CW11" s="22" t="s">
        <v>43</v>
      </c>
      <c r="CX11" s="20" t="s">
        <v>16</v>
      </c>
      <c r="CY11" s="20" t="s">
        <v>17</v>
      </c>
      <c r="CZ11" s="14" t="s">
        <v>18</v>
      </c>
      <c r="DA11" s="14" t="s">
        <v>41</v>
      </c>
      <c r="DB11" s="14" t="s">
        <v>19</v>
      </c>
      <c r="DC11" s="14" t="s">
        <v>20</v>
      </c>
    </row>
    <row r="12" spans="1:107" x14ac:dyDescent="0.25">
      <c r="A12" s="69" t="s">
        <v>45</v>
      </c>
      <c r="B12" s="86" t="e">
        <f>B10-B8</f>
        <v>#NUM!</v>
      </c>
      <c r="C12" s="87">
        <f t="shared" ref="C12:H12" si="52">C10-C8</f>
        <v>85.03371628371616</v>
      </c>
      <c r="D12" s="87">
        <f t="shared" si="52"/>
        <v>94.19866783922869</v>
      </c>
      <c r="E12" s="87">
        <f t="shared" si="52"/>
        <v>65</v>
      </c>
      <c r="F12" s="87">
        <f t="shared" si="52"/>
        <v>59.13978494623656</v>
      </c>
      <c r="G12" s="87">
        <f t="shared" si="52"/>
        <v>71.901889384200814</v>
      </c>
      <c r="H12" s="87">
        <f t="shared" si="52"/>
        <v>51.01674641148319</v>
      </c>
      <c r="J12" s="69" t="s">
        <v>45</v>
      </c>
      <c r="K12" s="23">
        <f>K10-K8</f>
        <v>0</v>
      </c>
      <c r="L12" s="23">
        <f t="shared" ref="L12:R12" si="53">L10-L8</f>
        <v>26.874999999999968</v>
      </c>
      <c r="M12" s="23">
        <f t="shared" si="53"/>
        <v>13.795788770053473</v>
      </c>
      <c r="N12" s="23">
        <f t="shared" si="53"/>
        <v>50</v>
      </c>
      <c r="O12" s="23">
        <f t="shared" si="53"/>
        <v>0</v>
      </c>
      <c r="P12" s="23">
        <f t="shared" si="53"/>
        <v>25.113357843137237</v>
      </c>
      <c r="Q12" s="23">
        <f t="shared" si="53"/>
        <v>30</v>
      </c>
      <c r="R12" s="23">
        <f t="shared" si="53"/>
        <v>47.499999999999901</v>
      </c>
      <c r="U12" s="69" t="s">
        <v>45</v>
      </c>
      <c r="V12" s="120">
        <f t="shared" ref="V12:AA12" si="54">V10-V8</f>
        <v>0.10599999999999998</v>
      </c>
      <c r="W12" s="120">
        <f t="shared" si="54"/>
        <v>0.1061</v>
      </c>
      <c r="X12" s="120">
        <f t="shared" si="54"/>
        <v>9.600000000000003E-2</v>
      </c>
      <c r="Y12" s="120">
        <f t="shared" si="54"/>
        <v>4.8299999999999899E-2</v>
      </c>
      <c r="Z12" s="120">
        <f t="shared" si="54"/>
        <v>2.6099999999999967E-2</v>
      </c>
      <c r="AA12" s="120">
        <f t="shared" si="54"/>
        <v>3.6000000000000004E-2</v>
      </c>
      <c r="AB12" s="90"/>
      <c r="AC12" s="85" t="s">
        <v>45</v>
      </c>
      <c r="AD12" s="85" t="e">
        <f>AD10-AD8</f>
        <v>#NUM!</v>
      </c>
      <c r="AE12" s="89">
        <f t="shared" ref="AE12:AJ12" si="55">AE10-AE8</f>
        <v>6.2303788503012464E-2</v>
      </c>
      <c r="AF12" s="89">
        <f t="shared" si="55"/>
        <v>0.12191309842402595</v>
      </c>
      <c r="AG12" s="89">
        <f t="shared" si="55"/>
        <v>0.11731697269303198</v>
      </c>
      <c r="AH12" s="89">
        <f t="shared" si="55"/>
        <v>7.4612010796221317E-2</v>
      </c>
      <c r="AI12" s="89">
        <f t="shared" si="55"/>
        <v>5.7692307692307696E-2</v>
      </c>
      <c r="AJ12" s="89">
        <f t="shared" si="55"/>
        <v>3.8541666666666544E-2</v>
      </c>
      <c r="AK12" s="89"/>
      <c r="AM12" s="85" t="s">
        <v>45</v>
      </c>
      <c r="AN12" s="85" t="e">
        <f>AN10-AN8</f>
        <v>#NUM!</v>
      </c>
      <c r="AO12" s="89">
        <f t="shared" ref="AO12:AT12" si="56">AO10-AO8</f>
        <v>4.674603174603173E-2</v>
      </c>
      <c r="AP12" s="89">
        <f t="shared" si="56"/>
        <v>6.3040771864301237E-2</v>
      </c>
      <c r="AQ12" s="89">
        <f t="shared" si="56"/>
        <v>9.0139524535977567E-2</v>
      </c>
      <c r="AR12" s="89">
        <f t="shared" si="56"/>
        <v>9.9999999999999992E-2</v>
      </c>
      <c r="AS12" s="89">
        <f t="shared" si="56"/>
        <v>0.1359222133119487</v>
      </c>
      <c r="AT12" s="89">
        <f t="shared" si="56"/>
        <v>0.26431159420289829</v>
      </c>
      <c r="AU12" s="88">
        <f>AU10-AU8</f>
        <v>3.2841427943203404E-2</v>
      </c>
      <c r="AV12" s="90"/>
      <c r="AW12" s="88">
        <f>AW10-AW8</f>
        <v>3.0243326962475177E-2</v>
      </c>
      <c r="AX12" s="90"/>
      <c r="AY12" s="85" t="s">
        <v>45</v>
      </c>
      <c r="AZ12" s="85" t="e">
        <f>AZ10-AZ8</f>
        <v>#NUM!</v>
      </c>
      <c r="BA12" s="89">
        <f t="shared" ref="BA12:BG12" si="57">BA10-BA8</f>
        <v>0.5</v>
      </c>
      <c r="BB12" s="89">
        <f t="shared" si="57"/>
        <v>0.33333333333333337</v>
      </c>
      <c r="BC12" s="89">
        <f t="shared" si="57"/>
        <v>0.33333333333333337</v>
      </c>
      <c r="BD12" s="89">
        <f t="shared" si="57"/>
        <v>0.33333333333333337</v>
      </c>
      <c r="BE12" s="89">
        <f t="shared" si="57"/>
        <v>0.5</v>
      </c>
      <c r="BF12" s="89">
        <f t="shared" si="57"/>
        <v>0</v>
      </c>
      <c r="BG12" s="89">
        <f t="shared" si="57"/>
        <v>0.4</v>
      </c>
      <c r="BI12" s="88">
        <f>BI10-BI8</f>
        <v>25.860272616166863</v>
      </c>
      <c r="BJ12" s="90"/>
      <c r="BK12" s="85" t="s">
        <v>45</v>
      </c>
      <c r="BL12" s="89">
        <f>BL10-BL8</f>
        <v>0.49178571428571416</v>
      </c>
      <c r="BM12" s="89">
        <f>BM10-BM8</f>
        <v>0.5</v>
      </c>
      <c r="BN12" s="89">
        <f>BN10-BN8</f>
        <v>0.4285714285714286</v>
      </c>
      <c r="BO12" s="89" t="e">
        <f>BO10-BO8</f>
        <v>#NUM!</v>
      </c>
      <c r="BQ12" s="88">
        <f>BQ10-BQ8</f>
        <v>8.5249999999999915</v>
      </c>
      <c r="BT12" s="69" t="s">
        <v>45</v>
      </c>
      <c r="BU12" s="120">
        <f t="shared" ref="BU12:BZ12" si="58">BU10-BU8</f>
        <v>0.11548850574712644</v>
      </c>
      <c r="BV12" s="120">
        <f t="shared" si="58"/>
        <v>0.19127407550077036</v>
      </c>
      <c r="BW12" s="120">
        <f t="shared" si="58"/>
        <v>8.3078198366584477E-2</v>
      </c>
      <c r="BX12" s="120">
        <f t="shared" si="58"/>
        <v>0.13361945072471382</v>
      </c>
      <c r="BY12" s="120">
        <f t="shared" si="58"/>
        <v>0.33333333333333337</v>
      </c>
      <c r="BZ12" s="120">
        <f t="shared" si="58"/>
        <v>0.21190476190476168</v>
      </c>
      <c r="CB12" s="85" t="s">
        <v>45</v>
      </c>
      <c r="CC12" s="85" t="e">
        <f>CC10-CC8</f>
        <v>#NUM!</v>
      </c>
      <c r="CD12" s="89">
        <f t="shared" ref="CD12:CI12" si="59">CD10-CD8</f>
        <v>0.15647840023311721</v>
      </c>
      <c r="CE12" s="89">
        <f t="shared" si="59"/>
        <v>0.1240550488488078</v>
      </c>
      <c r="CF12" s="89">
        <f t="shared" si="59"/>
        <v>0.11969442108214179</v>
      </c>
      <c r="CG12" s="89">
        <f t="shared" si="59"/>
        <v>0.14494047619047623</v>
      </c>
      <c r="CH12" s="89">
        <f t="shared" si="59"/>
        <v>0.19379699248120308</v>
      </c>
      <c r="CI12" s="89">
        <f t="shared" si="59"/>
        <v>0.34333735909822749</v>
      </c>
      <c r="CJ12" s="89"/>
      <c r="CK12" s="90"/>
      <c r="CL12" s="85" t="s">
        <v>45</v>
      </c>
      <c r="CM12" s="85"/>
      <c r="CN12" s="89">
        <f t="shared" ref="CN12:CS12" si="60">CN10-CN8</f>
        <v>0.10142565590135921</v>
      </c>
      <c r="CO12" s="89">
        <f t="shared" si="60"/>
        <v>0.22380952380952368</v>
      </c>
      <c r="CP12" s="89">
        <f t="shared" si="60"/>
        <v>0.37554112554112473</v>
      </c>
      <c r="CQ12" s="89">
        <f t="shared" si="60"/>
        <v>0.39166666666666689</v>
      </c>
      <c r="CR12" s="89">
        <f t="shared" si="60"/>
        <v>0.60535714285714137</v>
      </c>
      <c r="CS12" s="89">
        <f t="shared" si="60"/>
        <v>0.51250000000000029</v>
      </c>
      <c r="CT12" s="89"/>
      <c r="CV12" s="145" t="str">
        <f t="shared" ref="CV12:CV17" si="61">CV3</f>
        <v>Sterile</v>
      </c>
      <c r="CW12" s="16"/>
      <c r="CX12" s="16">
        <v>1.2533665847525225E-2</v>
      </c>
      <c r="CY12" s="16">
        <v>3.7229407862637343E-2</v>
      </c>
      <c r="CZ12" s="16">
        <v>0.11826541543655142</v>
      </c>
      <c r="DA12" s="16">
        <v>0.23150840228833378</v>
      </c>
      <c r="DB12" s="16">
        <v>0.32211385078905841</v>
      </c>
      <c r="DC12" s="16">
        <v>0.54195732320279955</v>
      </c>
    </row>
    <row r="13" spans="1:107" x14ac:dyDescent="0.25">
      <c r="B13" s="80"/>
      <c r="C13" s="82"/>
      <c r="D13" s="82"/>
      <c r="E13" s="82"/>
      <c r="F13" s="82"/>
      <c r="G13" s="82"/>
      <c r="H13" s="82"/>
      <c r="CV13" s="145" t="str">
        <f t="shared" si="61"/>
        <v>Inactive</v>
      </c>
      <c r="CW13" s="16"/>
      <c r="CX13" s="16">
        <v>0.61360230708319907</v>
      </c>
      <c r="CY13" s="16">
        <v>0.21329357336635377</v>
      </c>
      <c r="CZ13" s="16">
        <v>0.12194516767885236</v>
      </c>
      <c r="DA13" s="16">
        <v>8.5114715221303372E-2</v>
      </c>
      <c r="DB13" s="16">
        <v>0.10723117979166678</v>
      </c>
      <c r="DC13" s="16">
        <v>0.10219426562184873</v>
      </c>
    </row>
    <row r="14" spans="1:107" x14ac:dyDescent="0.25">
      <c r="C14" s="21">
        <v>0</v>
      </c>
      <c r="D14" s="21">
        <v>71.428571428571431</v>
      </c>
      <c r="E14" s="21">
        <v>24.390243902439025</v>
      </c>
      <c r="F14" s="21">
        <v>41.666666666666664</v>
      </c>
      <c r="G14" s="21">
        <v>0</v>
      </c>
      <c r="H14" s="21">
        <v>0</v>
      </c>
      <c r="K14" s="23">
        <v>0</v>
      </c>
      <c r="L14" s="23">
        <v>7.1428571428571423</v>
      </c>
      <c r="M14" s="23">
        <v>4.8780487804878048</v>
      </c>
      <c r="N14" s="23">
        <v>20</v>
      </c>
      <c r="O14" s="23">
        <v>0</v>
      </c>
      <c r="P14" s="23">
        <v>26.086956521739129</v>
      </c>
      <c r="Q14" s="23">
        <v>33.333333333333329</v>
      </c>
      <c r="R14" s="23">
        <v>50</v>
      </c>
      <c r="V14" s="23">
        <v>0.18</v>
      </c>
      <c r="W14" s="23">
        <v>0.248</v>
      </c>
      <c r="X14" s="23">
        <v>0.372</v>
      </c>
      <c r="Y14" s="23">
        <v>9.6000000000000002E-2</v>
      </c>
      <c r="Z14" s="23">
        <v>5.1999999999999998E-2</v>
      </c>
      <c r="AA14" s="23">
        <v>5.1999999999999998E-2</v>
      </c>
      <c r="AE14" s="23">
        <v>6.3829787234042548E-2</v>
      </c>
      <c r="AF14" s="23">
        <v>7.1428571428571425E-2</v>
      </c>
      <c r="AG14" s="23">
        <v>7.3170731707317069E-2</v>
      </c>
      <c r="AH14" s="23">
        <v>8.3333333333333329E-2</v>
      </c>
      <c r="AI14" s="23">
        <v>0</v>
      </c>
      <c r="AJ14" s="23">
        <v>0</v>
      </c>
      <c r="AO14" s="23">
        <v>0</v>
      </c>
      <c r="AP14" s="23">
        <v>0</v>
      </c>
      <c r="AQ14" s="23">
        <v>0.12903225806451613</v>
      </c>
      <c r="AR14" s="23">
        <v>8.1081081081081086E-2</v>
      </c>
      <c r="AS14" s="23">
        <v>0.14285714285714285</v>
      </c>
      <c r="AT14" s="23">
        <v>0.125</v>
      </c>
      <c r="AU14" s="23">
        <v>6.7708333333333329E-2</v>
      </c>
      <c r="AW14" s="100">
        <v>2.0833333333333332E-2</v>
      </c>
      <c r="BA14" s="23">
        <v>1</v>
      </c>
      <c r="BB14" s="23">
        <v>0.66666666666666663</v>
      </c>
      <c r="BD14" s="23">
        <v>0.66666666666666663</v>
      </c>
      <c r="BG14" s="23">
        <v>0.75</v>
      </c>
      <c r="BI14" s="100">
        <v>31.25</v>
      </c>
      <c r="BL14" s="23">
        <v>0</v>
      </c>
      <c r="BM14" s="23">
        <v>0</v>
      </c>
      <c r="BN14" s="23">
        <v>1</v>
      </c>
      <c r="BQ14" s="100">
        <v>8</v>
      </c>
      <c r="BU14" s="23">
        <v>0.73333333333333328</v>
      </c>
      <c r="BV14" s="23">
        <v>0.45161290322580644</v>
      </c>
      <c r="BW14" s="23">
        <v>0.67741935483870963</v>
      </c>
      <c r="BX14" s="23">
        <v>0.70833333333333337</v>
      </c>
      <c r="BY14" s="23">
        <v>0.69230769230769229</v>
      </c>
      <c r="BZ14" s="23">
        <v>0.23076923076923078</v>
      </c>
      <c r="CD14" s="23">
        <v>0.5</v>
      </c>
      <c r="CE14" s="23">
        <v>0.61111111111111116</v>
      </c>
      <c r="CF14" s="23">
        <v>0.61290322580645162</v>
      </c>
      <c r="CG14" s="23">
        <v>0.67567567567567566</v>
      </c>
      <c r="CH14" s="23">
        <v>0.6428571428571429</v>
      </c>
      <c r="CI14" s="23">
        <v>0.6875</v>
      </c>
      <c r="CN14" s="23">
        <v>0</v>
      </c>
      <c r="CO14" s="23">
        <v>0</v>
      </c>
      <c r="CP14" s="23">
        <v>0.30769230769230771</v>
      </c>
      <c r="CQ14" s="23">
        <v>0.27272727272727271</v>
      </c>
      <c r="CR14" s="23">
        <v>0.66666666666666663</v>
      </c>
      <c r="CS14" s="23">
        <v>0.42857142857142855</v>
      </c>
      <c r="CV14" s="32" t="str">
        <f t="shared" si="61"/>
        <v>Careful sex</v>
      </c>
      <c r="CW14" s="16"/>
      <c r="CX14" s="16">
        <v>0.20508595369332769</v>
      </c>
      <c r="CY14" s="16">
        <v>0.51630039902308289</v>
      </c>
      <c r="CZ14" s="16">
        <v>0.49672791266816224</v>
      </c>
      <c r="DA14" s="16">
        <v>0.42086155253697222</v>
      </c>
      <c r="DB14" s="16">
        <v>0.37058240858567359</v>
      </c>
      <c r="DC14" s="16">
        <v>0.22761110197978937</v>
      </c>
    </row>
    <row r="15" spans="1:107" x14ac:dyDescent="0.25">
      <c r="C15" s="21">
        <v>68.181818181818187</v>
      </c>
      <c r="D15" s="21">
        <v>22.727272727272727</v>
      </c>
      <c r="E15" s="21">
        <v>71.428571428571431</v>
      </c>
      <c r="F15" s="21">
        <v>43.478260869565219</v>
      </c>
      <c r="G15" s="21">
        <v>51.282051282051285</v>
      </c>
      <c r="H15" s="21">
        <v>57.142857142857146</v>
      </c>
      <c r="K15" s="23">
        <v>0</v>
      </c>
      <c r="L15" s="23">
        <v>0</v>
      </c>
      <c r="M15" s="23">
        <v>17.948717948717949</v>
      </c>
      <c r="N15" s="23">
        <v>25</v>
      </c>
      <c r="O15" s="23">
        <v>0</v>
      </c>
      <c r="P15" s="23">
        <v>6.666666666666667</v>
      </c>
      <c r="Q15" s="23">
        <v>12.5</v>
      </c>
      <c r="R15" s="23">
        <v>50</v>
      </c>
      <c r="V15" s="23">
        <v>0.16800000000000001</v>
      </c>
      <c r="W15" s="23">
        <v>0.19600000000000001</v>
      </c>
      <c r="X15" s="23">
        <v>0.40400000000000003</v>
      </c>
      <c r="Y15" s="23">
        <v>0.128</v>
      </c>
      <c r="Z15" s="23">
        <v>3.5999999999999997E-2</v>
      </c>
      <c r="AA15" s="23">
        <v>6.8000000000000005E-2</v>
      </c>
      <c r="AE15" s="23">
        <v>9.0909090909090912E-2</v>
      </c>
      <c r="AF15" s="23">
        <v>6.8181818181818177E-2</v>
      </c>
      <c r="AG15" s="23">
        <v>0.11904761904761904</v>
      </c>
      <c r="AH15" s="23">
        <v>0.10869565217391304</v>
      </c>
      <c r="AI15" s="23">
        <v>0</v>
      </c>
      <c r="AJ15" s="23">
        <v>0</v>
      </c>
      <c r="AO15" s="23">
        <v>0</v>
      </c>
      <c r="AP15" s="23">
        <v>2.4390243902439025E-2</v>
      </c>
      <c r="AQ15" s="23">
        <v>0.12121212121212122</v>
      </c>
      <c r="AR15" s="23">
        <v>9.375E-2</v>
      </c>
      <c r="AS15" s="23">
        <v>0.1</v>
      </c>
      <c r="AT15" s="23">
        <v>0</v>
      </c>
      <c r="AU15" s="23">
        <v>5.7591623036649213E-2</v>
      </c>
      <c r="AW15" s="100">
        <v>3.6649214659685861E-2</v>
      </c>
      <c r="BA15" s="23">
        <v>1</v>
      </c>
      <c r="BB15" s="23">
        <v>0.66666666666666663</v>
      </c>
      <c r="BC15" s="23">
        <v>0.4</v>
      </c>
      <c r="BD15" s="23">
        <v>0.75</v>
      </c>
      <c r="BG15" s="23">
        <v>0.61538461538461542</v>
      </c>
      <c r="BI15" s="100">
        <v>41.8848167539267</v>
      </c>
      <c r="BL15" s="23">
        <v>0.42857142857142855</v>
      </c>
      <c r="BM15" s="23">
        <v>0.14285714285714285</v>
      </c>
      <c r="BN15" s="23">
        <v>0.42857142857142855</v>
      </c>
      <c r="BQ15" s="100">
        <v>13</v>
      </c>
      <c r="BU15" s="23">
        <v>0.7142857142857143</v>
      </c>
      <c r="BV15" s="23">
        <v>0.67346938775510201</v>
      </c>
      <c r="BW15" s="23">
        <v>0.72277227722772275</v>
      </c>
      <c r="BX15" s="23">
        <v>0.5625</v>
      </c>
      <c r="BY15" s="23">
        <v>0.66666666666666663</v>
      </c>
      <c r="BZ15" s="23">
        <v>0.11764705882352941</v>
      </c>
      <c r="CD15" s="23">
        <v>0.55000000000000004</v>
      </c>
      <c r="CE15" s="23">
        <v>0.70731707317073167</v>
      </c>
      <c r="CF15" s="23">
        <v>0.78787878787878785</v>
      </c>
      <c r="CG15" s="23">
        <v>0.65625</v>
      </c>
      <c r="CH15" s="23">
        <v>0.7</v>
      </c>
      <c r="CI15" s="23">
        <v>0.73333333333333328</v>
      </c>
      <c r="CN15" s="23">
        <v>3.3333333333333333E-2</v>
      </c>
      <c r="CO15" s="23">
        <v>0.2</v>
      </c>
      <c r="CP15" s="23">
        <v>0.5714285714285714</v>
      </c>
      <c r="CQ15" s="23">
        <v>0.4</v>
      </c>
      <c r="CR15" s="23">
        <v>0.46153846153846156</v>
      </c>
      <c r="CS15" s="23">
        <v>0</v>
      </c>
      <c r="CV15" s="32" t="str">
        <f t="shared" si="61"/>
        <v>Unsafe Sex</v>
      </c>
      <c r="CW15" s="16"/>
      <c r="CX15" s="16">
        <v>0.13069270944334679</v>
      </c>
      <c r="CY15" s="16">
        <v>0.1534838273526053</v>
      </c>
      <c r="CZ15" s="16">
        <v>0.15228005706040457</v>
      </c>
      <c r="DA15" s="16">
        <v>0.16002885159791688</v>
      </c>
      <c r="DB15" s="16">
        <v>0.11586132535600263</v>
      </c>
      <c r="DC15" s="16">
        <v>9.2903662909985335E-2</v>
      </c>
    </row>
    <row r="16" spans="1:107" x14ac:dyDescent="0.25">
      <c r="C16" s="21">
        <v>47.61904761904762</v>
      </c>
      <c r="D16" s="21">
        <v>116.27906976744185</v>
      </c>
      <c r="E16" s="21">
        <v>23.255813953488371</v>
      </c>
      <c r="F16" s="21">
        <v>86.956521739130437</v>
      </c>
      <c r="G16" s="21">
        <v>25.641025641025642</v>
      </c>
      <c r="H16" s="21">
        <v>27.027027027027028</v>
      </c>
      <c r="K16" s="23">
        <v>0</v>
      </c>
      <c r="L16" s="23">
        <v>0</v>
      </c>
      <c r="M16" s="23">
        <v>11.538461538461538</v>
      </c>
      <c r="N16" s="23">
        <v>100</v>
      </c>
      <c r="O16" s="23">
        <v>0</v>
      </c>
      <c r="P16" s="23">
        <v>17.647058823529413</v>
      </c>
      <c r="Q16" s="23">
        <v>18.181818181818183</v>
      </c>
      <c r="R16" s="23">
        <v>0</v>
      </c>
      <c r="V16" s="23">
        <v>0.18</v>
      </c>
      <c r="W16" s="23">
        <v>0.17599999999999999</v>
      </c>
      <c r="X16" s="23">
        <v>0.41199999999999998</v>
      </c>
      <c r="Y16" s="23">
        <v>0.14000000000000001</v>
      </c>
      <c r="Z16" s="23">
        <v>4.8000000000000001E-2</v>
      </c>
      <c r="AA16" s="23">
        <v>4.3999999999999997E-2</v>
      </c>
      <c r="AE16" s="23">
        <v>0</v>
      </c>
      <c r="AF16" s="23">
        <v>6.9767441860465115E-2</v>
      </c>
      <c r="AG16" s="23">
        <v>6.9767441860465115E-2</v>
      </c>
      <c r="AH16" s="23">
        <v>0</v>
      </c>
      <c r="AI16" s="23">
        <v>7.6923076923076927E-2</v>
      </c>
      <c r="AJ16" s="23">
        <v>5.4054054054054057E-2</v>
      </c>
      <c r="AO16" s="23">
        <v>0</v>
      </c>
      <c r="AP16" s="23">
        <v>2.5000000000000001E-2</v>
      </c>
      <c r="AQ16" s="23">
        <v>8.8235294117647065E-2</v>
      </c>
      <c r="AR16" s="23">
        <v>2.7777777777777776E-2</v>
      </c>
      <c r="AS16" s="23">
        <v>0.14814814814814814</v>
      </c>
      <c r="AT16" s="23">
        <v>0.13333333333333333</v>
      </c>
      <c r="AU16" s="23">
        <v>5.6701030927835051E-2</v>
      </c>
      <c r="AW16" s="100">
        <v>5.1546391752577317E-2</v>
      </c>
      <c r="BB16" s="23">
        <v>0.66666666666666663</v>
      </c>
      <c r="BC16" s="23">
        <v>1</v>
      </c>
      <c r="BE16" s="23">
        <v>0.33333333333333331</v>
      </c>
      <c r="BF16" s="23">
        <v>0.5</v>
      </c>
      <c r="BG16" s="23">
        <v>0.55555555555555558</v>
      </c>
      <c r="BI16" s="100">
        <v>25.773195876288661</v>
      </c>
      <c r="BL16" s="23">
        <v>0.125</v>
      </c>
      <c r="BM16" s="23">
        <v>0.125</v>
      </c>
      <c r="BN16" s="23">
        <v>0.75</v>
      </c>
      <c r="BQ16" s="100">
        <v>9</v>
      </c>
      <c r="BU16" s="23">
        <v>0.53333333333333333</v>
      </c>
      <c r="BV16" s="23">
        <v>0.5</v>
      </c>
      <c r="BW16" s="23">
        <v>0.77669902912621358</v>
      </c>
      <c r="BX16" s="23">
        <v>0.54285714285714282</v>
      </c>
      <c r="BY16" s="23">
        <v>0.75</v>
      </c>
      <c r="BZ16" s="23">
        <v>0.18181818181818182</v>
      </c>
      <c r="CD16" s="23">
        <v>0.5</v>
      </c>
      <c r="CE16" s="23">
        <v>0.625</v>
      </c>
      <c r="CF16" s="23">
        <v>0.76470588235294112</v>
      </c>
      <c r="CG16" s="23">
        <v>0.72222222222222221</v>
      </c>
      <c r="CH16" s="23">
        <v>0.7407407407407407</v>
      </c>
      <c r="CI16" s="23">
        <v>0.8</v>
      </c>
      <c r="CN16" s="23">
        <v>0</v>
      </c>
      <c r="CO16" s="23">
        <v>0.1</v>
      </c>
      <c r="CP16" s="23">
        <v>0.4</v>
      </c>
      <c r="CQ16" s="23">
        <v>0.2857142857142857</v>
      </c>
      <c r="CR16" s="23">
        <v>0.54545454545454541</v>
      </c>
      <c r="CS16" s="23">
        <v>0.42857142857142855</v>
      </c>
      <c r="CV16" s="32" t="str">
        <f t="shared" si="61"/>
        <v>Seeking Pregnancy</v>
      </c>
      <c r="CW16" s="16"/>
      <c r="CX16" s="16">
        <v>6.6285642562288088E-4</v>
      </c>
      <c r="CY16" s="16">
        <v>1.1668044895511868E-2</v>
      </c>
      <c r="CZ16" s="16">
        <v>3.792930643617809E-2</v>
      </c>
      <c r="DA16" s="16">
        <v>4.9639062659826601E-2</v>
      </c>
      <c r="DB16" s="16">
        <v>6.1817233825828724E-2</v>
      </c>
      <c r="DC16" s="16">
        <v>3.1513237057621407E-2</v>
      </c>
    </row>
    <row r="17" spans="3:107" x14ac:dyDescent="0.25">
      <c r="C17" s="21">
        <v>0</v>
      </c>
      <c r="D17" s="21">
        <v>68.181818181818187</v>
      </c>
      <c r="E17" s="21">
        <v>88.888888888888886</v>
      </c>
      <c r="F17" s="21">
        <v>83.333333333333329</v>
      </c>
      <c r="G17" s="21">
        <v>54.054054054054056</v>
      </c>
      <c r="H17" s="21">
        <v>0</v>
      </c>
      <c r="K17" s="23">
        <v>0</v>
      </c>
      <c r="L17" s="23">
        <v>0</v>
      </c>
      <c r="M17" s="23">
        <v>13.953488372093023</v>
      </c>
      <c r="N17" s="23">
        <v>0</v>
      </c>
      <c r="O17" s="23">
        <v>0</v>
      </c>
      <c r="P17" s="23">
        <v>22.727272727272727</v>
      </c>
      <c r="Q17" s="23">
        <v>14.285714285714285</v>
      </c>
      <c r="R17" s="23">
        <v>33.333333333333329</v>
      </c>
      <c r="V17" s="23">
        <v>0.188</v>
      </c>
      <c r="W17" s="23">
        <v>0.20799999999999999</v>
      </c>
      <c r="X17" s="23">
        <v>0.39200000000000002</v>
      </c>
      <c r="Y17" s="23">
        <v>0.13600000000000001</v>
      </c>
      <c r="Z17" s="23">
        <v>2.8000000000000001E-2</v>
      </c>
      <c r="AA17" s="23">
        <v>4.8000000000000001E-2</v>
      </c>
      <c r="AE17" s="23">
        <v>4.7619047619047616E-2</v>
      </c>
      <c r="AF17" s="23">
        <v>9.0909090909090912E-2</v>
      </c>
      <c r="AG17" s="23">
        <v>4.4444444444444446E-2</v>
      </c>
      <c r="AH17" s="23">
        <v>8.3333333333333329E-2</v>
      </c>
      <c r="AI17" s="23">
        <v>0</v>
      </c>
      <c r="AJ17" s="23">
        <v>0</v>
      </c>
      <c r="AO17" s="23">
        <v>0</v>
      </c>
      <c r="AP17" s="23">
        <v>2.6315789473684209E-2</v>
      </c>
      <c r="AQ17" s="23">
        <v>0</v>
      </c>
      <c r="AR17" s="23">
        <v>3.2258064516129031E-2</v>
      </c>
      <c r="AS17" s="23">
        <v>0.14814814814814814</v>
      </c>
      <c r="AT17" s="23">
        <v>0.35714285714285715</v>
      </c>
      <c r="AU17" s="23">
        <v>5.7591623036649213E-2</v>
      </c>
      <c r="AW17" s="100">
        <v>5.2356020942408377E-2</v>
      </c>
      <c r="BA17" s="23">
        <v>1</v>
      </c>
      <c r="BB17" s="23">
        <v>0.66666666666666663</v>
      </c>
      <c r="BC17" s="23">
        <v>0</v>
      </c>
      <c r="BD17" s="23">
        <v>0.33333333333333331</v>
      </c>
      <c r="BF17" s="23">
        <v>1</v>
      </c>
      <c r="BG17" s="23">
        <v>0.54545454545454541</v>
      </c>
      <c r="BI17" s="100">
        <v>31.413612565445025</v>
      </c>
      <c r="BL17" s="23">
        <v>0</v>
      </c>
      <c r="BM17" s="23">
        <v>0</v>
      </c>
      <c r="BN17" s="23">
        <v>1</v>
      </c>
      <c r="BQ17" s="100">
        <v>11</v>
      </c>
      <c r="BU17" s="23">
        <v>0.51063829787234039</v>
      </c>
      <c r="BV17" s="23">
        <v>0.57692307692307687</v>
      </c>
      <c r="BW17" s="23">
        <v>0.7142857142857143</v>
      </c>
      <c r="BX17" s="23">
        <v>0.67647058823529416</v>
      </c>
      <c r="BY17" s="23">
        <v>0.7142857142857143</v>
      </c>
      <c r="BZ17" s="23">
        <v>0.16666666666666666</v>
      </c>
      <c r="CD17" s="23">
        <v>0.65</v>
      </c>
      <c r="CE17" s="23">
        <v>0.60526315789473684</v>
      </c>
      <c r="CF17" s="23">
        <v>0.70731707317073167</v>
      </c>
      <c r="CG17" s="23">
        <v>0.77419354838709675</v>
      </c>
      <c r="CH17" s="23">
        <v>0.59259259259259256</v>
      </c>
      <c r="CI17" s="23">
        <v>0.7142857142857143</v>
      </c>
      <c r="CN17" s="23">
        <v>0</v>
      </c>
      <c r="CO17" s="23">
        <v>7.1428571428571425E-2</v>
      </c>
      <c r="CP17" s="23">
        <v>0.14285714285714285</v>
      </c>
      <c r="CQ17" s="23">
        <v>0.1</v>
      </c>
      <c r="CR17" s="23">
        <v>0.45454545454545453</v>
      </c>
      <c r="CS17" s="23">
        <v>0.83333333333333337</v>
      </c>
      <c r="CV17" s="46" t="str">
        <f t="shared" si="61"/>
        <v>Pregnant</v>
      </c>
      <c r="CW17" s="18"/>
      <c r="CX17" s="18">
        <v>3.7422507506978196E-2</v>
      </c>
      <c r="CY17" s="18">
        <v>6.8024747499808774E-2</v>
      </c>
      <c r="CZ17" s="18">
        <v>7.2852140719851563E-2</v>
      </c>
      <c r="DA17" s="18">
        <v>5.284741569564709E-2</v>
      </c>
      <c r="DB17" s="18">
        <v>2.2394001651769677E-2</v>
      </c>
      <c r="DC17" s="18">
        <v>3.8204092279557093E-3</v>
      </c>
    </row>
    <row r="18" spans="3:107" x14ac:dyDescent="0.25">
      <c r="C18" s="21">
        <v>63.829787234042556</v>
      </c>
      <c r="D18" s="21">
        <v>45.454545454545453</v>
      </c>
      <c r="E18" s="21">
        <v>50</v>
      </c>
      <c r="F18" s="21">
        <v>44.444444444444443</v>
      </c>
      <c r="G18" s="21">
        <v>25.641025641025642</v>
      </c>
      <c r="H18" s="21">
        <v>0</v>
      </c>
      <c r="K18" s="23">
        <v>0</v>
      </c>
      <c r="L18" s="23">
        <v>0</v>
      </c>
      <c r="M18" s="23">
        <v>9.5238095238095237</v>
      </c>
      <c r="N18" s="23">
        <v>0</v>
      </c>
      <c r="O18" s="23">
        <v>0</v>
      </c>
      <c r="P18" s="23">
        <v>9.5238095238095237</v>
      </c>
      <c r="Q18" s="23">
        <v>28.571428571428569</v>
      </c>
      <c r="R18" s="23">
        <v>50</v>
      </c>
      <c r="V18" s="23">
        <v>0.18</v>
      </c>
      <c r="W18" s="23">
        <v>0.23200000000000001</v>
      </c>
      <c r="X18" s="23">
        <v>0.42799999999999999</v>
      </c>
      <c r="Y18" s="23">
        <v>0.112</v>
      </c>
      <c r="Z18" s="23">
        <v>1.6E-2</v>
      </c>
      <c r="AA18" s="23">
        <v>3.2000000000000001E-2</v>
      </c>
      <c r="AE18" s="23">
        <v>0</v>
      </c>
      <c r="AF18" s="23">
        <v>2.2727272727272728E-2</v>
      </c>
      <c r="AG18" s="23">
        <v>0.1</v>
      </c>
      <c r="AH18" s="23">
        <v>6.6666666666666666E-2</v>
      </c>
      <c r="AI18" s="23">
        <v>0</v>
      </c>
      <c r="AJ18" s="23">
        <v>0</v>
      </c>
      <c r="AO18" s="23">
        <v>0</v>
      </c>
      <c r="AP18" s="23">
        <v>2.5000000000000001E-2</v>
      </c>
      <c r="AQ18" s="23">
        <v>0</v>
      </c>
      <c r="AR18" s="23">
        <v>5.8823529411764705E-2</v>
      </c>
      <c r="AS18" s="23">
        <v>3.4482758620689655E-2</v>
      </c>
      <c r="AT18" s="23">
        <v>6.25E-2</v>
      </c>
      <c r="AU18" s="23">
        <v>2.5380710659898477E-2</v>
      </c>
      <c r="AW18" s="100">
        <v>3.553299492385787E-2</v>
      </c>
      <c r="BC18" s="23">
        <v>0.75</v>
      </c>
      <c r="BD18" s="23">
        <v>0.66666666666666663</v>
      </c>
      <c r="BG18" s="23">
        <v>0.7142857142857143</v>
      </c>
      <c r="BI18" s="100">
        <v>25.380710659898476</v>
      </c>
      <c r="BL18" s="23">
        <v>0.90909090909090906</v>
      </c>
      <c r="BM18" s="23">
        <v>0</v>
      </c>
      <c r="BN18" s="23">
        <v>9.0909090909090912E-2</v>
      </c>
      <c r="BQ18" s="100">
        <v>7</v>
      </c>
      <c r="BU18" s="23">
        <v>0.51111111111111107</v>
      </c>
      <c r="BV18" s="23">
        <v>0.41379310344827586</v>
      </c>
      <c r="BW18" s="23">
        <v>0.66355140186915884</v>
      </c>
      <c r="BX18" s="23">
        <v>0.7142857142857143</v>
      </c>
      <c r="BY18" s="23">
        <v>0.5</v>
      </c>
      <c r="BZ18" s="23">
        <v>0</v>
      </c>
      <c r="CD18" s="23">
        <v>0.53191489361702127</v>
      </c>
      <c r="CE18" s="23">
        <v>0.65</v>
      </c>
      <c r="CF18" s="23">
        <v>0.70967741935483875</v>
      </c>
      <c r="CG18" s="23">
        <v>0.6470588235294118</v>
      </c>
      <c r="CH18" s="23">
        <v>0.48275862068965519</v>
      </c>
      <c r="CI18" s="23">
        <v>0.5</v>
      </c>
      <c r="CN18" s="23">
        <v>0</v>
      </c>
      <c r="CO18" s="23">
        <v>8.3333333333333329E-2</v>
      </c>
      <c r="CP18" s="23">
        <v>0.125</v>
      </c>
      <c r="CQ18" s="23">
        <v>0.22222222222222221</v>
      </c>
      <c r="CR18" s="23">
        <v>0.14285714285714285</v>
      </c>
      <c r="CS18" s="23">
        <v>0.2857142857142857</v>
      </c>
    </row>
    <row r="19" spans="3:107" x14ac:dyDescent="0.25">
      <c r="C19" s="21">
        <v>0</v>
      </c>
      <c r="D19" s="21">
        <v>0</v>
      </c>
      <c r="E19" s="21">
        <v>108.69565217391305</v>
      </c>
      <c r="F19" s="21">
        <v>62.5</v>
      </c>
      <c r="G19" s="21">
        <v>0</v>
      </c>
      <c r="H19" s="21">
        <v>0</v>
      </c>
      <c r="K19" s="23">
        <v>0</v>
      </c>
      <c r="L19" s="23">
        <v>0</v>
      </c>
      <c r="M19" s="23">
        <v>2.7027027027027026</v>
      </c>
      <c r="N19" s="23">
        <v>0</v>
      </c>
      <c r="O19" s="23">
        <v>0</v>
      </c>
      <c r="P19" s="23">
        <v>20</v>
      </c>
      <c r="Q19" s="23">
        <v>14.285714285714285</v>
      </c>
      <c r="R19" s="23">
        <v>0</v>
      </c>
      <c r="V19" s="23">
        <v>0.22</v>
      </c>
      <c r="W19" s="23">
        <v>0.22</v>
      </c>
      <c r="X19" s="23">
        <v>0.36</v>
      </c>
      <c r="Y19" s="23">
        <v>0.12</v>
      </c>
      <c r="Z19" s="23">
        <v>2.4E-2</v>
      </c>
      <c r="AA19" s="23">
        <v>5.6000000000000001E-2</v>
      </c>
      <c r="AE19" s="23">
        <v>4.7619047619047616E-2</v>
      </c>
      <c r="AF19" s="23">
        <v>4.6511627906976744E-2</v>
      </c>
      <c r="AG19" s="23">
        <v>8.6956521739130432E-2</v>
      </c>
      <c r="AH19" s="23">
        <v>0.125</v>
      </c>
      <c r="AI19" s="23">
        <v>0</v>
      </c>
      <c r="AJ19" s="23">
        <v>0</v>
      </c>
      <c r="AO19" s="23">
        <v>0</v>
      </c>
      <c r="AP19" s="23">
        <v>5.2631578947368418E-2</v>
      </c>
      <c r="AQ19" s="23">
        <v>0.12121212121212122</v>
      </c>
      <c r="AR19" s="23">
        <v>0</v>
      </c>
      <c r="AS19" s="23">
        <v>0.11538461538461539</v>
      </c>
      <c r="AT19" s="23">
        <v>7.6923076923076927E-2</v>
      </c>
      <c r="AU19" s="23">
        <v>5.5248618784530384E-2</v>
      </c>
      <c r="AW19" s="100">
        <v>1.6574585635359115E-2</v>
      </c>
      <c r="BA19" s="23">
        <v>0</v>
      </c>
      <c r="BC19" s="23">
        <v>0.5</v>
      </c>
      <c r="BD19" s="23">
        <v>0.5</v>
      </c>
      <c r="BG19" s="23">
        <v>0.4</v>
      </c>
      <c r="BI19" s="100">
        <v>11.049723756906078</v>
      </c>
      <c r="BL19" s="23">
        <v>0.33333333333333331</v>
      </c>
      <c r="BM19" s="23">
        <v>0</v>
      </c>
      <c r="BN19" s="23">
        <v>0.66666666666666663</v>
      </c>
      <c r="BQ19" s="100">
        <v>5</v>
      </c>
      <c r="BU19" s="23">
        <v>0.58181818181818179</v>
      </c>
      <c r="BV19" s="23">
        <v>0.52727272727272723</v>
      </c>
      <c r="BW19" s="23">
        <v>0.76666666666666672</v>
      </c>
      <c r="BX19" s="23">
        <v>0.73333333333333328</v>
      </c>
      <c r="BY19" s="23">
        <v>0.66666666666666663</v>
      </c>
      <c r="BZ19" s="23">
        <v>7.1428571428571425E-2</v>
      </c>
      <c r="CD19" s="23">
        <v>0.52500000000000002</v>
      </c>
      <c r="CE19" s="23">
        <v>0.73684210526315785</v>
      </c>
      <c r="CF19" s="23">
        <v>0.87878787878787878</v>
      </c>
      <c r="CG19" s="23">
        <v>0.74193548387096775</v>
      </c>
      <c r="CH19" s="23">
        <v>0.65384615384615385</v>
      </c>
      <c r="CI19" s="23">
        <v>0.46153846153846156</v>
      </c>
      <c r="CN19" s="23">
        <v>0</v>
      </c>
      <c r="CO19" s="23">
        <v>0.125</v>
      </c>
      <c r="CP19" s="23">
        <v>0.30769230769230771</v>
      </c>
      <c r="CQ19" s="23">
        <v>0</v>
      </c>
      <c r="CR19" s="23">
        <v>0.5714285714285714</v>
      </c>
      <c r="CS19" s="23">
        <v>0.33333333333333331</v>
      </c>
    </row>
    <row r="20" spans="3:107" x14ac:dyDescent="0.25">
      <c r="C20" s="21">
        <v>25.641025641025642</v>
      </c>
      <c r="D20" s="21">
        <v>22.727272727272727</v>
      </c>
      <c r="E20" s="21">
        <v>43.478260869565219</v>
      </c>
      <c r="F20" s="21">
        <v>125</v>
      </c>
      <c r="G20" s="21">
        <v>48.780487804878049</v>
      </c>
      <c r="H20" s="21">
        <v>0</v>
      </c>
      <c r="K20" s="23">
        <v>0</v>
      </c>
      <c r="L20" s="23">
        <v>7.6923076923076925</v>
      </c>
      <c r="M20" s="23">
        <v>7.6923076923076925</v>
      </c>
      <c r="N20" s="23">
        <v>25</v>
      </c>
      <c r="O20" s="23">
        <v>0</v>
      </c>
      <c r="P20" s="23">
        <v>23.52941176470588</v>
      </c>
      <c r="Q20" s="23">
        <v>33.333333333333329</v>
      </c>
      <c r="R20" s="23">
        <v>28.571428571428569</v>
      </c>
      <c r="V20" s="23">
        <v>0.25600000000000001</v>
      </c>
      <c r="W20" s="23">
        <v>0.188</v>
      </c>
      <c r="X20" s="23">
        <v>0.376</v>
      </c>
      <c r="Y20" s="23">
        <v>9.6000000000000002E-2</v>
      </c>
      <c r="Z20" s="23">
        <v>2.8000000000000001E-2</v>
      </c>
      <c r="AA20" s="23">
        <v>5.6000000000000001E-2</v>
      </c>
      <c r="AE20" s="23">
        <v>7.6923076923076927E-2</v>
      </c>
      <c r="AF20" s="23">
        <v>0.11363636363636363</v>
      </c>
      <c r="AG20" s="23">
        <v>8.6956521739130432E-2</v>
      </c>
      <c r="AH20" s="23">
        <v>4.1666666666666664E-2</v>
      </c>
      <c r="AI20" s="23">
        <v>0</v>
      </c>
      <c r="AJ20" s="23">
        <v>0</v>
      </c>
      <c r="AO20" s="23">
        <v>0</v>
      </c>
      <c r="AP20" s="23">
        <v>0</v>
      </c>
      <c r="AQ20" s="23">
        <v>6.25E-2</v>
      </c>
      <c r="AR20" s="23">
        <v>8.8235294117647065E-2</v>
      </c>
      <c r="AS20" s="23">
        <v>3.8461538461538464E-2</v>
      </c>
      <c r="AT20" s="23">
        <v>0.18181818181818182</v>
      </c>
      <c r="AU20" s="23">
        <v>4.6511627906976744E-2</v>
      </c>
      <c r="AW20" s="100">
        <v>6.3953488372093026E-2</v>
      </c>
      <c r="BA20" s="23">
        <v>1</v>
      </c>
      <c r="BB20" s="23">
        <v>0.5</v>
      </c>
      <c r="BC20" s="23">
        <v>0.66666666666666663</v>
      </c>
      <c r="BG20" s="23">
        <v>0.7142857142857143</v>
      </c>
      <c r="BI20" s="100">
        <v>29.069767441860463</v>
      </c>
      <c r="BL20" s="23">
        <v>0.375</v>
      </c>
      <c r="BM20" s="23">
        <v>0.25</v>
      </c>
      <c r="BN20" s="23">
        <v>0.375</v>
      </c>
      <c r="BQ20" s="100">
        <v>7</v>
      </c>
      <c r="BU20" s="23">
        <v>0.671875</v>
      </c>
      <c r="BV20" s="23">
        <v>0.51063829787234039</v>
      </c>
      <c r="BW20" s="23">
        <v>0.73404255319148937</v>
      </c>
      <c r="BX20" s="23">
        <v>0.54166666666666663</v>
      </c>
      <c r="BY20" s="23">
        <v>0.5714285714285714</v>
      </c>
      <c r="BZ20" s="23">
        <v>0.21428571428571427</v>
      </c>
      <c r="CD20" s="23">
        <v>0.58823529411764708</v>
      </c>
      <c r="CE20" s="23">
        <v>0.7142857142857143</v>
      </c>
      <c r="CF20" s="23">
        <v>0.75</v>
      </c>
      <c r="CG20" s="23">
        <v>0.67647058823529416</v>
      </c>
      <c r="CH20" s="23">
        <v>0.53846153846153844</v>
      </c>
      <c r="CI20" s="23">
        <v>0.36363636363636365</v>
      </c>
      <c r="CN20" s="23">
        <v>3.5714285714285712E-2</v>
      </c>
      <c r="CO20" s="23">
        <v>0.125</v>
      </c>
      <c r="CP20" s="23">
        <v>0.16666666666666666</v>
      </c>
      <c r="CQ20" s="23">
        <v>0.6</v>
      </c>
      <c r="CR20" s="23">
        <v>0.4</v>
      </c>
      <c r="CS20" s="23">
        <v>0.5</v>
      </c>
    </row>
    <row r="21" spans="3:107" x14ac:dyDescent="0.25">
      <c r="C21" s="21">
        <v>0</v>
      </c>
      <c r="D21" s="21">
        <v>97.560975609756099</v>
      </c>
      <c r="E21" s="21">
        <v>76.92307692307692</v>
      </c>
      <c r="F21" s="21">
        <v>102.04081632653062</v>
      </c>
      <c r="G21" s="21">
        <v>0</v>
      </c>
      <c r="H21" s="21">
        <v>0</v>
      </c>
      <c r="K21" s="23">
        <v>0</v>
      </c>
      <c r="L21" s="23">
        <v>0</v>
      </c>
      <c r="M21" s="23">
        <v>17.948717948717949</v>
      </c>
      <c r="N21" s="23">
        <v>0</v>
      </c>
      <c r="O21" s="23">
        <v>0</v>
      </c>
      <c r="P21" s="23">
        <v>16.666666666666664</v>
      </c>
      <c r="Q21" s="23">
        <v>38.461538461538467</v>
      </c>
      <c r="R21" s="23">
        <v>0</v>
      </c>
      <c r="V21" s="23">
        <v>0.17599999999999999</v>
      </c>
      <c r="W21" s="23">
        <v>0.22800000000000001</v>
      </c>
      <c r="X21" s="23">
        <v>0.36399999999999999</v>
      </c>
      <c r="Y21" s="23">
        <v>0.13200000000000001</v>
      </c>
      <c r="Z21" s="23">
        <v>3.5999999999999997E-2</v>
      </c>
      <c r="AA21" s="23">
        <v>6.4000000000000001E-2</v>
      </c>
      <c r="AE21" s="23">
        <v>9.3023255813953487E-2</v>
      </c>
      <c r="AF21" s="23">
        <v>7.3170731707317069E-2</v>
      </c>
      <c r="AG21" s="23">
        <v>7.6923076923076927E-2</v>
      </c>
      <c r="AH21" s="23">
        <v>4.0816326530612242E-2</v>
      </c>
      <c r="AI21" s="23">
        <v>9.5238095238095233E-2</v>
      </c>
      <c r="AJ21" s="23">
        <v>0</v>
      </c>
      <c r="AO21" s="23">
        <v>0</v>
      </c>
      <c r="AP21" s="23">
        <v>0</v>
      </c>
      <c r="AQ21" s="23">
        <v>3.3333333333333333E-2</v>
      </c>
      <c r="AR21" s="23">
        <v>2.6315789473684209E-2</v>
      </c>
      <c r="AS21" s="23">
        <v>3.5714285714285712E-2</v>
      </c>
      <c r="AT21" s="23">
        <v>0</v>
      </c>
      <c r="AU21" s="23">
        <v>1.5789473684210527E-2</v>
      </c>
      <c r="AW21" s="100">
        <v>3.1578947368421054E-2</v>
      </c>
      <c r="BA21" s="23">
        <v>0.75</v>
      </c>
      <c r="BB21" s="23">
        <v>0</v>
      </c>
      <c r="BC21" s="23">
        <v>1</v>
      </c>
      <c r="BD21" s="23">
        <v>0.5</v>
      </c>
      <c r="BE21" s="23">
        <v>0.33333333333333331</v>
      </c>
      <c r="BG21" s="23">
        <v>0.6</v>
      </c>
      <c r="BI21" s="100">
        <v>47.368421052631582</v>
      </c>
      <c r="BL21" s="23">
        <v>7.1428571428571425E-2</v>
      </c>
      <c r="BM21" s="23">
        <v>7.1428571428571425E-2</v>
      </c>
      <c r="BN21" s="23">
        <v>0.8571428571428571</v>
      </c>
      <c r="BQ21" s="100">
        <v>15</v>
      </c>
      <c r="BU21" s="23">
        <v>0.63636363636363635</v>
      </c>
      <c r="BV21" s="23">
        <v>0.49122807017543857</v>
      </c>
      <c r="BW21" s="23">
        <v>0.64835164835164838</v>
      </c>
      <c r="BX21" s="23">
        <v>0.54545454545454541</v>
      </c>
      <c r="BY21" s="23">
        <v>0.33333333333333331</v>
      </c>
      <c r="BZ21" s="23">
        <v>0.3125</v>
      </c>
      <c r="CD21" s="23">
        <v>0.47368421052631576</v>
      </c>
      <c r="CE21" s="23">
        <v>0.64864864864864868</v>
      </c>
      <c r="CF21" s="23">
        <v>0.66666666666666663</v>
      </c>
      <c r="CG21" s="23">
        <v>0.52631578947368418</v>
      </c>
      <c r="CH21" s="23">
        <v>0.5</v>
      </c>
      <c r="CI21" s="23">
        <v>0.63157894736842102</v>
      </c>
      <c r="CN21" s="23">
        <v>3.5714285714285712E-2</v>
      </c>
      <c r="CO21" s="23">
        <v>7.1428571428571425E-2</v>
      </c>
      <c r="CP21" s="23">
        <v>0.125</v>
      </c>
      <c r="CQ21" s="23">
        <v>0.27272727272727271</v>
      </c>
      <c r="CR21" s="23">
        <v>0.54545454545454541</v>
      </c>
      <c r="CS21" s="23">
        <v>0</v>
      </c>
    </row>
    <row r="22" spans="3:107" x14ac:dyDescent="0.25">
      <c r="C22" s="21">
        <v>113.63636363636364</v>
      </c>
      <c r="D22" s="21">
        <v>57.142857142857146</v>
      </c>
      <c r="E22" s="21">
        <v>78.94736842105263</v>
      </c>
      <c r="F22" s="21">
        <v>81.632653061224488</v>
      </c>
      <c r="G22" s="21">
        <v>44.444444444444443</v>
      </c>
      <c r="H22" s="21">
        <v>0</v>
      </c>
      <c r="K22" s="23">
        <v>0</v>
      </c>
      <c r="L22" s="23">
        <v>8.3333333333333321</v>
      </c>
      <c r="M22" s="23">
        <v>6.4516129032258061</v>
      </c>
      <c r="N22" s="23">
        <v>0</v>
      </c>
      <c r="O22" s="23">
        <v>0</v>
      </c>
      <c r="P22" s="23">
        <v>39.130434782608695</v>
      </c>
      <c r="Q22" s="23">
        <v>11.111111111111111</v>
      </c>
      <c r="R22" s="23">
        <v>25</v>
      </c>
      <c r="V22" s="23">
        <v>0.22800000000000001</v>
      </c>
      <c r="W22" s="23">
        <v>0.216</v>
      </c>
      <c r="X22" s="23">
        <v>0.372</v>
      </c>
      <c r="Y22" s="23">
        <v>0.11600000000000001</v>
      </c>
      <c r="Z22" s="23">
        <v>2.8000000000000001E-2</v>
      </c>
      <c r="AA22" s="23">
        <v>0.04</v>
      </c>
      <c r="AE22" s="23">
        <v>2.2727272727272728E-2</v>
      </c>
      <c r="AF22" s="23">
        <v>5.7142857142857141E-2</v>
      </c>
      <c r="AG22" s="23">
        <v>0.13157894736842105</v>
      </c>
      <c r="AH22" s="23">
        <v>2.0408163265306121E-2</v>
      </c>
      <c r="AI22" s="23">
        <v>2.2222222222222223E-2</v>
      </c>
      <c r="AJ22" s="23">
        <v>0</v>
      </c>
      <c r="AO22" s="23">
        <v>0</v>
      </c>
      <c r="AP22" s="23">
        <v>6.8965517241379309E-2</v>
      </c>
      <c r="AQ22" s="23">
        <v>3.125E-2</v>
      </c>
      <c r="AR22" s="23">
        <v>0.1875</v>
      </c>
      <c r="AS22" s="23">
        <v>0</v>
      </c>
      <c r="AT22" s="23">
        <v>5.2631578947368418E-2</v>
      </c>
      <c r="AU22" s="23">
        <v>5.4644808743169397E-2</v>
      </c>
      <c r="AW22" s="100">
        <v>3.825136612021858E-2</v>
      </c>
      <c r="BA22" s="23">
        <v>1</v>
      </c>
      <c r="BB22" s="23">
        <v>0.5</v>
      </c>
      <c r="BC22" s="23">
        <v>0.66666666666666663</v>
      </c>
      <c r="BD22" s="23">
        <v>0.5</v>
      </c>
      <c r="BE22" s="23">
        <v>0</v>
      </c>
      <c r="BG22" s="23">
        <v>0.55555555555555558</v>
      </c>
      <c r="BI22" s="100">
        <v>27.3224043715847</v>
      </c>
      <c r="BL22" s="23">
        <v>0.18181818181818182</v>
      </c>
      <c r="BM22" s="23">
        <v>0</v>
      </c>
      <c r="BN22" s="23">
        <v>0.81818181818181823</v>
      </c>
      <c r="BQ22" s="100">
        <v>9</v>
      </c>
      <c r="BU22" s="23">
        <v>0.68421052631578949</v>
      </c>
      <c r="BV22" s="23">
        <v>0.48148148148148145</v>
      </c>
      <c r="BW22" s="23">
        <v>0.68817204301075274</v>
      </c>
      <c r="BX22" s="23">
        <v>0.44827586206896552</v>
      </c>
      <c r="BY22" s="23">
        <v>0.7142857142857143</v>
      </c>
      <c r="BZ22" s="23">
        <v>0.2</v>
      </c>
      <c r="CD22" s="23">
        <v>0.46511627906976744</v>
      </c>
      <c r="CE22" s="23">
        <v>0.62068965517241381</v>
      </c>
      <c r="CF22" s="23">
        <v>0.65625</v>
      </c>
      <c r="CG22" s="23">
        <v>0.71875</v>
      </c>
      <c r="CH22" s="23">
        <v>0.6071428571428571</v>
      </c>
      <c r="CI22" s="23">
        <v>0.47368421052631576</v>
      </c>
      <c r="CN22" s="23">
        <v>0</v>
      </c>
      <c r="CO22" s="23">
        <v>0.3</v>
      </c>
      <c r="CP22" s="23">
        <v>0.2857142857142857</v>
      </c>
      <c r="CQ22" s="23">
        <v>0.5</v>
      </c>
      <c r="CR22" s="23">
        <v>0.125</v>
      </c>
      <c r="CS22" s="23">
        <v>0.375</v>
      </c>
    </row>
    <row r="23" spans="3:107" x14ac:dyDescent="0.25">
      <c r="C23" s="21">
        <v>22.727272727272727</v>
      </c>
      <c r="D23" s="21">
        <v>0</v>
      </c>
      <c r="E23" s="21">
        <v>71.428571428571431</v>
      </c>
      <c r="F23" s="21">
        <v>46.511627906976742</v>
      </c>
      <c r="G23" s="21">
        <v>0</v>
      </c>
      <c r="H23" s="21">
        <v>0</v>
      </c>
      <c r="K23" s="23">
        <v>0</v>
      </c>
      <c r="L23" s="23">
        <v>16.666666666666664</v>
      </c>
      <c r="M23" s="23">
        <v>10.526315789473683</v>
      </c>
      <c r="N23" s="23">
        <v>0</v>
      </c>
      <c r="O23" s="23">
        <v>0</v>
      </c>
      <c r="P23" s="23">
        <v>9.0909090909090917</v>
      </c>
      <c r="Q23" s="23">
        <v>33.333333333333329</v>
      </c>
      <c r="R23" s="23">
        <v>25</v>
      </c>
      <c r="V23" s="23">
        <v>0.17599999999999999</v>
      </c>
      <c r="W23" s="23">
        <v>0.20399999999999999</v>
      </c>
      <c r="X23" s="23">
        <v>0.42799999999999999</v>
      </c>
      <c r="Y23" s="23">
        <v>0.13200000000000001</v>
      </c>
      <c r="Z23" s="23">
        <v>0.02</v>
      </c>
      <c r="AA23" s="23">
        <v>0.04</v>
      </c>
      <c r="AE23" s="23">
        <v>2.2727272727272728E-2</v>
      </c>
      <c r="AF23" s="23">
        <v>0.13461538461538461</v>
      </c>
      <c r="AG23" s="23">
        <v>1.7857142857142856E-2</v>
      </c>
      <c r="AH23" s="23">
        <v>2.3255813953488372E-2</v>
      </c>
      <c r="AI23" s="23">
        <v>0</v>
      </c>
      <c r="AJ23" s="23">
        <v>0</v>
      </c>
      <c r="AO23" s="23">
        <v>2.3255813953488372E-2</v>
      </c>
      <c r="AP23" s="23">
        <v>4.6511627906976744E-2</v>
      </c>
      <c r="AQ23" s="23">
        <v>0.04</v>
      </c>
      <c r="AR23" s="23">
        <v>3.4482758620689655E-2</v>
      </c>
      <c r="AS23" s="23">
        <v>0</v>
      </c>
      <c r="AT23" s="23">
        <v>0.14285714285714285</v>
      </c>
      <c r="AU23" s="23">
        <v>4.0816326530612242E-2</v>
      </c>
      <c r="AW23" s="100">
        <v>3.0612244897959183E-2</v>
      </c>
      <c r="BA23" s="23">
        <v>0</v>
      </c>
      <c r="BB23" s="23">
        <v>0.83333333333333337</v>
      </c>
      <c r="BC23" s="23">
        <v>0</v>
      </c>
      <c r="BG23" s="23">
        <v>0.625</v>
      </c>
      <c r="BI23" s="100">
        <v>25.510204081632654</v>
      </c>
      <c r="BL23" s="23">
        <v>0.33333333333333331</v>
      </c>
      <c r="BM23" s="23">
        <v>0.1111111111111111</v>
      </c>
      <c r="BN23" s="23">
        <v>0.55555555555555558</v>
      </c>
      <c r="BQ23" s="100">
        <v>8</v>
      </c>
      <c r="BU23" s="23">
        <v>0.65909090909090906</v>
      </c>
      <c r="BV23" s="23">
        <v>0.47058823529411764</v>
      </c>
      <c r="BW23" s="23">
        <v>0.73831775700934577</v>
      </c>
      <c r="BX23" s="23">
        <v>0.75757575757575757</v>
      </c>
      <c r="BY23" s="23">
        <v>0.8</v>
      </c>
      <c r="BZ23" s="23">
        <v>0</v>
      </c>
      <c r="CD23" s="23">
        <v>0.51162790697674421</v>
      </c>
      <c r="CE23" s="23">
        <v>0.72093023255813948</v>
      </c>
      <c r="CF23" s="23">
        <v>0.68</v>
      </c>
      <c r="CG23" s="23">
        <v>0.7931034482758621</v>
      </c>
      <c r="CH23" s="23">
        <v>0.82352941176470584</v>
      </c>
      <c r="CI23" s="23">
        <v>0.5714285714285714</v>
      </c>
      <c r="CN23" s="23">
        <v>6.4516129032258063E-2</v>
      </c>
      <c r="CO23" s="23">
        <v>0.25</v>
      </c>
      <c r="CP23" s="23">
        <v>0.13333333333333333</v>
      </c>
      <c r="CQ23" s="23">
        <v>0.33333333333333331</v>
      </c>
      <c r="CR23" s="23">
        <v>0.125</v>
      </c>
      <c r="CS23" s="23">
        <v>0.5</v>
      </c>
    </row>
    <row r="24" spans="3:107" x14ac:dyDescent="0.25">
      <c r="C24" s="21">
        <v>58.823529411764703</v>
      </c>
      <c r="D24" s="21">
        <v>93.75</v>
      </c>
      <c r="E24" s="21">
        <v>83.333333333333329</v>
      </c>
      <c r="F24" s="21">
        <v>22.222222222222221</v>
      </c>
      <c r="G24" s="21">
        <v>22.727272727272727</v>
      </c>
      <c r="H24" s="21">
        <v>23.80952380952381</v>
      </c>
      <c r="K24" s="23">
        <v>0</v>
      </c>
      <c r="L24" s="23">
        <v>11.111111111111111</v>
      </c>
      <c r="M24" s="23">
        <v>7.6923076923076925</v>
      </c>
      <c r="N24" s="23">
        <v>0</v>
      </c>
      <c r="O24" s="23">
        <v>0</v>
      </c>
      <c r="P24" s="23">
        <v>31.25</v>
      </c>
      <c r="Q24" s="23">
        <v>50</v>
      </c>
      <c r="R24" s="23">
        <v>0</v>
      </c>
      <c r="V24" s="23">
        <v>0.24399999999999999</v>
      </c>
      <c r="W24" s="23">
        <v>0.192</v>
      </c>
      <c r="X24" s="23">
        <v>0.376</v>
      </c>
      <c r="Y24" s="23">
        <v>0.12</v>
      </c>
      <c r="Z24" s="23">
        <v>2.8000000000000001E-2</v>
      </c>
      <c r="AA24" s="23">
        <v>0.04</v>
      </c>
      <c r="AE24" s="23">
        <v>7.8431372549019607E-2</v>
      </c>
      <c r="AF24" s="23">
        <v>9.375E-2</v>
      </c>
      <c r="AG24" s="23">
        <v>2.7777777777777776E-2</v>
      </c>
      <c r="AH24" s="23">
        <v>0</v>
      </c>
      <c r="AI24" s="23">
        <v>4.5454545454545456E-2</v>
      </c>
      <c r="AJ24" s="23">
        <v>0</v>
      </c>
      <c r="AO24" s="23">
        <v>0</v>
      </c>
      <c r="AP24" s="23">
        <v>0</v>
      </c>
      <c r="AQ24" s="23">
        <v>6.25E-2</v>
      </c>
      <c r="AR24" s="23">
        <v>0.15625</v>
      </c>
      <c r="AS24" s="23">
        <v>4.5454545454545456E-2</v>
      </c>
      <c r="AT24" s="23">
        <v>0.05</v>
      </c>
      <c r="AU24" s="23">
        <v>5.027932960893855E-2</v>
      </c>
      <c r="AW24" s="100">
        <v>4.4692737430167599E-2</v>
      </c>
      <c r="BA24" s="23">
        <v>1</v>
      </c>
      <c r="BB24" s="23">
        <v>0.5</v>
      </c>
      <c r="BC24" s="23">
        <v>0</v>
      </c>
      <c r="BE24" s="23">
        <v>0.5</v>
      </c>
      <c r="BG24" s="23">
        <v>0.625</v>
      </c>
      <c r="BI24" s="100">
        <v>27.932960893854748</v>
      </c>
      <c r="BL24" s="23">
        <v>0.1111111111111111</v>
      </c>
      <c r="BM24" s="23">
        <v>0.44444444444444442</v>
      </c>
      <c r="BN24" s="23">
        <v>0.44444444444444442</v>
      </c>
      <c r="BQ24" s="100">
        <v>8</v>
      </c>
      <c r="BU24" s="23">
        <v>0.63934426229508201</v>
      </c>
      <c r="BV24" s="23">
        <v>0.5625</v>
      </c>
      <c r="BW24" s="23">
        <v>0.80851063829787229</v>
      </c>
      <c r="BX24" s="23">
        <v>0.66666666666666663</v>
      </c>
      <c r="BY24" s="23">
        <v>0.5714285714285714</v>
      </c>
      <c r="BZ24" s="23">
        <v>0.1</v>
      </c>
      <c r="CD24" s="23">
        <v>0.56521739130434778</v>
      </c>
      <c r="CE24" s="23">
        <v>0.81481481481481477</v>
      </c>
      <c r="CF24" s="23">
        <v>0.75</v>
      </c>
      <c r="CG24" s="23">
        <v>0.78125</v>
      </c>
      <c r="CH24" s="23">
        <v>0.77272727272727271</v>
      </c>
      <c r="CI24" s="23">
        <v>0.65</v>
      </c>
      <c r="CN24" s="23">
        <v>3.0303030303030304E-2</v>
      </c>
      <c r="CO24" s="23">
        <v>0</v>
      </c>
      <c r="CP24" s="23">
        <v>0.44444444444444442</v>
      </c>
      <c r="CQ24" s="23">
        <v>0.63636363636363635</v>
      </c>
      <c r="CR24" s="23">
        <v>0.33333333333333331</v>
      </c>
      <c r="CS24" s="23">
        <v>0.16666666666666666</v>
      </c>
    </row>
    <row r="25" spans="3:107" x14ac:dyDescent="0.25">
      <c r="C25" s="21">
        <v>58.823529411764703</v>
      </c>
      <c r="D25" s="21">
        <v>104.16666666666667</v>
      </c>
      <c r="E25" s="21">
        <v>36.363636363636367</v>
      </c>
      <c r="F25" s="21">
        <v>18.867924528301888</v>
      </c>
      <c r="G25" s="21">
        <v>62.5</v>
      </c>
      <c r="H25" s="21">
        <v>0</v>
      </c>
      <c r="K25" s="23">
        <v>0</v>
      </c>
      <c r="L25" s="23">
        <v>0</v>
      </c>
      <c r="M25" s="23">
        <v>11.428571428571429</v>
      </c>
      <c r="N25" s="23">
        <v>25</v>
      </c>
      <c r="O25" s="23">
        <v>0</v>
      </c>
      <c r="P25" s="23">
        <v>4.1666666666666661</v>
      </c>
      <c r="Q25" s="23">
        <v>33.333333333333329</v>
      </c>
      <c r="V25" s="23">
        <v>0.16</v>
      </c>
      <c r="W25" s="23">
        <v>0.23599999999999999</v>
      </c>
      <c r="X25" s="23">
        <v>0.42</v>
      </c>
      <c r="Y25" s="23">
        <v>0.12</v>
      </c>
      <c r="Z25" s="23">
        <v>4.3999999999999997E-2</v>
      </c>
      <c r="AA25" s="23">
        <v>0.02</v>
      </c>
      <c r="AE25" s="23">
        <v>0</v>
      </c>
      <c r="AF25" s="23">
        <v>6.25E-2</v>
      </c>
      <c r="AG25" s="23">
        <v>3.6363636363636362E-2</v>
      </c>
      <c r="AH25" s="23">
        <v>0</v>
      </c>
      <c r="AI25" s="23">
        <v>0</v>
      </c>
      <c r="AJ25" s="23">
        <v>0</v>
      </c>
      <c r="AO25" s="23">
        <v>0</v>
      </c>
      <c r="AP25" s="23">
        <v>2.2222222222222223E-2</v>
      </c>
      <c r="AQ25" s="23">
        <v>0.10416666666666667</v>
      </c>
      <c r="AR25" s="23">
        <v>4.878048780487805E-2</v>
      </c>
      <c r="AS25" s="23">
        <v>4.1666666666666664E-2</v>
      </c>
      <c r="AT25" s="23">
        <v>7.6923076923076927E-2</v>
      </c>
      <c r="AU25" s="23">
        <v>4.878048780487805E-2</v>
      </c>
      <c r="AW25" s="100">
        <v>3.9024390243902439E-2</v>
      </c>
      <c r="BB25" s="23">
        <v>1</v>
      </c>
      <c r="BC25" s="23">
        <v>1</v>
      </c>
      <c r="BG25" s="23">
        <v>1</v>
      </c>
      <c r="BI25" s="100">
        <v>19.512195121951219</v>
      </c>
      <c r="BL25" s="23">
        <v>0.5</v>
      </c>
      <c r="BM25" s="23">
        <v>0</v>
      </c>
      <c r="BN25" s="23">
        <v>0.5</v>
      </c>
      <c r="BQ25" s="100">
        <v>4</v>
      </c>
      <c r="BU25" s="23">
        <v>0.55000000000000004</v>
      </c>
      <c r="BV25" s="23">
        <v>0.5423728813559322</v>
      </c>
      <c r="BW25" s="23">
        <v>0.78095238095238095</v>
      </c>
      <c r="BX25" s="23">
        <v>0.66666666666666663</v>
      </c>
      <c r="BY25" s="23">
        <v>0.72727272727272729</v>
      </c>
      <c r="BZ25" s="23">
        <v>0.2</v>
      </c>
      <c r="CD25" s="23">
        <v>0.5</v>
      </c>
      <c r="CE25" s="23">
        <v>0.71111111111111114</v>
      </c>
      <c r="CF25" s="23">
        <v>0.70833333333333337</v>
      </c>
      <c r="CG25" s="23">
        <v>0.68292682926829273</v>
      </c>
      <c r="CH25" s="23">
        <v>0.75</v>
      </c>
      <c r="CI25" s="23">
        <v>1</v>
      </c>
      <c r="CN25" s="23">
        <v>0</v>
      </c>
      <c r="CO25" s="23">
        <v>7.1428571428571425E-2</v>
      </c>
      <c r="CP25" s="23">
        <v>0.33333333333333331</v>
      </c>
      <c r="CQ25" s="23">
        <v>0.23529411764705882</v>
      </c>
      <c r="CR25" s="23">
        <v>0.2</v>
      </c>
      <c r="CS25" s="23">
        <v>0.25</v>
      </c>
    </row>
    <row r="26" spans="3:107" x14ac:dyDescent="0.25">
      <c r="C26" s="21">
        <v>0</v>
      </c>
      <c r="D26" s="21">
        <v>0</v>
      </c>
      <c r="E26" s="21">
        <v>27.777777777777779</v>
      </c>
      <c r="F26" s="21">
        <v>0</v>
      </c>
      <c r="G26" s="21">
        <v>24.390243902439025</v>
      </c>
      <c r="H26" s="21">
        <v>0</v>
      </c>
      <c r="K26" s="23">
        <v>0</v>
      </c>
      <c r="L26" s="23">
        <v>0</v>
      </c>
      <c r="M26" s="23">
        <v>5.1282051282051277</v>
      </c>
      <c r="N26" s="23">
        <v>0</v>
      </c>
      <c r="O26" s="23">
        <v>0</v>
      </c>
      <c r="P26" s="23">
        <v>18.181818181818183</v>
      </c>
      <c r="Q26" s="23">
        <v>10</v>
      </c>
      <c r="R26" s="23">
        <v>25</v>
      </c>
      <c r="V26" s="23">
        <v>0.184</v>
      </c>
      <c r="W26" s="23">
        <v>0.26</v>
      </c>
      <c r="X26" s="23">
        <v>0.372</v>
      </c>
      <c r="Y26" s="23">
        <v>0.124</v>
      </c>
      <c r="Z26" s="23">
        <v>2.8000000000000001E-2</v>
      </c>
      <c r="AA26" s="23">
        <v>3.2000000000000001E-2</v>
      </c>
      <c r="AE26" s="23">
        <v>3.4482758620689655E-2</v>
      </c>
      <c r="AF26" s="23">
        <v>0</v>
      </c>
      <c r="AG26" s="23">
        <v>5.5555555555555552E-2</v>
      </c>
      <c r="AH26" s="23">
        <v>6.0606060606060608E-2</v>
      </c>
      <c r="AI26" s="23">
        <v>4.878048780487805E-2</v>
      </c>
      <c r="AJ26" s="23">
        <v>0</v>
      </c>
      <c r="AO26" s="23">
        <v>1.8181818181818181E-2</v>
      </c>
      <c r="AP26" s="23">
        <v>0</v>
      </c>
      <c r="AQ26" s="23">
        <v>0.10344827586206896</v>
      </c>
      <c r="AR26" s="23">
        <v>3.8461538461538464E-2</v>
      </c>
      <c r="AS26" s="23">
        <v>3.5714285714285712E-2</v>
      </c>
      <c r="AT26" s="23">
        <v>9.5238095238095233E-2</v>
      </c>
      <c r="AU26" s="23">
        <v>4.0816326530612242E-2</v>
      </c>
      <c r="AW26" s="100">
        <v>2.0408163265306121E-2</v>
      </c>
      <c r="BB26" s="23">
        <v>1</v>
      </c>
      <c r="BC26" s="23">
        <v>0</v>
      </c>
      <c r="BD26" s="23">
        <v>0</v>
      </c>
      <c r="BE26" s="23">
        <v>1</v>
      </c>
      <c r="BG26" s="23">
        <v>0.5</v>
      </c>
      <c r="BI26" s="100">
        <v>10.204081632653061</v>
      </c>
      <c r="BL26" s="23">
        <v>0</v>
      </c>
      <c r="BM26" s="23">
        <v>0</v>
      </c>
      <c r="BN26" s="23">
        <v>1</v>
      </c>
      <c r="BQ26" s="100">
        <v>4</v>
      </c>
      <c r="BU26" s="23">
        <v>0.60869565217391308</v>
      </c>
      <c r="BV26" s="23">
        <v>0.52307692307692311</v>
      </c>
      <c r="BW26" s="23">
        <v>0.73118279569892475</v>
      </c>
      <c r="BX26" s="23">
        <v>0.67741935483870963</v>
      </c>
      <c r="BY26" s="23">
        <v>0.42857142857142855</v>
      </c>
      <c r="BZ26" s="23">
        <v>0</v>
      </c>
      <c r="CD26" s="23">
        <v>0.58181818181818179</v>
      </c>
      <c r="CE26" s="23">
        <v>0.72972972972972971</v>
      </c>
      <c r="CF26" s="23">
        <v>0.75862068965517238</v>
      </c>
      <c r="CG26" s="23">
        <v>0.69230769230769229</v>
      </c>
      <c r="CH26" s="23">
        <v>0.5714285714285714</v>
      </c>
      <c r="CI26" s="23">
        <v>0.52380952380952384</v>
      </c>
      <c r="CN26" s="23">
        <v>2.4390243902439025E-2</v>
      </c>
      <c r="CO26" s="23">
        <v>9.0909090909090912E-2</v>
      </c>
      <c r="CP26" s="23">
        <v>0.44444444444444442</v>
      </c>
      <c r="CQ26" s="23">
        <v>0.14285714285714285</v>
      </c>
      <c r="CR26" s="23">
        <v>0.35714285714285715</v>
      </c>
      <c r="CS26" s="23">
        <v>0.22222222222222221</v>
      </c>
    </row>
    <row r="27" spans="3:107" x14ac:dyDescent="0.25">
      <c r="C27" s="21">
        <v>0</v>
      </c>
      <c r="D27" s="21">
        <v>0</v>
      </c>
      <c r="E27" s="21">
        <v>60</v>
      </c>
      <c r="F27" s="21">
        <v>31.25</v>
      </c>
      <c r="G27" s="21">
        <v>0</v>
      </c>
      <c r="H27" s="21">
        <v>0</v>
      </c>
      <c r="K27" s="23">
        <v>0</v>
      </c>
      <c r="L27" s="23">
        <v>0</v>
      </c>
      <c r="M27" s="23">
        <v>11.428571428571429</v>
      </c>
      <c r="N27" s="23">
        <v>0</v>
      </c>
      <c r="O27" s="23">
        <v>0</v>
      </c>
      <c r="P27" s="23">
        <v>16.666666666666664</v>
      </c>
      <c r="Q27" s="23">
        <v>12.5</v>
      </c>
      <c r="R27" s="23">
        <v>0</v>
      </c>
      <c r="V27" s="23">
        <v>0.23599999999999999</v>
      </c>
      <c r="W27" s="23">
        <v>0.19600000000000001</v>
      </c>
      <c r="X27" s="23">
        <v>0.36399999999999999</v>
      </c>
      <c r="Y27" s="23">
        <v>0.12</v>
      </c>
      <c r="Z27" s="23">
        <v>3.5999999999999997E-2</v>
      </c>
      <c r="AA27" s="23">
        <v>4.8000000000000001E-2</v>
      </c>
      <c r="AE27" s="23">
        <v>0</v>
      </c>
      <c r="AF27" s="23">
        <v>0</v>
      </c>
      <c r="AG27" s="23">
        <v>0.1</v>
      </c>
      <c r="AH27" s="23">
        <v>7.8125E-2</v>
      </c>
      <c r="AI27" s="23">
        <v>0</v>
      </c>
      <c r="AJ27" s="23">
        <v>6.6666666666666666E-2</v>
      </c>
      <c r="AO27" s="23">
        <v>0</v>
      </c>
      <c r="AP27" s="23">
        <v>0</v>
      </c>
      <c r="AQ27" s="23">
        <v>5.2631578947368418E-2</v>
      </c>
      <c r="AR27" s="23">
        <v>4.7619047619047616E-2</v>
      </c>
      <c r="AS27" s="23">
        <v>4.5454545454545456E-2</v>
      </c>
      <c r="AT27" s="23">
        <v>9.0909090909090912E-2</v>
      </c>
      <c r="AU27" s="23">
        <v>3.3519553072625698E-2</v>
      </c>
      <c r="AW27" s="100">
        <v>1.11731843575419E-2</v>
      </c>
      <c r="BB27" s="23">
        <v>0</v>
      </c>
      <c r="BC27" s="23">
        <v>0.66666666666666663</v>
      </c>
      <c r="BD27" s="23">
        <v>0.4</v>
      </c>
      <c r="BF27" s="23">
        <v>0</v>
      </c>
      <c r="BG27" s="23">
        <v>0.36363636363636365</v>
      </c>
      <c r="BI27" s="100">
        <v>22.346368715083798</v>
      </c>
      <c r="BL27" s="23">
        <v>0.2857142857142857</v>
      </c>
      <c r="BM27" s="23">
        <v>0.14285714285714285</v>
      </c>
      <c r="BN27" s="23">
        <v>0.5714285714285714</v>
      </c>
      <c r="BQ27" s="100">
        <v>11</v>
      </c>
      <c r="BU27" s="23">
        <v>0.50847457627118642</v>
      </c>
      <c r="BV27" s="23">
        <v>0.61224489795918369</v>
      </c>
      <c r="BW27" s="23">
        <v>0.65934065934065933</v>
      </c>
      <c r="BX27" s="23">
        <v>0.43333333333333335</v>
      </c>
      <c r="BY27" s="23">
        <v>0.44444444444444442</v>
      </c>
      <c r="BZ27" s="23">
        <v>0.16666666666666666</v>
      </c>
      <c r="CD27" s="23">
        <v>0.54838709677419351</v>
      </c>
      <c r="CE27" s="23">
        <v>0.5714285714285714</v>
      </c>
      <c r="CF27" s="23">
        <v>0.55263157894736847</v>
      </c>
      <c r="CG27" s="23">
        <v>0.7142857142857143</v>
      </c>
      <c r="CH27" s="23">
        <v>0.59090909090909094</v>
      </c>
      <c r="CI27" s="23">
        <v>0.54545454545454541</v>
      </c>
      <c r="CN27" s="23">
        <v>0</v>
      </c>
      <c r="CO27" s="23">
        <v>0.1</v>
      </c>
      <c r="CP27" s="23">
        <v>0.25</v>
      </c>
      <c r="CQ27" s="23">
        <v>0.55555555555555558</v>
      </c>
      <c r="CR27" s="23">
        <v>0.33333333333333331</v>
      </c>
      <c r="CS27" s="23">
        <v>0.16666666666666666</v>
      </c>
    </row>
    <row r="28" spans="3:107" x14ac:dyDescent="0.25">
      <c r="C28" s="21">
        <v>17.857142857142858</v>
      </c>
      <c r="D28" s="21">
        <v>40</v>
      </c>
      <c r="E28" s="21">
        <v>66.666666666666671</v>
      </c>
      <c r="F28" s="21">
        <v>32.258064516129032</v>
      </c>
      <c r="G28" s="21">
        <v>0</v>
      </c>
      <c r="H28" s="21">
        <v>27.777777777777779</v>
      </c>
      <c r="K28" s="23">
        <v>0</v>
      </c>
      <c r="L28" s="23">
        <v>0</v>
      </c>
      <c r="M28" s="23">
        <v>8.3333333333333321</v>
      </c>
      <c r="N28" s="23">
        <v>0</v>
      </c>
      <c r="O28" s="23">
        <v>0</v>
      </c>
      <c r="P28" s="23">
        <v>44.444444444444443</v>
      </c>
      <c r="Q28" s="23">
        <v>11.111111111111111</v>
      </c>
      <c r="R28" s="23">
        <v>20</v>
      </c>
      <c r="V28" s="23">
        <v>0.156</v>
      </c>
      <c r="W28" s="23">
        <v>0.22800000000000001</v>
      </c>
      <c r="X28" s="23">
        <v>0.42799999999999999</v>
      </c>
      <c r="Y28" s="23">
        <v>0.12</v>
      </c>
      <c r="Z28" s="23">
        <v>2.4E-2</v>
      </c>
      <c r="AA28" s="23">
        <v>4.3999999999999997E-2</v>
      </c>
      <c r="AE28" s="23">
        <v>3.5714285714285712E-2</v>
      </c>
      <c r="AF28" s="23">
        <v>0.08</v>
      </c>
      <c r="AG28" s="23">
        <v>4.4444444444444446E-2</v>
      </c>
      <c r="AH28" s="23">
        <v>6.4516129032258063E-2</v>
      </c>
      <c r="AI28" s="23">
        <v>3.125E-2</v>
      </c>
      <c r="AJ28" s="23">
        <v>0</v>
      </c>
      <c r="AO28" s="23">
        <v>0</v>
      </c>
      <c r="AP28" s="23">
        <v>0</v>
      </c>
      <c r="AQ28" s="23">
        <v>0.10256410256410256</v>
      </c>
      <c r="AR28" s="23">
        <v>0</v>
      </c>
      <c r="AS28" s="23">
        <v>9.5238095238095233E-2</v>
      </c>
      <c r="AT28" s="23">
        <v>0</v>
      </c>
      <c r="AU28" s="23">
        <v>0.03</v>
      </c>
      <c r="AW28" s="100">
        <v>3.5000000000000003E-2</v>
      </c>
      <c r="BA28" s="23">
        <v>0.5</v>
      </c>
      <c r="BB28" s="23">
        <v>1</v>
      </c>
      <c r="BC28" s="23">
        <v>0.5</v>
      </c>
      <c r="BD28" s="23">
        <v>0</v>
      </c>
      <c r="BE28" s="23">
        <v>0</v>
      </c>
      <c r="BG28" s="23">
        <v>0.55555555555555558</v>
      </c>
      <c r="BI28" s="100">
        <v>25</v>
      </c>
      <c r="BL28" s="23">
        <v>0</v>
      </c>
      <c r="BM28" s="23">
        <v>0</v>
      </c>
      <c r="BN28" s="23">
        <v>1</v>
      </c>
      <c r="BQ28" s="100">
        <v>9</v>
      </c>
      <c r="BU28" s="23">
        <v>0.69230769230769229</v>
      </c>
      <c r="BV28" s="23">
        <v>0.43859649122807015</v>
      </c>
      <c r="BW28" s="23">
        <v>0.69158878504672894</v>
      </c>
      <c r="BX28" s="23">
        <v>0.73333333333333328</v>
      </c>
      <c r="BY28" s="23">
        <v>0.66666666666666663</v>
      </c>
      <c r="BZ28" s="23">
        <v>0.27272727272727271</v>
      </c>
      <c r="CD28" s="23">
        <v>0.53703703703703709</v>
      </c>
      <c r="CE28" s="23">
        <v>0.73913043478260865</v>
      </c>
      <c r="CF28" s="23">
        <v>0.64102564102564108</v>
      </c>
      <c r="CG28" s="23">
        <v>0.54166666666666663</v>
      </c>
      <c r="CH28" s="23">
        <v>0.66666666666666663</v>
      </c>
      <c r="CI28" s="23">
        <v>0.625</v>
      </c>
      <c r="CN28" s="23">
        <v>5.8823529411764705E-2</v>
      </c>
      <c r="CO28" s="23">
        <v>5.8823529411764705E-2</v>
      </c>
      <c r="CP28" s="23">
        <v>0.55555555555555558</v>
      </c>
      <c r="CQ28" s="23">
        <v>0</v>
      </c>
      <c r="CR28" s="23">
        <v>0.2857142857142857</v>
      </c>
      <c r="CS28" s="23">
        <v>0</v>
      </c>
    </row>
    <row r="29" spans="3:107" x14ac:dyDescent="0.25">
      <c r="C29" s="21">
        <v>0</v>
      </c>
      <c r="D29" s="21">
        <v>0</v>
      </c>
      <c r="E29" s="21">
        <v>83.333333333333329</v>
      </c>
      <c r="F29" s="21">
        <v>18.518518518518519</v>
      </c>
      <c r="G29" s="21">
        <v>0</v>
      </c>
      <c r="H29" s="21">
        <v>0</v>
      </c>
      <c r="K29" s="23">
        <v>0</v>
      </c>
      <c r="L29" s="23">
        <v>0</v>
      </c>
      <c r="M29" s="23">
        <v>11.76470588235294</v>
      </c>
      <c r="N29" s="23">
        <v>0</v>
      </c>
      <c r="O29" s="23">
        <v>0</v>
      </c>
      <c r="P29" s="23">
        <v>12</v>
      </c>
      <c r="Q29" s="23">
        <v>40</v>
      </c>
      <c r="R29" s="23">
        <v>50</v>
      </c>
      <c r="V29" s="23">
        <v>0.23599999999999999</v>
      </c>
      <c r="W29" s="23">
        <v>0.184</v>
      </c>
      <c r="X29" s="23">
        <v>0.34399999999999997</v>
      </c>
      <c r="Y29" s="23">
        <v>0.13600000000000001</v>
      </c>
      <c r="Z29" s="23">
        <v>0.04</v>
      </c>
      <c r="AA29" s="23">
        <v>0.06</v>
      </c>
      <c r="AE29" s="23">
        <v>5.128205128205128E-2</v>
      </c>
      <c r="AF29" s="23">
        <v>3.2258064516129031E-2</v>
      </c>
      <c r="AG29" s="23">
        <v>8.3333333333333329E-2</v>
      </c>
      <c r="AH29" s="23">
        <v>9.2592592592592587E-2</v>
      </c>
      <c r="AI29" s="23">
        <v>7.1428571428571425E-2</v>
      </c>
      <c r="AJ29" s="23">
        <v>0</v>
      </c>
      <c r="AO29" s="23">
        <v>0</v>
      </c>
      <c r="AP29" s="23">
        <v>0</v>
      </c>
      <c r="AQ29" s="23">
        <v>2.7027027027027029E-2</v>
      </c>
      <c r="AR29" s="23">
        <v>0.11428571428571428</v>
      </c>
      <c r="AS29" s="23">
        <v>0</v>
      </c>
      <c r="AT29" s="23">
        <v>0.18181818181818182</v>
      </c>
      <c r="AU29" s="23">
        <v>3.9772727272727272E-2</v>
      </c>
      <c r="AW29" s="100">
        <v>2.2727272727272728E-2</v>
      </c>
      <c r="BA29" s="23">
        <v>1</v>
      </c>
      <c r="BB29" s="23">
        <v>1</v>
      </c>
      <c r="BC29" s="23">
        <v>0</v>
      </c>
      <c r="BD29" s="23">
        <v>0.75</v>
      </c>
      <c r="BE29" s="23">
        <v>1</v>
      </c>
      <c r="BG29" s="23">
        <v>0.7</v>
      </c>
      <c r="BI29" s="100">
        <v>39.772727272727273</v>
      </c>
      <c r="BL29" s="23">
        <v>0.25</v>
      </c>
      <c r="BM29" s="23">
        <v>0</v>
      </c>
      <c r="BN29" s="23">
        <v>0.75</v>
      </c>
      <c r="BQ29" s="100">
        <v>10</v>
      </c>
      <c r="BU29" s="23">
        <v>0.6271186440677966</v>
      </c>
      <c r="BV29" s="23">
        <v>0.43478260869565216</v>
      </c>
      <c r="BW29" s="23">
        <v>0.66279069767441856</v>
      </c>
      <c r="BX29" s="23">
        <v>0.55882352941176472</v>
      </c>
      <c r="BY29" s="23">
        <v>0.3</v>
      </c>
      <c r="BZ29" s="23">
        <v>0</v>
      </c>
      <c r="CD29" s="23">
        <v>0.35135135135135137</v>
      </c>
      <c r="CE29" s="23">
        <v>0.6428571428571429</v>
      </c>
      <c r="CF29" s="23">
        <v>0.70270270270270274</v>
      </c>
      <c r="CG29" s="23">
        <v>0.54285714285714282</v>
      </c>
      <c r="CH29" s="23">
        <v>0.5714285714285714</v>
      </c>
      <c r="CI29" s="23">
        <v>0.63636363636363635</v>
      </c>
      <c r="CN29" s="23">
        <v>3.8461538461538464E-2</v>
      </c>
      <c r="CO29" s="23">
        <v>0.1</v>
      </c>
      <c r="CP29" s="23">
        <v>0.25</v>
      </c>
      <c r="CQ29" s="23">
        <v>0.5</v>
      </c>
      <c r="CR29" s="23">
        <v>0.33333333333333331</v>
      </c>
      <c r="CS29" s="23">
        <v>0.5</v>
      </c>
    </row>
    <row r="30" spans="3:107" x14ac:dyDescent="0.25">
      <c r="C30" s="21">
        <v>23.80952380952381</v>
      </c>
      <c r="D30" s="21">
        <v>0</v>
      </c>
      <c r="E30" s="21">
        <v>30.303030303030305</v>
      </c>
      <c r="F30" s="21">
        <v>17.543859649122808</v>
      </c>
      <c r="G30" s="21">
        <v>0</v>
      </c>
      <c r="H30" s="21">
        <v>27.777777777777779</v>
      </c>
      <c r="K30" s="23">
        <v>0</v>
      </c>
      <c r="L30" s="23">
        <v>9.0909090909090917</v>
      </c>
      <c r="M30" s="23">
        <v>9.375</v>
      </c>
      <c r="N30" s="23">
        <v>0</v>
      </c>
      <c r="O30" s="23">
        <v>0</v>
      </c>
      <c r="P30" s="23">
        <v>23.076923076923077</v>
      </c>
      <c r="Q30" s="23">
        <v>50</v>
      </c>
      <c r="R30" s="23">
        <v>0</v>
      </c>
      <c r="V30" s="23">
        <v>0.21199999999999999</v>
      </c>
      <c r="W30" s="23">
        <v>0.24</v>
      </c>
      <c r="X30" s="23">
        <v>0.33200000000000002</v>
      </c>
      <c r="Y30" s="23">
        <v>0.128</v>
      </c>
      <c r="Z30" s="23">
        <v>0.04</v>
      </c>
      <c r="AA30" s="23">
        <v>4.8000000000000001E-2</v>
      </c>
      <c r="AE30" s="23">
        <v>2.3809523809523808E-2</v>
      </c>
      <c r="AF30" s="23">
        <v>5.8823529411764705E-2</v>
      </c>
      <c r="AG30" s="23">
        <v>0.12121212121212122</v>
      </c>
      <c r="AH30" s="23">
        <v>5.2631578947368418E-2</v>
      </c>
      <c r="AI30" s="23">
        <v>2.0833333333333332E-2</v>
      </c>
      <c r="AJ30" s="23">
        <v>2.7777777777777776E-2</v>
      </c>
      <c r="AO30" s="23">
        <v>0</v>
      </c>
      <c r="AP30" s="23">
        <v>3.2258064516129031E-2</v>
      </c>
      <c r="AQ30" s="23">
        <v>0.22222222222222221</v>
      </c>
      <c r="AR30" s="23">
        <v>0</v>
      </c>
      <c r="AS30" s="23">
        <v>5.5555555555555552E-2</v>
      </c>
      <c r="AT30" s="23">
        <v>0.25</v>
      </c>
      <c r="AU30" s="23">
        <v>5.9459459459459463E-2</v>
      </c>
      <c r="AW30" s="100">
        <v>4.3243243243243246E-2</v>
      </c>
      <c r="BB30" s="23">
        <v>0.66666666666666663</v>
      </c>
      <c r="BC30" s="23">
        <v>0.8</v>
      </c>
      <c r="BD30" s="23">
        <v>0.66666666666666663</v>
      </c>
      <c r="BE30" s="23">
        <v>1</v>
      </c>
      <c r="BF30" s="23">
        <v>1</v>
      </c>
      <c r="BG30" s="23">
        <v>0.76923076923076927</v>
      </c>
      <c r="BI30" s="100">
        <v>54.054054054054056</v>
      </c>
      <c r="BL30" s="23">
        <v>0.36842105263157893</v>
      </c>
      <c r="BM30" s="23">
        <v>0.15789473684210525</v>
      </c>
      <c r="BN30" s="23">
        <v>0.47368421052631576</v>
      </c>
      <c r="BQ30" s="100">
        <v>13</v>
      </c>
      <c r="BU30" s="23">
        <v>0.62264150943396224</v>
      </c>
      <c r="BV30" s="23">
        <v>0.48333333333333334</v>
      </c>
      <c r="BW30" s="23">
        <v>0.73493975903614461</v>
      </c>
      <c r="BX30" s="23">
        <v>0.5625</v>
      </c>
      <c r="BY30" s="23">
        <v>0.6</v>
      </c>
      <c r="BZ30" s="23">
        <v>0</v>
      </c>
      <c r="CD30" s="23">
        <v>0.46341463414634149</v>
      </c>
      <c r="CE30" s="23">
        <v>0.70967741935483875</v>
      </c>
      <c r="CF30" s="23">
        <v>0.83333333333333337</v>
      </c>
      <c r="CG30" s="23">
        <v>0.62790697674418605</v>
      </c>
      <c r="CH30" s="23">
        <v>0.5</v>
      </c>
      <c r="CI30" s="23">
        <v>0.8125</v>
      </c>
      <c r="CN30" s="23">
        <v>0</v>
      </c>
      <c r="CO30" s="23">
        <v>7.1428571428571425E-2</v>
      </c>
      <c r="CP30" s="23">
        <v>0.66666666666666663</v>
      </c>
      <c r="CQ30" s="23">
        <v>0.23076923076923078</v>
      </c>
      <c r="CR30" s="23">
        <v>0.30769230769230771</v>
      </c>
      <c r="CS30" s="23">
        <v>0.44444444444444442</v>
      </c>
    </row>
    <row r="31" spans="3:107" x14ac:dyDescent="0.25">
      <c r="C31" s="21">
        <v>15.873015873015873</v>
      </c>
      <c r="D31" s="21">
        <v>68.965517241379317</v>
      </c>
      <c r="E31" s="21">
        <v>155.55555555555554</v>
      </c>
      <c r="F31" s="21">
        <v>50</v>
      </c>
      <c r="G31" s="21">
        <v>0</v>
      </c>
      <c r="H31" s="21">
        <v>0</v>
      </c>
      <c r="K31" s="23">
        <v>0</v>
      </c>
      <c r="L31" s="23">
        <v>0</v>
      </c>
      <c r="M31" s="23">
        <v>16.216216216216218</v>
      </c>
      <c r="N31" s="23">
        <v>14.285714285714285</v>
      </c>
      <c r="O31" s="23">
        <v>0</v>
      </c>
      <c r="P31" s="23">
        <v>23.809523809523807</v>
      </c>
      <c r="Q31" s="23">
        <v>0</v>
      </c>
      <c r="R31" s="23">
        <v>33.333333333333329</v>
      </c>
      <c r="V31" s="23">
        <v>0.152</v>
      </c>
      <c r="W31" s="23">
        <v>0.25600000000000001</v>
      </c>
      <c r="X31" s="23">
        <v>0.36399999999999999</v>
      </c>
      <c r="Y31" s="23">
        <v>0.152</v>
      </c>
      <c r="Z31" s="23">
        <v>2.8000000000000001E-2</v>
      </c>
      <c r="AA31" s="23">
        <v>4.8000000000000001E-2</v>
      </c>
      <c r="AE31" s="23">
        <v>6.3492063492063489E-2</v>
      </c>
      <c r="AF31" s="23">
        <v>6.8965517241379309E-2</v>
      </c>
      <c r="AG31" s="23">
        <v>4.4444444444444446E-2</v>
      </c>
      <c r="AH31" s="23">
        <v>0.1</v>
      </c>
      <c r="AI31" s="23">
        <v>0</v>
      </c>
      <c r="AJ31" s="23">
        <v>0</v>
      </c>
      <c r="AO31" s="23">
        <v>1.6949152542372881E-2</v>
      </c>
      <c r="AP31" s="23">
        <v>3.8461538461538464E-2</v>
      </c>
      <c r="AQ31" s="23">
        <v>0.1388888888888889</v>
      </c>
      <c r="AR31" s="23">
        <v>6.25E-2</v>
      </c>
      <c r="AS31" s="23">
        <v>0</v>
      </c>
      <c r="AT31" s="23">
        <v>0.20833333333333334</v>
      </c>
      <c r="AU31" s="23">
        <v>7.0000000000000007E-2</v>
      </c>
      <c r="AW31" s="100">
        <v>4.4999999999999998E-2</v>
      </c>
      <c r="BA31" s="23">
        <v>1</v>
      </c>
      <c r="BB31" s="23">
        <v>0.8</v>
      </c>
      <c r="BC31" s="23">
        <v>0.33333333333333331</v>
      </c>
      <c r="BD31" s="23">
        <v>1</v>
      </c>
      <c r="BG31" s="23">
        <v>0.72727272727272729</v>
      </c>
      <c r="BI31" s="100">
        <v>40</v>
      </c>
      <c r="BL31" s="23">
        <v>0.4</v>
      </c>
      <c r="BM31" s="23">
        <v>0.2</v>
      </c>
      <c r="BN31" s="23">
        <v>0.4</v>
      </c>
      <c r="BQ31" s="100">
        <v>11</v>
      </c>
      <c r="BU31" s="23">
        <v>0.55263157894736847</v>
      </c>
      <c r="BV31" s="23">
        <v>0.546875</v>
      </c>
      <c r="BW31" s="23">
        <v>0.72527472527472525</v>
      </c>
      <c r="BX31" s="23">
        <v>0.71052631578947367</v>
      </c>
      <c r="BY31" s="23">
        <v>0.7142857142857143</v>
      </c>
      <c r="BZ31" s="23">
        <v>8.3333333333333329E-2</v>
      </c>
      <c r="CD31" s="23">
        <v>0.6271186440677966</v>
      </c>
      <c r="CE31" s="23">
        <v>0.61538461538461542</v>
      </c>
      <c r="CF31" s="23">
        <v>0.75</v>
      </c>
      <c r="CG31" s="23">
        <v>0.8125</v>
      </c>
      <c r="CH31" s="23">
        <v>0.61538461538461542</v>
      </c>
      <c r="CI31" s="23">
        <v>0.66666666666666663</v>
      </c>
      <c r="CN31" s="23">
        <v>2.564102564102564E-2</v>
      </c>
      <c r="CO31" s="23">
        <v>0.17647058823529413</v>
      </c>
      <c r="CP31" s="23">
        <v>0.5</v>
      </c>
      <c r="CQ31" s="23">
        <v>0.2</v>
      </c>
      <c r="CR31" s="23">
        <v>0.66666666666666663</v>
      </c>
      <c r="CS31" s="23">
        <v>0.38461538461538464</v>
      </c>
    </row>
    <row r="32" spans="3:107" x14ac:dyDescent="0.25">
      <c r="C32" s="21">
        <v>0</v>
      </c>
      <c r="D32" s="21">
        <v>142.85714285714286</v>
      </c>
      <c r="E32" s="21">
        <v>61.53846153846154</v>
      </c>
      <c r="F32" s="21">
        <v>76.92307692307692</v>
      </c>
      <c r="G32" s="21">
        <v>54.054054054054056</v>
      </c>
      <c r="H32" s="21">
        <v>0</v>
      </c>
      <c r="K32" s="23">
        <v>0</v>
      </c>
      <c r="L32" s="23">
        <v>14.285714285714285</v>
      </c>
      <c r="M32" s="23">
        <v>8.3333333333333321</v>
      </c>
      <c r="N32" s="23">
        <v>0</v>
      </c>
      <c r="O32" s="23">
        <v>0</v>
      </c>
      <c r="P32" s="23">
        <v>20</v>
      </c>
      <c r="Q32" s="23">
        <v>0</v>
      </c>
      <c r="R32" s="23">
        <v>0</v>
      </c>
      <c r="V32" s="23">
        <v>0.19600000000000001</v>
      </c>
      <c r="W32" s="23">
        <v>0.17199999999999999</v>
      </c>
      <c r="X32" s="23">
        <v>0.38400000000000001</v>
      </c>
      <c r="Y32" s="23">
        <v>0.152</v>
      </c>
      <c r="Z32" s="23">
        <v>0.04</v>
      </c>
      <c r="AA32" s="23">
        <v>5.6000000000000001E-2</v>
      </c>
      <c r="AE32" s="23">
        <v>7.1428571428571425E-2</v>
      </c>
      <c r="AF32" s="23">
        <v>8.9285714285714288E-2</v>
      </c>
      <c r="AG32" s="23">
        <v>7.6923076923076927E-2</v>
      </c>
      <c r="AH32" s="23">
        <v>3.8461538461538464E-2</v>
      </c>
      <c r="AI32" s="23">
        <v>0</v>
      </c>
      <c r="AJ32" s="23">
        <v>0</v>
      </c>
      <c r="AO32" s="23">
        <v>0</v>
      </c>
      <c r="AP32" s="23">
        <v>6.25E-2</v>
      </c>
      <c r="AQ32" s="23">
        <v>7.6923076923076927E-2</v>
      </c>
      <c r="AR32" s="23">
        <v>5.128205128205128E-2</v>
      </c>
      <c r="AS32" s="23">
        <v>0.27272727272727271</v>
      </c>
      <c r="AT32" s="23">
        <v>0</v>
      </c>
      <c r="AU32" s="23">
        <v>8.0213903743315509E-2</v>
      </c>
      <c r="AW32" s="100">
        <v>3.7433155080213901E-2</v>
      </c>
      <c r="BA32" s="23">
        <v>0</v>
      </c>
      <c r="BB32" s="23">
        <v>0.75</v>
      </c>
      <c r="BC32" s="23">
        <v>0.4</v>
      </c>
      <c r="BD32" s="23">
        <v>0</v>
      </c>
      <c r="BG32" s="23">
        <v>0.41666666666666669</v>
      </c>
      <c r="BI32" s="100">
        <v>26.737967914438503</v>
      </c>
      <c r="BL32" s="23">
        <v>0.42857142857142855</v>
      </c>
      <c r="BM32" s="23">
        <v>0.2857142857142857</v>
      </c>
      <c r="BN32" s="23">
        <v>0.2857142857142857</v>
      </c>
      <c r="BQ32" s="100">
        <v>12</v>
      </c>
      <c r="BU32" s="23">
        <v>0.5714285714285714</v>
      </c>
      <c r="BV32" s="23">
        <v>0.58139534883720934</v>
      </c>
      <c r="BW32" s="23">
        <v>0.72916666666666663</v>
      </c>
      <c r="BX32" s="23">
        <v>0.63157894736842102</v>
      </c>
      <c r="BY32" s="23">
        <v>0.8</v>
      </c>
      <c r="BZ32" s="23">
        <v>0.21428571428571427</v>
      </c>
      <c r="CD32" s="23">
        <v>0.41666666666666669</v>
      </c>
      <c r="CE32" s="23">
        <v>0.70833333333333337</v>
      </c>
      <c r="CF32" s="23">
        <v>0.69230769230769229</v>
      </c>
      <c r="CG32" s="23">
        <v>0.74358974358974361</v>
      </c>
      <c r="CH32" s="23">
        <v>0.72727272727272729</v>
      </c>
      <c r="CI32" s="23">
        <v>1</v>
      </c>
      <c r="CN32" s="23">
        <v>0</v>
      </c>
      <c r="CO32" s="23">
        <v>0.23529411764705882</v>
      </c>
      <c r="CP32" s="23">
        <v>0.27777777777777779</v>
      </c>
      <c r="CQ32" s="23">
        <v>0.36363636363636365</v>
      </c>
      <c r="CR32" s="23">
        <v>0.69230769230769229</v>
      </c>
      <c r="CS32" s="23">
        <v>0</v>
      </c>
    </row>
    <row r="33" spans="3:97" x14ac:dyDescent="0.25">
      <c r="C33" s="21">
        <v>0</v>
      </c>
      <c r="D33" s="21">
        <v>62.5</v>
      </c>
      <c r="E33" s="21">
        <v>23.255813953488371</v>
      </c>
      <c r="F33" s="21">
        <v>63.492063492063494</v>
      </c>
      <c r="G33" s="21">
        <v>19.23076923076923</v>
      </c>
      <c r="H33" s="21">
        <v>0</v>
      </c>
      <c r="K33" s="23">
        <v>0</v>
      </c>
      <c r="L33" s="23">
        <v>0</v>
      </c>
      <c r="M33" s="23">
        <v>2.9411764705882351</v>
      </c>
      <c r="N33" s="23">
        <v>0</v>
      </c>
      <c r="O33" s="23">
        <v>0</v>
      </c>
      <c r="P33" s="23">
        <v>4.1666666666666661</v>
      </c>
      <c r="Q33" s="23">
        <v>14.285714285714285</v>
      </c>
      <c r="R33" s="23">
        <v>0</v>
      </c>
      <c r="V33" s="23">
        <v>0.27200000000000002</v>
      </c>
      <c r="W33" s="23">
        <v>0.192</v>
      </c>
      <c r="X33" s="23">
        <v>0.34399999999999997</v>
      </c>
      <c r="Y33" s="23">
        <v>0.152</v>
      </c>
      <c r="Z33" s="23">
        <v>0.02</v>
      </c>
      <c r="AA33" s="23">
        <v>0.02</v>
      </c>
      <c r="AE33" s="23">
        <v>0</v>
      </c>
      <c r="AF33" s="23">
        <v>0</v>
      </c>
      <c r="AG33" s="23">
        <v>2.3255813953488372E-2</v>
      </c>
      <c r="AH33" s="23">
        <v>6.3492063492063489E-2</v>
      </c>
      <c r="AI33" s="23">
        <v>0</v>
      </c>
      <c r="AJ33" s="23">
        <v>0</v>
      </c>
      <c r="AO33" s="23">
        <v>2.5000000000000001E-2</v>
      </c>
      <c r="AP33" s="23">
        <v>0</v>
      </c>
      <c r="AQ33" s="23">
        <v>8.1081081081081086E-2</v>
      </c>
      <c r="AR33" s="23">
        <v>8.3333333333333329E-2</v>
      </c>
      <c r="AS33" s="23">
        <v>5.7142857142857141E-2</v>
      </c>
      <c r="AT33" s="23">
        <v>0.15384615384615385</v>
      </c>
      <c r="AU33" s="23">
        <v>6.2146892655367235E-2</v>
      </c>
      <c r="AW33" s="100">
        <v>1.1299435028248588E-2</v>
      </c>
      <c r="BD33" s="23">
        <v>1</v>
      </c>
      <c r="BG33" s="23">
        <v>1</v>
      </c>
      <c r="BI33" s="100">
        <v>5.6497175141242941</v>
      </c>
      <c r="BL33" s="23">
        <v>0</v>
      </c>
      <c r="BM33" s="23">
        <v>0</v>
      </c>
      <c r="BN33" s="23">
        <v>1</v>
      </c>
      <c r="BQ33" s="100">
        <v>1</v>
      </c>
      <c r="BU33" s="23">
        <v>0.57352941176470584</v>
      </c>
      <c r="BV33" s="23">
        <v>0.35416666666666669</v>
      </c>
      <c r="BW33" s="23">
        <v>0.69767441860465118</v>
      </c>
      <c r="BX33" s="23">
        <v>0.52631578947368418</v>
      </c>
      <c r="BY33" s="23">
        <v>1</v>
      </c>
      <c r="BZ33" s="23">
        <v>0</v>
      </c>
      <c r="CD33" s="23">
        <v>0.375</v>
      </c>
      <c r="CE33" s="23">
        <v>0.5625</v>
      </c>
      <c r="CF33" s="23">
        <v>0.64864864864864868</v>
      </c>
      <c r="CG33" s="23">
        <v>0.61111111111111116</v>
      </c>
      <c r="CH33" s="23">
        <v>0.68571428571428572</v>
      </c>
      <c r="CI33" s="23">
        <v>0.61538461538461542</v>
      </c>
      <c r="CN33" s="23">
        <v>3.3333333333333333E-2</v>
      </c>
      <c r="CO33" s="23">
        <v>0</v>
      </c>
      <c r="CP33" s="23">
        <v>0.25</v>
      </c>
      <c r="CQ33" s="23">
        <v>0.54545454545454541</v>
      </c>
      <c r="CR33" s="23">
        <v>0.22222222222222221</v>
      </c>
      <c r="CS33" s="23">
        <v>0.5</v>
      </c>
    </row>
    <row r="34" spans="3:97" x14ac:dyDescent="0.25">
      <c r="C34" s="21">
        <v>16.949152542372882</v>
      </c>
      <c r="D34" s="21">
        <v>23.80952380952381</v>
      </c>
      <c r="E34" s="21">
        <v>88.235294117647058</v>
      </c>
      <c r="F34" s="21">
        <v>35.714285714285715</v>
      </c>
      <c r="G34" s="21">
        <v>51.282051282051285</v>
      </c>
      <c r="H34" s="21">
        <v>0</v>
      </c>
      <c r="K34" s="23">
        <v>0</v>
      </c>
      <c r="L34" s="23">
        <v>0</v>
      </c>
      <c r="M34" s="23">
        <v>7.1428571428571423</v>
      </c>
      <c r="N34" s="23">
        <v>25</v>
      </c>
      <c r="O34" s="23">
        <v>0</v>
      </c>
      <c r="P34" s="23">
        <v>15</v>
      </c>
      <c r="Q34" s="23">
        <v>28.571428571428569</v>
      </c>
      <c r="R34" s="23">
        <v>0</v>
      </c>
      <c r="V34" s="23">
        <v>0.20799999999999999</v>
      </c>
      <c r="W34" s="23">
        <v>0.24399999999999999</v>
      </c>
      <c r="X34" s="23">
        <v>0.34399999999999997</v>
      </c>
      <c r="Y34" s="23">
        <v>0.14399999999999999</v>
      </c>
      <c r="Z34" s="23">
        <v>1.6E-2</v>
      </c>
      <c r="AA34" s="23">
        <v>4.3999999999999997E-2</v>
      </c>
      <c r="AE34" s="23">
        <v>5.0847457627118647E-2</v>
      </c>
      <c r="AF34" s="23">
        <v>0.11904761904761904</v>
      </c>
      <c r="AG34" s="23">
        <v>2.9411764705882353E-2</v>
      </c>
      <c r="AH34" s="23">
        <v>7.1428571428571425E-2</v>
      </c>
      <c r="AI34" s="23">
        <v>0</v>
      </c>
      <c r="AJ34" s="23">
        <v>0</v>
      </c>
      <c r="AO34" s="23">
        <v>1.7857142857142856E-2</v>
      </c>
      <c r="AP34" s="23">
        <v>2.8571428571428571E-2</v>
      </c>
      <c r="AQ34" s="23">
        <v>3.2258064516129031E-2</v>
      </c>
      <c r="AR34" s="23">
        <v>0.11764705882352941</v>
      </c>
      <c r="AS34" s="23">
        <v>4.1666666666666664E-2</v>
      </c>
      <c r="AT34" s="23">
        <v>4.1666666666666664E-2</v>
      </c>
      <c r="AU34" s="23">
        <v>3.7433155080213901E-2</v>
      </c>
      <c r="AW34" s="100">
        <v>2.1390374331550801E-2</v>
      </c>
      <c r="BA34" s="23">
        <v>0.5</v>
      </c>
      <c r="BB34" s="23">
        <v>0.75</v>
      </c>
      <c r="BC34" s="23">
        <v>0</v>
      </c>
      <c r="BD34" s="23">
        <v>1</v>
      </c>
      <c r="BG34" s="23">
        <v>0.625</v>
      </c>
      <c r="BI34" s="100">
        <v>26.737967914438503</v>
      </c>
      <c r="BL34" s="23">
        <v>0.2857142857142857</v>
      </c>
      <c r="BM34" s="23">
        <v>0</v>
      </c>
      <c r="BN34" s="23">
        <v>0.7142857142857143</v>
      </c>
      <c r="BQ34" s="100">
        <v>8</v>
      </c>
      <c r="BU34" s="23">
        <v>0.57692307692307687</v>
      </c>
      <c r="BV34" s="23">
        <v>0.54098360655737709</v>
      </c>
      <c r="BW34" s="23">
        <v>0.73255813953488369</v>
      </c>
      <c r="BX34" s="23">
        <v>0.61111111111111116</v>
      </c>
      <c r="BY34" s="23">
        <v>0.5</v>
      </c>
      <c r="BZ34" s="23">
        <v>9.0909090909090912E-2</v>
      </c>
      <c r="CD34" s="23">
        <v>0.5714285714285714</v>
      </c>
      <c r="CE34" s="23">
        <v>0.77142857142857146</v>
      </c>
      <c r="CF34" s="23">
        <v>0.70967741935483875</v>
      </c>
      <c r="CG34" s="23">
        <v>0.76470588235294112</v>
      </c>
      <c r="CH34" s="23">
        <v>0.45833333333333331</v>
      </c>
      <c r="CI34" s="23">
        <v>0.625</v>
      </c>
      <c r="CN34" s="23">
        <v>2.5000000000000001E-2</v>
      </c>
      <c r="CO34" s="23">
        <v>0.15384615384615385</v>
      </c>
      <c r="CP34" s="23">
        <v>0.4</v>
      </c>
      <c r="CQ34" s="23">
        <v>0.2857142857142857</v>
      </c>
      <c r="CR34" s="23">
        <v>0.22222222222222221</v>
      </c>
      <c r="CS34" s="23">
        <v>0.14285714285714285</v>
      </c>
    </row>
    <row r="35" spans="3:97" x14ac:dyDescent="0.25">
      <c r="C35" s="21">
        <v>20.833333333333332</v>
      </c>
      <c r="D35" s="21">
        <v>17.241379310344829</v>
      </c>
      <c r="E35" s="21">
        <v>76.92307692307692</v>
      </c>
      <c r="F35" s="21">
        <v>27.027027027027028</v>
      </c>
      <c r="G35" s="21">
        <v>38.46153846153846</v>
      </c>
      <c r="H35" s="21">
        <v>34.482758620689658</v>
      </c>
      <c r="K35" s="23">
        <v>0</v>
      </c>
      <c r="L35" s="23">
        <v>0</v>
      </c>
      <c r="M35" s="23">
        <v>0</v>
      </c>
      <c r="N35" s="23">
        <v>0</v>
      </c>
      <c r="O35" s="23">
        <v>0</v>
      </c>
      <c r="P35" s="23">
        <v>13.636363636363635</v>
      </c>
      <c r="Q35" s="23">
        <v>28.571428571428569</v>
      </c>
      <c r="R35" s="23">
        <v>25</v>
      </c>
      <c r="V35" s="23">
        <v>0.16800000000000001</v>
      </c>
      <c r="W35" s="23">
        <v>0.26400000000000001</v>
      </c>
      <c r="X35" s="23">
        <v>0.34799999999999998</v>
      </c>
      <c r="Y35" s="23">
        <v>0.16</v>
      </c>
      <c r="Z35" s="23">
        <v>2.8000000000000001E-2</v>
      </c>
      <c r="AA35" s="23">
        <v>3.2000000000000001E-2</v>
      </c>
      <c r="AE35" s="23">
        <v>0</v>
      </c>
      <c r="AF35" s="23">
        <v>6.8965517241379309E-2</v>
      </c>
      <c r="AG35" s="23">
        <v>3.8461538461538464E-2</v>
      </c>
      <c r="AH35" s="23">
        <v>5.4054054054054057E-2</v>
      </c>
      <c r="AI35" s="23">
        <v>0</v>
      </c>
      <c r="AJ35" s="23">
        <v>0</v>
      </c>
      <c r="AO35" s="23">
        <v>0</v>
      </c>
      <c r="AP35" s="23">
        <v>5.7692307692307696E-2</v>
      </c>
      <c r="AQ35" s="23">
        <v>2.3809523809523808E-2</v>
      </c>
      <c r="AR35" s="23">
        <v>8.6956521739130432E-2</v>
      </c>
      <c r="AS35" s="23">
        <v>0.1111111111111111</v>
      </c>
      <c r="AT35" s="23">
        <v>5.8823529411764705E-2</v>
      </c>
      <c r="AU35" s="23">
        <v>4.4999999999999998E-2</v>
      </c>
      <c r="AW35" s="100">
        <v>0.02</v>
      </c>
      <c r="BB35" s="23">
        <v>0.66666666666666663</v>
      </c>
      <c r="BD35" s="23">
        <v>0</v>
      </c>
      <c r="BG35" s="23">
        <v>0.5</v>
      </c>
      <c r="BI35" s="100">
        <v>10</v>
      </c>
      <c r="BL35" s="23">
        <v>0.25</v>
      </c>
      <c r="BM35" s="23">
        <v>0</v>
      </c>
      <c r="BN35" s="23">
        <v>0.75</v>
      </c>
      <c r="BQ35" s="100">
        <v>4</v>
      </c>
      <c r="BU35" s="23">
        <v>0.73809523809523814</v>
      </c>
      <c r="BV35" s="23">
        <v>0.43939393939393939</v>
      </c>
      <c r="BW35" s="23">
        <v>0.77011494252873558</v>
      </c>
      <c r="BX35" s="23">
        <v>0.55000000000000004</v>
      </c>
      <c r="BY35" s="23">
        <v>0.7142857142857143</v>
      </c>
      <c r="BZ35" s="23">
        <v>0.25</v>
      </c>
      <c r="CD35" s="23">
        <v>0.45833333333333331</v>
      </c>
      <c r="CE35" s="23">
        <v>0.61538461538461542</v>
      </c>
      <c r="CF35" s="23">
        <v>0.7142857142857143</v>
      </c>
      <c r="CG35" s="23">
        <v>0.69565217391304346</v>
      </c>
      <c r="CH35" s="23">
        <v>0.72222222222222221</v>
      </c>
      <c r="CI35" s="23">
        <v>0.58823529411764708</v>
      </c>
      <c r="CN35" s="23">
        <v>0</v>
      </c>
      <c r="CO35" s="23">
        <v>0.22222222222222221</v>
      </c>
      <c r="CP35" s="23">
        <v>6.6666666666666666E-2</v>
      </c>
      <c r="CQ35" s="23">
        <v>0.13333333333333333</v>
      </c>
      <c r="CR35" s="23">
        <v>0.75</v>
      </c>
      <c r="CS35" s="23">
        <v>0.4</v>
      </c>
    </row>
    <row r="36" spans="3:97" x14ac:dyDescent="0.25">
      <c r="C36" s="21">
        <v>0</v>
      </c>
      <c r="D36" s="21">
        <v>46.511627906976742</v>
      </c>
      <c r="E36" s="21">
        <v>122.80701754385964</v>
      </c>
      <c r="F36" s="21">
        <v>32.258064516129032</v>
      </c>
      <c r="G36" s="21">
        <v>0</v>
      </c>
      <c r="H36" s="21">
        <v>0</v>
      </c>
      <c r="K36" s="23">
        <v>0</v>
      </c>
      <c r="L36" s="23">
        <v>0</v>
      </c>
      <c r="M36" s="23">
        <v>5.6603773584905666</v>
      </c>
      <c r="N36" s="23">
        <v>0</v>
      </c>
      <c r="O36" s="23">
        <v>0</v>
      </c>
      <c r="P36" s="23">
        <v>20.689655172413794</v>
      </c>
      <c r="Q36" s="23">
        <v>28.571428571428569</v>
      </c>
      <c r="R36" s="23">
        <v>0</v>
      </c>
      <c r="V36" s="23">
        <v>0.16</v>
      </c>
      <c r="W36" s="23">
        <v>0.184</v>
      </c>
      <c r="X36" s="23">
        <v>0.42399999999999999</v>
      </c>
      <c r="Y36" s="23">
        <v>0.14799999999999999</v>
      </c>
      <c r="Z36" s="23">
        <v>2.8000000000000001E-2</v>
      </c>
      <c r="AA36" s="23">
        <v>5.6000000000000001E-2</v>
      </c>
      <c r="AE36" s="23">
        <v>0.13793103448275862</v>
      </c>
      <c r="AF36" s="23">
        <v>2.3255813953488372E-2</v>
      </c>
      <c r="AG36" s="23">
        <v>8.771929824561403E-2</v>
      </c>
      <c r="AH36" s="23">
        <v>3.2258064516129031E-2</v>
      </c>
      <c r="AI36" s="23">
        <v>5.128205128205128E-2</v>
      </c>
      <c r="AJ36" s="23">
        <v>0</v>
      </c>
      <c r="AO36" s="23">
        <v>0</v>
      </c>
      <c r="AP36" s="23">
        <v>4.878048780487805E-2</v>
      </c>
      <c r="AQ36" s="23">
        <v>4.2553191489361701E-2</v>
      </c>
      <c r="AR36" s="23">
        <v>0</v>
      </c>
      <c r="AS36" s="23">
        <v>0.12</v>
      </c>
      <c r="AT36" s="23">
        <v>0.18181818181818182</v>
      </c>
      <c r="AU36" s="23">
        <v>4.5918367346938778E-2</v>
      </c>
      <c r="AW36" s="100">
        <v>1.5306122448979591E-2</v>
      </c>
      <c r="BA36" s="23">
        <v>0.66666666666666663</v>
      </c>
      <c r="BB36" s="23">
        <v>1</v>
      </c>
      <c r="BC36" s="23">
        <v>1</v>
      </c>
      <c r="BD36" s="23">
        <v>1</v>
      </c>
      <c r="BE36" s="23">
        <v>1</v>
      </c>
      <c r="BG36" s="23">
        <v>0.90909090909090906</v>
      </c>
      <c r="BI36" s="100">
        <v>51.020408163265309</v>
      </c>
      <c r="BL36" s="23">
        <v>0.4</v>
      </c>
      <c r="BM36" s="23">
        <v>0</v>
      </c>
      <c r="BN36" s="23">
        <v>0.6</v>
      </c>
      <c r="BQ36" s="100">
        <v>11</v>
      </c>
      <c r="BU36" s="23">
        <v>0.625</v>
      </c>
      <c r="BV36" s="23">
        <v>0.58695652173913049</v>
      </c>
      <c r="BW36" s="23">
        <v>0.75471698113207553</v>
      </c>
      <c r="BX36" s="23">
        <v>0.64864864864864868</v>
      </c>
      <c r="BY36" s="23">
        <v>0.8571428571428571</v>
      </c>
      <c r="BZ36" s="23">
        <v>0.2857142857142857</v>
      </c>
      <c r="CD36" s="23">
        <v>0.56000000000000005</v>
      </c>
      <c r="CE36" s="23">
        <v>0.70731707317073167</v>
      </c>
      <c r="CF36" s="23">
        <v>0.72340425531914898</v>
      </c>
      <c r="CG36" s="23">
        <v>0.76595744680851063</v>
      </c>
      <c r="CH36" s="23">
        <v>0.6</v>
      </c>
      <c r="CI36" s="23">
        <v>0.81818181818181823</v>
      </c>
      <c r="CN36" s="23">
        <v>0</v>
      </c>
      <c r="CO36" s="23">
        <v>0.16666666666666666</v>
      </c>
      <c r="CP36" s="23">
        <v>0.15384615384615385</v>
      </c>
      <c r="CQ36" s="23">
        <v>0</v>
      </c>
      <c r="CR36" s="23">
        <v>0.54545454545454541</v>
      </c>
      <c r="CS36" s="23">
        <v>0.4</v>
      </c>
    </row>
    <row r="37" spans="3:97" x14ac:dyDescent="0.25">
      <c r="C37" s="21">
        <v>83.333333333333329</v>
      </c>
      <c r="D37" s="21">
        <v>0</v>
      </c>
      <c r="E37" s="21">
        <v>78.94736842105263</v>
      </c>
      <c r="F37" s="21">
        <v>83.333333333333329</v>
      </c>
      <c r="G37" s="21">
        <v>0</v>
      </c>
      <c r="H37" s="21">
        <v>0</v>
      </c>
      <c r="K37" s="23">
        <v>0</v>
      </c>
      <c r="L37" s="23">
        <v>25</v>
      </c>
      <c r="M37" s="23">
        <v>9.375</v>
      </c>
      <c r="N37" s="23">
        <v>0</v>
      </c>
      <c r="O37" s="23">
        <v>0</v>
      </c>
      <c r="P37" s="23">
        <v>11.76470588235294</v>
      </c>
      <c r="Q37" s="23">
        <v>23.076923076923077</v>
      </c>
      <c r="R37" s="23">
        <v>0</v>
      </c>
      <c r="V37" s="23">
        <v>0.248</v>
      </c>
      <c r="W37" s="23">
        <v>0.17199999999999999</v>
      </c>
      <c r="X37" s="23">
        <v>0.372</v>
      </c>
      <c r="Y37" s="23">
        <v>0.16</v>
      </c>
      <c r="Z37" s="23">
        <v>3.2000000000000001E-2</v>
      </c>
      <c r="AA37" s="23">
        <v>1.6E-2</v>
      </c>
      <c r="AE37" s="23">
        <v>2.0833333333333332E-2</v>
      </c>
      <c r="AF37" s="23">
        <v>0</v>
      </c>
      <c r="AG37" s="23">
        <v>2.6315789473684209E-2</v>
      </c>
      <c r="AH37" s="23">
        <v>2.0833333333333332E-2</v>
      </c>
      <c r="AI37" s="23">
        <v>1.9230769230769232E-2</v>
      </c>
      <c r="AJ37" s="23">
        <v>0</v>
      </c>
      <c r="AO37" s="23">
        <v>2.1276595744680851E-2</v>
      </c>
      <c r="AP37" s="23">
        <v>0</v>
      </c>
      <c r="AQ37" s="23">
        <v>0</v>
      </c>
      <c r="AR37" s="23">
        <v>5.8823529411764705E-2</v>
      </c>
      <c r="AS37" s="23">
        <v>0.10344827586206896</v>
      </c>
      <c r="AT37" s="23">
        <v>0.11538461538461539</v>
      </c>
      <c r="AU37" s="23">
        <v>4.8913043478260872E-2</v>
      </c>
      <c r="AW37" s="100">
        <v>3.8043478260869568E-2</v>
      </c>
      <c r="BA37" s="23">
        <v>0.25</v>
      </c>
      <c r="BC37" s="23">
        <v>0</v>
      </c>
      <c r="BD37" s="23">
        <v>1</v>
      </c>
      <c r="BE37" s="23">
        <v>1</v>
      </c>
      <c r="BG37" s="23">
        <v>0.42857142857142855</v>
      </c>
      <c r="BI37" s="100">
        <v>16.304347826086957</v>
      </c>
      <c r="BL37" s="23">
        <v>0.5</v>
      </c>
      <c r="BM37" s="23">
        <v>0.25</v>
      </c>
      <c r="BN37" s="23">
        <v>0.25</v>
      </c>
      <c r="BQ37" s="100">
        <v>7</v>
      </c>
      <c r="BU37" s="23">
        <v>0.64516129032258063</v>
      </c>
      <c r="BV37" s="23">
        <v>0.62790697674418605</v>
      </c>
      <c r="BW37" s="23">
        <v>0.72043010752688175</v>
      </c>
      <c r="BX37" s="23">
        <v>0.52500000000000002</v>
      </c>
      <c r="BY37" s="23">
        <v>0.625</v>
      </c>
      <c r="BZ37" s="23">
        <v>0</v>
      </c>
      <c r="CD37" s="23">
        <v>0.5957446808510638</v>
      </c>
      <c r="CE37" s="23">
        <v>0.8</v>
      </c>
      <c r="CF37" s="23">
        <v>0.66666666666666663</v>
      </c>
      <c r="CG37" s="23">
        <v>0.6470588235294118</v>
      </c>
      <c r="CH37" s="23">
        <v>0.65517241379310343</v>
      </c>
      <c r="CI37" s="23">
        <v>0.65384615384615385</v>
      </c>
      <c r="CN37" s="23">
        <v>3.125E-2</v>
      </c>
      <c r="CO37" s="23">
        <v>0</v>
      </c>
      <c r="CP37" s="23">
        <v>0.33333333333333331</v>
      </c>
      <c r="CQ37" s="23">
        <v>0.46153846153846156</v>
      </c>
      <c r="CR37" s="23">
        <v>0.4</v>
      </c>
      <c r="CS37" s="23">
        <v>0.5714285714285714</v>
      </c>
    </row>
    <row r="38" spans="3:97" x14ac:dyDescent="0.25">
      <c r="C38" s="21">
        <v>16.129032258064516</v>
      </c>
      <c r="D38" s="21">
        <v>50.847457627118644</v>
      </c>
      <c r="E38" s="21">
        <v>29.411764705882351</v>
      </c>
      <c r="F38" s="21">
        <v>58.823529411764703</v>
      </c>
      <c r="G38" s="21">
        <v>51.282051282051285</v>
      </c>
      <c r="H38" s="21">
        <v>0</v>
      </c>
      <c r="K38" s="23">
        <v>0</v>
      </c>
      <c r="L38" s="23">
        <v>0</v>
      </c>
      <c r="M38" s="23">
        <v>2.3255813953488373</v>
      </c>
      <c r="N38" s="23">
        <v>50</v>
      </c>
      <c r="O38" s="23">
        <v>0</v>
      </c>
      <c r="P38" s="23">
        <v>29.411764705882355</v>
      </c>
      <c r="Q38" s="23">
        <v>16.666666666666664</v>
      </c>
      <c r="R38" s="23">
        <v>16.666666666666664</v>
      </c>
      <c r="V38" s="23">
        <v>0.152</v>
      </c>
      <c r="W38" s="23">
        <v>0.27600000000000002</v>
      </c>
      <c r="X38" s="23">
        <v>0.39200000000000002</v>
      </c>
      <c r="Y38" s="23">
        <v>0.13600000000000001</v>
      </c>
      <c r="Z38" s="23">
        <v>1.2E-2</v>
      </c>
      <c r="AA38" s="23">
        <v>3.2000000000000001E-2</v>
      </c>
      <c r="AE38" s="23">
        <v>3.2258064516129031E-2</v>
      </c>
      <c r="AF38" s="23">
        <v>6.7796610169491525E-2</v>
      </c>
      <c r="AG38" s="23">
        <v>2.9411764705882353E-2</v>
      </c>
      <c r="AH38" s="23">
        <v>0</v>
      </c>
      <c r="AI38" s="23">
        <v>2.564102564102564E-2</v>
      </c>
      <c r="AJ38" s="23">
        <v>0</v>
      </c>
      <c r="AO38" s="23">
        <v>0</v>
      </c>
      <c r="AP38" s="23">
        <v>3.7735849056603772E-2</v>
      </c>
      <c r="AQ38" s="23">
        <v>0</v>
      </c>
      <c r="AR38" s="23">
        <v>0</v>
      </c>
      <c r="AS38" s="23">
        <v>0.1</v>
      </c>
      <c r="AT38" s="23">
        <v>5.8823529411764705E-2</v>
      </c>
      <c r="AU38" s="23">
        <v>2.9411764705882353E-2</v>
      </c>
      <c r="AW38" s="100">
        <v>3.4313725490196081E-2</v>
      </c>
      <c r="BB38" s="23">
        <v>1</v>
      </c>
      <c r="BC38" s="23">
        <v>1</v>
      </c>
      <c r="BE38" s="23">
        <v>1</v>
      </c>
      <c r="BG38" s="23">
        <v>1</v>
      </c>
      <c r="BI38" s="100">
        <v>19.607843137254903</v>
      </c>
      <c r="BL38" s="23">
        <v>0.5</v>
      </c>
      <c r="BM38" s="23">
        <v>0.5</v>
      </c>
      <c r="BN38" s="23">
        <v>0</v>
      </c>
      <c r="BQ38" s="100">
        <v>4</v>
      </c>
      <c r="BU38" s="23">
        <v>0.47368421052631576</v>
      </c>
      <c r="BV38" s="23">
        <v>0.34782608695652173</v>
      </c>
      <c r="BW38" s="23">
        <v>0.72448979591836737</v>
      </c>
      <c r="BX38" s="23">
        <v>0.41176470588235292</v>
      </c>
      <c r="BY38" s="23">
        <v>1</v>
      </c>
      <c r="BZ38" s="23">
        <v>0.375</v>
      </c>
      <c r="CD38" s="23">
        <v>0.36666666666666664</v>
      </c>
      <c r="CE38" s="23">
        <v>0.69811320754716977</v>
      </c>
      <c r="CF38" s="23">
        <v>0.70967741935483875</v>
      </c>
      <c r="CG38" s="23">
        <v>0.61538461538461542</v>
      </c>
      <c r="CH38" s="23">
        <v>0.5</v>
      </c>
      <c r="CI38" s="23">
        <v>0.47058823529411764</v>
      </c>
      <c r="CN38" s="23">
        <v>0</v>
      </c>
      <c r="CO38" s="23">
        <v>0.10526315789473684</v>
      </c>
      <c r="CP38" s="23">
        <v>0</v>
      </c>
      <c r="CQ38" s="23">
        <v>0.5</v>
      </c>
      <c r="CR38" s="23">
        <v>0.5</v>
      </c>
      <c r="CS38" s="23">
        <v>0.2</v>
      </c>
    </row>
    <row r="39" spans="3:97" x14ac:dyDescent="0.25">
      <c r="C39" s="21">
        <v>23.255813953488371</v>
      </c>
      <c r="D39" s="21">
        <v>37.037037037037038</v>
      </c>
      <c r="E39" s="21">
        <v>107.69230769230769</v>
      </c>
      <c r="F39" s="21">
        <v>50</v>
      </c>
      <c r="G39" s="21">
        <v>0</v>
      </c>
      <c r="H39" s="21">
        <v>0</v>
      </c>
      <c r="K39" s="23">
        <v>0</v>
      </c>
      <c r="L39" s="23">
        <v>0</v>
      </c>
      <c r="M39" s="23">
        <v>14.285714285714285</v>
      </c>
      <c r="N39" s="23">
        <v>0</v>
      </c>
      <c r="O39" s="23">
        <v>3.225806451612903</v>
      </c>
      <c r="P39" s="23">
        <v>5.2631578947368416</v>
      </c>
      <c r="Q39" s="23">
        <v>50</v>
      </c>
      <c r="R39" s="23">
        <v>12.5</v>
      </c>
      <c r="V39" s="23">
        <v>0.16400000000000001</v>
      </c>
      <c r="W39" s="23">
        <v>0.188</v>
      </c>
      <c r="X39" s="23">
        <v>0.41199999999999998</v>
      </c>
      <c r="Y39" s="23">
        <v>0.156</v>
      </c>
      <c r="Z39" s="23">
        <v>3.5999999999999997E-2</v>
      </c>
      <c r="AA39" s="23">
        <v>4.3999999999999997E-2</v>
      </c>
      <c r="AE39" s="23">
        <v>2.3255813953488372E-2</v>
      </c>
      <c r="AF39" s="23">
        <v>1.8518518518518517E-2</v>
      </c>
      <c r="AG39" s="23">
        <v>0.1076923076923077</v>
      </c>
      <c r="AH39" s="23">
        <v>3.3333333333333333E-2</v>
      </c>
      <c r="AI39" s="23">
        <v>0</v>
      </c>
      <c r="AJ39" s="23">
        <v>0</v>
      </c>
      <c r="AO39" s="23">
        <v>0</v>
      </c>
      <c r="AP39" s="23">
        <v>0</v>
      </c>
      <c r="AQ39" s="23">
        <v>4.0816326530612242E-2</v>
      </c>
      <c r="AR39" s="23">
        <v>6.9767441860465115E-2</v>
      </c>
      <c r="AS39" s="23">
        <v>0.1</v>
      </c>
      <c r="AT39" s="23">
        <v>0</v>
      </c>
      <c r="AU39" s="23">
        <v>3.0303030303030304E-2</v>
      </c>
      <c r="AW39" s="100">
        <v>3.0303030303030304E-2</v>
      </c>
      <c r="BA39" s="23">
        <v>1</v>
      </c>
      <c r="BB39" s="23">
        <v>1</v>
      </c>
      <c r="BC39" s="23">
        <v>0.6</v>
      </c>
      <c r="BD39" s="23">
        <v>1</v>
      </c>
      <c r="BG39" s="23">
        <v>0.75</v>
      </c>
      <c r="BI39" s="100">
        <v>30.303030303030305</v>
      </c>
      <c r="BL39" s="23">
        <v>0.5</v>
      </c>
      <c r="BM39" s="23">
        <v>0.1</v>
      </c>
      <c r="BN39" s="23">
        <v>0.4</v>
      </c>
      <c r="BQ39" s="100">
        <v>8</v>
      </c>
      <c r="BU39" s="23">
        <v>0.51219512195121952</v>
      </c>
      <c r="BV39" s="23">
        <v>0.51063829787234039</v>
      </c>
      <c r="BW39" s="23">
        <v>0.73786407766990292</v>
      </c>
      <c r="BX39" s="23">
        <v>0.53846153846153844</v>
      </c>
      <c r="BY39" s="23">
        <v>0.66666666666666663</v>
      </c>
      <c r="BZ39" s="23">
        <v>0.18181818181818182</v>
      </c>
      <c r="CD39" s="23">
        <v>0.6097560975609756</v>
      </c>
      <c r="CE39" s="23">
        <v>0.45098039215686275</v>
      </c>
      <c r="CF39" s="23">
        <v>0.79591836734693877</v>
      </c>
      <c r="CG39" s="23">
        <v>0.69767441860465118</v>
      </c>
      <c r="CH39" s="23">
        <v>0.8</v>
      </c>
      <c r="CI39" s="23">
        <v>0.5</v>
      </c>
      <c r="CN39" s="23">
        <v>0</v>
      </c>
      <c r="CO39" s="23">
        <v>5.2631578947368418E-2</v>
      </c>
      <c r="CP39" s="23">
        <v>0.30769230769230771</v>
      </c>
      <c r="CQ39" s="23">
        <v>0.5</v>
      </c>
      <c r="CR39" s="23">
        <v>0.75</v>
      </c>
    </row>
    <row r="40" spans="3:97" x14ac:dyDescent="0.25">
      <c r="C40" s="21">
        <v>0</v>
      </c>
      <c r="D40" s="21">
        <v>83.333333333333329</v>
      </c>
      <c r="E40" s="21">
        <v>40.816326530612244</v>
      </c>
      <c r="F40" s="21">
        <v>16.129032258064516</v>
      </c>
      <c r="G40" s="21">
        <v>18.867924528301888</v>
      </c>
      <c r="H40" s="21">
        <v>0</v>
      </c>
      <c r="K40" s="23">
        <v>0</v>
      </c>
      <c r="L40" s="23">
        <v>8.3333333333333321</v>
      </c>
      <c r="M40" s="23">
        <v>9.7560975609756095</v>
      </c>
      <c r="N40" s="23">
        <v>0</v>
      </c>
      <c r="O40" s="23">
        <v>0</v>
      </c>
      <c r="P40" s="23">
        <v>18.181818181818183</v>
      </c>
      <c r="Q40" s="23">
        <v>30</v>
      </c>
      <c r="R40" s="23">
        <v>0</v>
      </c>
      <c r="V40" s="23">
        <v>0.184</v>
      </c>
      <c r="W40" s="23">
        <v>0.14799999999999999</v>
      </c>
      <c r="X40" s="23">
        <v>0.39600000000000002</v>
      </c>
      <c r="Y40" s="23">
        <v>0.14799999999999999</v>
      </c>
      <c r="Z40" s="23">
        <v>4.3999999999999997E-2</v>
      </c>
      <c r="AA40" s="23">
        <v>0.08</v>
      </c>
      <c r="AE40" s="23">
        <v>5.5555555555555552E-2</v>
      </c>
      <c r="AF40" s="23">
        <v>0.25</v>
      </c>
      <c r="AG40" s="23">
        <v>0.12244897959183673</v>
      </c>
      <c r="AH40" s="23">
        <v>6.4516129032258063E-2</v>
      </c>
      <c r="AI40" s="23">
        <v>3.7735849056603772E-2</v>
      </c>
      <c r="AJ40" s="23">
        <v>2.2727272727272728E-2</v>
      </c>
      <c r="AO40" s="23">
        <v>0</v>
      </c>
      <c r="AP40" s="23">
        <v>0</v>
      </c>
      <c r="AQ40" s="23">
        <v>0.14634146341463414</v>
      </c>
      <c r="AR40" s="23">
        <v>8.3333333333333329E-2</v>
      </c>
      <c r="AS40" s="23">
        <v>9.7560975609756101E-2</v>
      </c>
      <c r="AT40" s="23">
        <v>4.7619047619047616E-2</v>
      </c>
      <c r="AU40" s="23">
        <v>8.1521739130434784E-2</v>
      </c>
      <c r="AW40" s="100">
        <v>3.2608695652173912E-2</v>
      </c>
      <c r="BA40" s="23">
        <v>1</v>
      </c>
      <c r="BB40" s="23">
        <v>1</v>
      </c>
      <c r="BC40" s="23">
        <v>0.33333333333333331</v>
      </c>
      <c r="BD40" s="23">
        <v>1</v>
      </c>
      <c r="BE40" s="23">
        <v>0.5</v>
      </c>
      <c r="BF40" s="23">
        <v>1</v>
      </c>
      <c r="BG40" s="23">
        <v>0.75</v>
      </c>
      <c r="BI40" s="100">
        <v>48.913043478260867</v>
      </c>
      <c r="BL40" s="23">
        <v>0.53333333333333333</v>
      </c>
      <c r="BM40" s="23">
        <v>0</v>
      </c>
      <c r="BN40" s="23">
        <v>0.46666666666666667</v>
      </c>
      <c r="BQ40" s="100">
        <v>12</v>
      </c>
      <c r="BU40" s="23">
        <v>0.60869565217391308</v>
      </c>
      <c r="BV40" s="23">
        <v>0.51351351351351349</v>
      </c>
      <c r="BW40" s="23">
        <v>0.68686868686868685</v>
      </c>
      <c r="BX40" s="23">
        <v>0.67567567567567566</v>
      </c>
      <c r="BY40" s="23">
        <v>0.72727272727272729</v>
      </c>
      <c r="BZ40" s="23">
        <v>0.2</v>
      </c>
      <c r="CD40" s="23">
        <v>0.47058823529411764</v>
      </c>
      <c r="CE40" s="23">
        <v>0.75</v>
      </c>
      <c r="CF40" s="23">
        <v>0.70731707317073167</v>
      </c>
      <c r="CG40" s="23">
        <v>0.625</v>
      </c>
      <c r="CH40" s="23">
        <v>0.6097560975609756</v>
      </c>
      <c r="CI40" s="23">
        <v>0.76190476190476186</v>
      </c>
      <c r="CN40" s="23">
        <v>0</v>
      </c>
      <c r="CO40" s="23">
        <v>0.25</v>
      </c>
      <c r="CP40" s="23">
        <v>0.5</v>
      </c>
      <c r="CQ40" s="23">
        <v>0.5</v>
      </c>
      <c r="CR40" s="23">
        <v>0.41666666666666669</v>
      </c>
      <c r="CS40" s="23">
        <v>0.125</v>
      </c>
    </row>
    <row r="41" spans="3:97" x14ac:dyDescent="0.25">
      <c r="C41" s="21">
        <v>48.387096774193552</v>
      </c>
      <c r="D41" s="21">
        <v>125</v>
      </c>
      <c r="E41" s="21">
        <v>100</v>
      </c>
      <c r="F41" s="21">
        <v>0</v>
      </c>
      <c r="G41" s="21">
        <v>60</v>
      </c>
      <c r="H41" s="21">
        <v>0</v>
      </c>
      <c r="K41" s="23">
        <v>0</v>
      </c>
      <c r="L41" s="23">
        <v>11.111111111111111</v>
      </c>
      <c r="M41" s="23">
        <v>8.8235294117647065</v>
      </c>
      <c r="N41" s="23">
        <v>0</v>
      </c>
      <c r="O41" s="23">
        <v>0</v>
      </c>
      <c r="P41" s="23">
        <v>13.636363636363635</v>
      </c>
      <c r="Q41" s="23">
        <v>20</v>
      </c>
      <c r="R41" s="23">
        <v>0</v>
      </c>
      <c r="V41" s="23">
        <v>0.224</v>
      </c>
      <c r="W41" s="23">
        <v>0.23599999999999999</v>
      </c>
      <c r="X41" s="23">
        <v>0.35599999999999998</v>
      </c>
      <c r="Y41" s="23">
        <v>0.13200000000000001</v>
      </c>
      <c r="Z41" s="23">
        <v>2.8000000000000001E-2</v>
      </c>
      <c r="AA41" s="23">
        <v>2.4E-2</v>
      </c>
      <c r="AE41" s="23">
        <v>1.6129032258064516E-2</v>
      </c>
      <c r="AF41" s="23">
        <v>0.1</v>
      </c>
      <c r="AG41" s="23">
        <v>0</v>
      </c>
      <c r="AH41" s="23">
        <v>0</v>
      </c>
      <c r="AI41" s="23">
        <v>0</v>
      </c>
      <c r="AJ41" s="23">
        <v>2.1276595744680851E-2</v>
      </c>
      <c r="AO41" s="23">
        <v>0</v>
      </c>
      <c r="AP41" s="23">
        <v>0</v>
      </c>
      <c r="AQ41" s="23">
        <v>0.125</v>
      </c>
      <c r="AR41" s="23">
        <v>8.3333333333333329E-2</v>
      </c>
      <c r="AS41" s="23">
        <v>6.25E-2</v>
      </c>
      <c r="AT41" s="23">
        <v>4.5454545454545456E-2</v>
      </c>
      <c r="AU41" s="23">
        <v>3.7234042553191488E-2</v>
      </c>
      <c r="AW41" s="100">
        <v>4.7872340425531915E-2</v>
      </c>
      <c r="BA41" s="23">
        <v>0</v>
      </c>
      <c r="BB41" s="23">
        <v>0.66666666666666663</v>
      </c>
      <c r="BF41" s="23">
        <v>1</v>
      </c>
      <c r="BG41" s="23">
        <v>0.6</v>
      </c>
      <c r="BI41" s="100">
        <v>15.957446808510639</v>
      </c>
      <c r="BL41" s="23">
        <v>0</v>
      </c>
      <c r="BM41" s="23">
        <v>0.5</v>
      </c>
      <c r="BN41" s="23">
        <v>0.5</v>
      </c>
      <c r="BQ41" s="100">
        <v>5</v>
      </c>
      <c r="BU41" s="23">
        <v>0.6607142857142857</v>
      </c>
      <c r="BV41" s="23">
        <v>0.40677966101694918</v>
      </c>
      <c r="BW41" s="23">
        <v>0.6179775280898876</v>
      </c>
      <c r="BX41" s="23">
        <v>0.48484848484848486</v>
      </c>
      <c r="BY41" s="23">
        <v>0.7142857142857143</v>
      </c>
      <c r="BZ41" s="23">
        <v>0</v>
      </c>
      <c r="CD41" s="23">
        <v>0.46666666666666667</v>
      </c>
      <c r="CE41" s="23">
        <v>0.52941176470588236</v>
      </c>
      <c r="CF41" s="23">
        <v>0.5</v>
      </c>
      <c r="CG41" s="23">
        <v>0.54166666666666663</v>
      </c>
      <c r="CH41" s="23">
        <v>0.625</v>
      </c>
      <c r="CI41" s="23">
        <v>0.59090909090909094</v>
      </c>
      <c r="CN41" s="23">
        <v>0</v>
      </c>
      <c r="CO41" s="23">
        <v>0.16666666666666666</v>
      </c>
      <c r="CP41" s="23">
        <v>1</v>
      </c>
      <c r="CQ41" s="23">
        <v>0.375</v>
      </c>
      <c r="CR41" s="23">
        <v>0.2</v>
      </c>
      <c r="CS41" s="23">
        <v>0.2</v>
      </c>
    </row>
    <row r="42" spans="3:97" x14ac:dyDescent="0.25">
      <c r="C42" s="21">
        <v>17.857142857142858</v>
      </c>
      <c r="D42" s="21">
        <v>16.949152542372882</v>
      </c>
      <c r="E42" s="21">
        <v>66.666666666666671</v>
      </c>
      <c r="F42" s="21">
        <v>66.666666666666671</v>
      </c>
      <c r="G42" s="21">
        <v>0</v>
      </c>
      <c r="H42" s="21">
        <v>0</v>
      </c>
      <c r="K42" s="23">
        <v>0</v>
      </c>
      <c r="L42" s="23">
        <v>16.666666666666664</v>
      </c>
      <c r="M42" s="23">
        <v>6.4516129032258061</v>
      </c>
      <c r="N42" s="23">
        <v>0</v>
      </c>
      <c r="O42" s="23">
        <v>0</v>
      </c>
      <c r="P42" s="23">
        <v>26.086956521739129</v>
      </c>
      <c r="Q42" s="23">
        <v>22.222222222222221</v>
      </c>
      <c r="R42" s="23">
        <v>0</v>
      </c>
      <c r="V42" s="23">
        <v>0.156</v>
      </c>
      <c r="W42" s="23">
        <v>0.28000000000000003</v>
      </c>
      <c r="X42" s="23">
        <v>0.38400000000000001</v>
      </c>
      <c r="Y42" s="23">
        <v>0.11600000000000001</v>
      </c>
      <c r="Z42" s="23">
        <v>0.02</v>
      </c>
      <c r="AA42" s="23">
        <v>4.3999999999999997E-2</v>
      </c>
      <c r="AE42" s="23">
        <v>0</v>
      </c>
      <c r="AF42" s="23">
        <v>5.0847457627118647E-2</v>
      </c>
      <c r="AG42" s="23">
        <v>0.05</v>
      </c>
      <c r="AH42" s="23">
        <v>0.1</v>
      </c>
      <c r="AI42" s="23">
        <v>4.7619047619047616E-2</v>
      </c>
      <c r="AJ42" s="23">
        <v>4.1666666666666664E-2</v>
      </c>
      <c r="AO42" s="23">
        <v>0</v>
      </c>
      <c r="AP42" s="23">
        <v>1.8181818181818181E-2</v>
      </c>
      <c r="AQ42" s="23">
        <v>1.8181818181818181E-2</v>
      </c>
      <c r="AR42" s="23">
        <v>0.13333333333333333</v>
      </c>
      <c r="AS42" s="23">
        <v>8.3333333333333329E-2</v>
      </c>
      <c r="AT42" s="23">
        <v>0.1</v>
      </c>
      <c r="AU42" s="23">
        <v>0.03</v>
      </c>
      <c r="AW42" s="100">
        <v>3.5000000000000003E-2</v>
      </c>
      <c r="BB42" s="23">
        <v>1</v>
      </c>
      <c r="BC42" s="23">
        <v>0.66666666666666663</v>
      </c>
      <c r="BD42" s="23">
        <v>0.33333333333333331</v>
      </c>
      <c r="BE42" s="23">
        <v>0</v>
      </c>
      <c r="BF42" s="23">
        <v>1</v>
      </c>
      <c r="BG42" s="23">
        <v>0.63636363636363635</v>
      </c>
      <c r="BI42" s="100">
        <v>35</v>
      </c>
      <c r="BL42" s="23">
        <v>0.14285714285714285</v>
      </c>
      <c r="BM42" s="23">
        <v>0.21428571428571427</v>
      </c>
      <c r="BN42" s="23">
        <v>0.6428571428571429</v>
      </c>
      <c r="BQ42" s="100">
        <v>11</v>
      </c>
      <c r="BU42" s="23">
        <v>0.48717948717948717</v>
      </c>
      <c r="BV42" s="23">
        <v>0.55714285714285716</v>
      </c>
      <c r="BW42" s="23">
        <v>0.65625</v>
      </c>
      <c r="BX42" s="23">
        <v>0.65517241379310343</v>
      </c>
      <c r="BY42" s="23">
        <v>0.4</v>
      </c>
      <c r="BZ42" s="23">
        <v>0.27272727272727271</v>
      </c>
      <c r="CD42" s="23">
        <v>0.52830188679245282</v>
      </c>
      <c r="CE42" s="23">
        <v>0.70909090909090911</v>
      </c>
      <c r="CF42" s="23">
        <v>0.6</v>
      </c>
      <c r="CG42" s="23">
        <v>0.73333333333333328</v>
      </c>
      <c r="CH42" s="23">
        <v>0.58333333333333337</v>
      </c>
      <c r="CI42" s="23">
        <v>0.5</v>
      </c>
      <c r="CN42" s="23">
        <v>0</v>
      </c>
      <c r="CO42" s="23">
        <v>0.14285714285714285</v>
      </c>
      <c r="CP42" s="23">
        <v>0.26666666666666666</v>
      </c>
      <c r="CQ42" s="23">
        <v>0.75</v>
      </c>
      <c r="CR42" s="23">
        <v>0.16666666666666666</v>
      </c>
      <c r="CS42" s="23">
        <v>0.25</v>
      </c>
    </row>
    <row r="43" spans="3:97" x14ac:dyDescent="0.25">
      <c r="C43" s="21">
        <v>0</v>
      </c>
      <c r="D43" s="21">
        <v>138.88888888888889</v>
      </c>
      <c r="E43" s="21">
        <v>50</v>
      </c>
      <c r="F43" s="21">
        <v>96.774193548387103</v>
      </c>
      <c r="G43" s="21">
        <v>0</v>
      </c>
      <c r="H43" s="21">
        <v>0</v>
      </c>
      <c r="K43" s="23">
        <v>0</v>
      </c>
      <c r="L43" s="23">
        <v>0</v>
      </c>
      <c r="M43" s="23">
        <v>8.8235294117647065</v>
      </c>
      <c r="N43" s="23">
        <v>0</v>
      </c>
      <c r="O43" s="23">
        <v>0</v>
      </c>
      <c r="P43" s="23">
        <v>26.666666666666668</v>
      </c>
      <c r="Q43" s="23">
        <v>0</v>
      </c>
      <c r="R43" s="23">
        <v>0</v>
      </c>
      <c r="V43" s="23">
        <v>0.26</v>
      </c>
      <c r="W43" s="23">
        <v>0.16</v>
      </c>
      <c r="X43" s="23">
        <v>0.34399999999999997</v>
      </c>
      <c r="Y43" s="23">
        <v>0.124</v>
      </c>
      <c r="Z43" s="23">
        <v>4.8000000000000001E-2</v>
      </c>
      <c r="AA43" s="23">
        <v>6.4000000000000001E-2</v>
      </c>
      <c r="AE43" s="23">
        <v>6.25E-2</v>
      </c>
      <c r="AF43" s="23">
        <v>0.1111111111111111</v>
      </c>
      <c r="AG43" s="23">
        <v>0.13333333333333333</v>
      </c>
      <c r="AH43" s="23">
        <v>3.2258064516129031E-2</v>
      </c>
      <c r="AI43" s="23">
        <v>0</v>
      </c>
      <c r="AJ43" s="23">
        <v>0</v>
      </c>
      <c r="AO43" s="23">
        <v>3.4482758620689655E-2</v>
      </c>
      <c r="AP43" s="23">
        <v>3.3333333333333333E-2</v>
      </c>
      <c r="AQ43" s="23">
        <v>6.6666666666666666E-2</v>
      </c>
      <c r="AR43" s="23">
        <v>0.14285714285714285</v>
      </c>
      <c r="AS43" s="23">
        <v>0.1111111111111111</v>
      </c>
      <c r="AT43" s="23">
        <v>0</v>
      </c>
      <c r="AU43" s="23">
        <v>7.6923076923076927E-2</v>
      </c>
      <c r="AW43" s="100">
        <v>3.5502958579881658E-2</v>
      </c>
      <c r="BA43" s="23">
        <v>1</v>
      </c>
      <c r="BB43" s="23">
        <v>0.75</v>
      </c>
      <c r="BC43" s="23">
        <v>0.6</v>
      </c>
      <c r="BD43" s="23">
        <v>0</v>
      </c>
      <c r="BG43" s="23">
        <v>0.63636363636363635</v>
      </c>
      <c r="BI43" s="100">
        <v>41.420118343195263</v>
      </c>
      <c r="BL43" s="23">
        <v>0.6428571428571429</v>
      </c>
      <c r="BM43" s="23">
        <v>7.1428571428571425E-2</v>
      </c>
      <c r="BN43" s="23">
        <v>0.2857142857142857</v>
      </c>
      <c r="BQ43" s="100">
        <v>11</v>
      </c>
      <c r="BU43" s="23">
        <v>0.67692307692307696</v>
      </c>
      <c r="BV43" s="23">
        <v>0.6</v>
      </c>
      <c r="BW43" s="23">
        <v>0.70930232558139539</v>
      </c>
      <c r="BX43" s="23">
        <v>0.58064516129032262</v>
      </c>
      <c r="BY43" s="23">
        <v>0.83333333333333337</v>
      </c>
      <c r="BZ43" s="23">
        <v>0.125</v>
      </c>
      <c r="CD43" s="23">
        <v>0.55172413793103448</v>
      </c>
      <c r="CE43" s="23">
        <v>0.66666666666666663</v>
      </c>
      <c r="CF43" s="23">
        <v>0.73333333333333328</v>
      </c>
      <c r="CG43" s="23">
        <v>0.76190476190476186</v>
      </c>
      <c r="CH43" s="23">
        <v>0.55555555555555558</v>
      </c>
      <c r="CI43" s="23">
        <v>0.4</v>
      </c>
      <c r="CN43" s="23">
        <v>4.3478260869565216E-2</v>
      </c>
      <c r="CO43" s="23">
        <v>0.1</v>
      </c>
      <c r="CP43" s="23">
        <v>0.38461538461538464</v>
      </c>
      <c r="CQ43" s="23">
        <v>0.47058823529411764</v>
      </c>
      <c r="CR43" s="23">
        <v>0.375</v>
      </c>
      <c r="CS43" s="23">
        <v>0</v>
      </c>
    </row>
    <row r="44" spans="3:97" x14ac:dyDescent="0.25">
      <c r="C44" s="21">
        <v>54.054054054054056</v>
      </c>
      <c r="D44" s="21">
        <v>31.25</v>
      </c>
      <c r="E44" s="21">
        <v>28.571428571428573</v>
      </c>
      <c r="F44" s="21">
        <v>44.444444444444443</v>
      </c>
      <c r="G44" s="21">
        <v>18.867924528301888</v>
      </c>
      <c r="H44" s="21">
        <v>0</v>
      </c>
      <c r="K44" s="23">
        <v>0</v>
      </c>
      <c r="L44" s="23">
        <v>0</v>
      </c>
      <c r="M44" s="23">
        <v>8.1081081081081088</v>
      </c>
      <c r="N44" s="23">
        <v>0</v>
      </c>
      <c r="O44" s="23">
        <v>0</v>
      </c>
      <c r="P44" s="23">
        <v>5.2631578947368416</v>
      </c>
      <c r="Q44" s="23">
        <v>12.5</v>
      </c>
      <c r="R44" s="23">
        <v>0</v>
      </c>
      <c r="V44" s="23">
        <v>0.252</v>
      </c>
      <c r="W44" s="23">
        <v>0.192</v>
      </c>
      <c r="X44" s="23">
        <v>0.36799999999999999</v>
      </c>
      <c r="Y44" s="23">
        <v>0.16400000000000001</v>
      </c>
      <c r="Z44" s="23">
        <v>1.6E-2</v>
      </c>
      <c r="AA44" s="23">
        <v>8.0000000000000002E-3</v>
      </c>
      <c r="AE44" s="23">
        <v>0</v>
      </c>
      <c r="AF44" s="23">
        <v>0</v>
      </c>
      <c r="AG44" s="23">
        <v>2.8571428571428571E-2</v>
      </c>
      <c r="AH44" s="23">
        <v>2.2222222222222223E-2</v>
      </c>
      <c r="AI44" s="23">
        <v>0</v>
      </c>
      <c r="AJ44" s="23">
        <v>0</v>
      </c>
      <c r="AO44" s="23">
        <v>0</v>
      </c>
      <c r="AP44" s="23">
        <v>0</v>
      </c>
      <c r="AQ44" s="23">
        <v>9.6774193548387094E-2</v>
      </c>
      <c r="AR44" s="23">
        <v>3.2258064516129031E-2</v>
      </c>
      <c r="AS44" s="23">
        <v>5.2631578947368418E-2</v>
      </c>
      <c r="AT44" s="23">
        <v>5.8823529411764705E-2</v>
      </c>
      <c r="AU44" s="23">
        <v>3.783783783783784E-2</v>
      </c>
      <c r="AW44" s="100">
        <v>2.1621621621621623E-2</v>
      </c>
      <c r="BB44" s="23">
        <v>1</v>
      </c>
      <c r="BD44" s="23">
        <v>1</v>
      </c>
      <c r="BG44" s="23">
        <v>1</v>
      </c>
      <c r="BI44" s="100">
        <v>10.810810810810811</v>
      </c>
      <c r="BL44" s="23">
        <v>0</v>
      </c>
      <c r="BM44" s="23">
        <v>0</v>
      </c>
      <c r="BN44" s="23">
        <v>1</v>
      </c>
      <c r="BQ44" s="100">
        <v>2</v>
      </c>
      <c r="BU44" s="23">
        <v>0.55555555555555558</v>
      </c>
      <c r="BV44" s="23">
        <v>0.47916666666666669</v>
      </c>
      <c r="BW44" s="23">
        <v>0.68478260869565222</v>
      </c>
      <c r="BX44" s="23">
        <v>0.56097560975609762</v>
      </c>
      <c r="BY44" s="23">
        <v>0.5</v>
      </c>
      <c r="BZ44" s="23">
        <v>0</v>
      </c>
      <c r="CD44" s="23">
        <v>0.56756756756756754</v>
      </c>
      <c r="CE44" s="23">
        <v>0.74193548387096775</v>
      </c>
      <c r="CF44" s="23">
        <v>0.67741935483870963</v>
      </c>
      <c r="CG44" s="23">
        <v>0.54838709677419351</v>
      </c>
      <c r="CH44" s="23">
        <v>0.60526315789473684</v>
      </c>
      <c r="CI44" s="23">
        <v>0.35294117647058826</v>
      </c>
      <c r="CN44" s="23">
        <v>0.08</v>
      </c>
      <c r="CO44" s="23">
        <v>0.14285714285714285</v>
      </c>
      <c r="CP44" s="23">
        <v>0.4</v>
      </c>
      <c r="CQ44" s="23">
        <v>0.2</v>
      </c>
      <c r="CR44" s="23">
        <v>0.16666666666666666</v>
      </c>
      <c r="CS44" s="23">
        <v>0.42857142857142855</v>
      </c>
    </row>
    <row r="45" spans="3:97" x14ac:dyDescent="0.25">
      <c r="C45" s="21">
        <v>17.543859649122808</v>
      </c>
      <c r="D45" s="21">
        <v>98.039215686274517</v>
      </c>
      <c r="E45" s="21">
        <v>32.258064516129032</v>
      </c>
      <c r="F45" s="21">
        <v>23.255813953488371</v>
      </c>
      <c r="G45" s="21">
        <v>31.25</v>
      </c>
      <c r="H45" s="21">
        <v>0</v>
      </c>
      <c r="K45" s="23">
        <v>0</v>
      </c>
      <c r="L45" s="23">
        <v>7.1428571428571423</v>
      </c>
      <c r="M45" s="23">
        <v>2.8571428571428572</v>
      </c>
      <c r="N45" s="23">
        <v>0</v>
      </c>
      <c r="O45" s="23">
        <v>0</v>
      </c>
      <c r="P45" s="23">
        <v>16.666666666666664</v>
      </c>
      <c r="Q45" s="23">
        <v>11.111111111111111</v>
      </c>
      <c r="R45" s="23">
        <v>0</v>
      </c>
      <c r="V45" s="23">
        <v>0.16800000000000001</v>
      </c>
      <c r="W45" s="23">
        <v>0.22</v>
      </c>
      <c r="X45" s="23">
        <v>0.35599999999999998</v>
      </c>
      <c r="Y45" s="23">
        <v>0.17199999999999999</v>
      </c>
      <c r="Z45" s="23">
        <v>0.04</v>
      </c>
      <c r="AA45" s="23">
        <v>4.3999999999999997E-2</v>
      </c>
      <c r="AE45" s="23">
        <v>5.2631578947368418E-2</v>
      </c>
      <c r="AF45" s="23">
        <v>9.8039215686274508E-2</v>
      </c>
      <c r="AG45" s="23">
        <v>3.2258064516129031E-2</v>
      </c>
      <c r="AH45" s="23">
        <v>2.3255813953488372E-2</v>
      </c>
      <c r="AI45" s="23">
        <v>3.125E-2</v>
      </c>
      <c r="AJ45" s="23">
        <v>0</v>
      </c>
      <c r="AO45" s="23">
        <v>3.7037037037037035E-2</v>
      </c>
      <c r="AP45" s="23">
        <v>6.5217391304347824E-2</v>
      </c>
      <c r="AQ45" s="23">
        <v>4.1666666666666664E-2</v>
      </c>
      <c r="AR45" s="23">
        <v>0.15625</v>
      </c>
      <c r="AS45" s="23">
        <v>0.05</v>
      </c>
      <c r="AT45" s="23">
        <v>9.5238095238095233E-2</v>
      </c>
      <c r="AU45" s="23">
        <v>7.1065989847715741E-2</v>
      </c>
      <c r="AW45" s="100">
        <v>3.0456852791878174E-2</v>
      </c>
      <c r="BA45" s="23">
        <v>0</v>
      </c>
      <c r="BB45" s="23">
        <v>1</v>
      </c>
      <c r="BC45" s="23">
        <v>1</v>
      </c>
      <c r="BD45" s="23">
        <v>0</v>
      </c>
      <c r="BG45" s="23">
        <v>0.5</v>
      </c>
      <c r="BI45" s="100">
        <v>15.228426395939087</v>
      </c>
      <c r="BL45" s="23">
        <v>0.4</v>
      </c>
      <c r="BM45" s="23">
        <v>0</v>
      </c>
      <c r="BN45" s="23">
        <v>0.6</v>
      </c>
      <c r="BQ45" s="100">
        <v>6</v>
      </c>
      <c r="BU45" s="23">
        <v>0.66666666666666663</v>
      </c>
      <c r="BV45" s="23">
        <v>0.50909090909090904</v>
      </c>
      <c r="BW45" s="23">
        <v>0.7078651685393258</v>
      </c>
      <c r="BX45" s="23">
        <v>0.60465116279069764</v>
      </c>
      <c r="BY45" s="23">
        <v>0.6</v>
      </c>
      <c r="BZ45" s="23">
        <v>0.18181818181818182</v>
      </c>
      <c r="CD45" s="23">
        <v>0.57407407407407407</v>
      </c>
      <c r="CE45" s="23">
        <v>0.54347826086956519</v>
      </c>
      <c r="CF45" s="23">
        <v>0.70833333333333337</v>
      </c>
      <c r="CG45" s="23">
        <v>0.75</v>
      </c>
      <c r="CH45" s="23">
        <v>0.6</v>
      </c>
      <c r="CI45" s="23">
        <v>0.66666666666666663</v>
      </c>
      <c r="CN45" s="23">
        <v>8.3333333333333329E-2</v>
      </c>
      <c r="CO45" s="23">
        <v>0.25</v>
      </c>
      <c r="CP45" s="23">
        <v>0.2857142857142857</v>
      </c>
      <c r="CQ45" s="23">
        <v>0.55555555555555558</v>
      </c>
      <c r="CR45" s="23">
        <v>0.25</v>
      </c>
      <c r="CS45" s="23">
        <v>0.45454545454545453</v>
      </c>
    </row>
    <row r="46" spans="3:97" x14ac:dyDescent="0.25">
      <c r="C46" s="21">
        <v>68.965517241379317</v>
      </c>
      <c r="D46" s="21">
        <v>0</v>
      </c>
      <c r="E46" s="21">
        <v>63.291139240506332</v>
      </c>
      <c r="F46" s="21">
        <v>23.255813953488371</v>
      </c>
      <c r="G46" s="21">
        <v>0</v>
      </c>
      <c r="H46" s="21">
        <v>0</v>
      </c>
      <c r="K46" s="23">
        <v>0</v>
      </c>
      <c r="L46" s="23">
        <v>10</v>
      </c>
      <c r="M46" s="23">
        <v>6.25</v>
      </c>
      <c r="N46" s="23">
        <v>0</v>
      </c>
      <c r="O46" s="23">
        <v>0</v>
      </c>
      <c r="P46" s="23">
        <v>14.285714285714285</v>
      </c>
      <c r="Q46" s="23">
        <v>42.857142857142854</v>
      </c>
      <c r="R46" s="23">
        <v>0</v>
      </c>
      <c r="V46" s="23">
        <v>0.17199999999999999</v>
      </c>
      <c r="W46" s="23">
        <v>0.23599999999999999</v>
      </c>
      <c r="X46" s="23">
        <v>0.42399999999999999</v>
      </c>
      <c r="Y46" s="23">
        <v>0.104</v>
      </c>
      <c r="Z46" s="23">
        <v>1.6E-2</v>
      </c>
      <c r="AA46" s="23">
        <v>4.8000000000000001E-2</v>
      </c>
      <c r="AE46" s="23">
        <v>3.4482758620689655E-2</v>
      </c>
      <c r="AF46" s="23">
        <v>8.1632653061224483E-2</v>
      </c>
      <c r="AG46" s="23">
        <v>3.7974683544303799E-2</v>
      </c>
      <c r="AH46" s="23">
        <v>6.9767441860465115E-2</v>
      </c>
      <c r="AI46" s="23">
        <v>3.8461538461538464E-2</v>
      </c>
      <c r="AJ46" s="23">
        <v>0</v>
      </c>
      <c r="AO46" s="23">
        <v>0</v>
      </c>
      <c r="AP46" s="23">
        <v>2.2727272727272728E-2</v>
      </c>
      <c r="AQ46" s="23">
        <v>3.0303030303030304E-2</v>
      </c>
      <c r="AR46" s="23">
        <v>7.407407407407407E-2</v>
      </c>
      <c r="AS46" s="23">
        <v>0</v>
      </c>
      <c r="AT46" s="23">
        <v>7.6923076923076927E-2</v>
      </c>
      <c r="AU46" s="23">
        <v>3.0769230769230771E-2</v>
      </c>
      <c r="AW46" s="100">
        <v>2.0512820512820513E-2</v>
      </c>
      <c r="BA46" s="23">
        <v>1</v>
      </c>
      <c r="BB46" s="23">
        <v>0.66666666666666663</v>
      </c>
      <c r="BD46" s="23">
        <v>0.66666666666666663</v>
      </c>
      <c r="BG46" s="23">
        <v>0.7142857142857143</v>
      </c>
      <c r="BI46" s="100">
        <v>25.641025641025642</v>
      </c>
      <c r="BL46" s="23">
        <v>0.375</v>
      </c>
      <c r="BM46" s="23">
        <v>0.25</v>
      </c>
      <c r="BN46" s="23">
        <v>0.375</v>
      </c>
      <c r="BQ46" s="100">
        <v>7</v>
      </c>
      <c r="BU46" s="23">
        <v>0.51162790697674421</v>
      </c>
      <c r="BV46" s="23">
        <v>0.50847457627118642</v>
      </c>
      <c r="BW46" s="23">
        <v>0.73584905660377353</v>
      </c>
      <c r="BX46" s="23">
        <v>0.76923076923076927</v>
      </c>
      <c r="BY46" s="23">
        <v>0.75</v>
      </c>
      <c r="BZ46" s="23">
        <v>0.25</v>
      </c>
      <c r="CD46" s="23">
        <v>0.42857142857142855</v>
      </c>
      <c r="CE46" s="23">
        <v>0.65909090909090906</v>
      </c>
      <c r="CF46" s="23">
        <v>0.74242424242424243</v>
      </c>
      <c r="CG46" s="23">
        <v>0.81481481481481477</v>
      </c>
      <c r="CH46" s="23">
        <v>0.47058823529411764</v>
      </c>
      <c r="CI46" s="23">
        <v>0.84615384615384615</v>
      </c>
      <c r="CN46" s="23">
        <v>0</v>
      </c>
      <c r="CO46" s="23">
        <v>6.25E-2</v>
      </c>
      <c r="CP46" s="23">
        <v>0.15789473684210525</v>
      </c>
      <c r="CQ46" s="23">
        <v>0.2857142857142857</v>
      </c>
      <c r="CR46" s="23">
        <v>0.2857142857142857</v>
      </c>
      <c r="CS46" s="23">
        <v>0.16666666666666666</v>
      </c>
    </row>
    <row r="47" spans="3:97" x14ac:dyDescent="0.25">
      <c r="C47" s="21">
        <v>40</v>
      </c>
      <c r="D47" s="21">
        <v>55.555555555555557</v>
      </c>
      <c r="F47" s="21">
        <v>90.909090909090907</v>
      </c>
      <c r="G47" s="21">
        <v>21.739130434782609</v>
      </c>
      <c r="H47" s="21">
        <v>14.084507042253522</v>
      </c>
      <c r="K47" s="23">
        <v>0</v>
      </c>
      <c r="L47" s="23">
        <v>12.5</v>
      </c>
      <c r="M47" s="23">
        <v>3.7037037037037033</v>
      </c>
      <c r="N47" s="23">
        <v>50</v>
      </c>
      <c r="O47" s="23">
        <v>0</v>
      </c>
      <c r="P47" s="23">
        <v>11.111111111111111</v>
      </c>
      <c r="Q47" s="23">
        <v>33.333333333333329</v>
      </c>
      <c r="R47" s="23">
        <v>0</v>
      </c>
      <c r="V47" s="23">
        <v>0.252</v>
      </c>
      <c r="W47" s="23">
        <v>0.29199999999999998</v>
      </c>
      <c r="X47" s="23">
        <v>0.3</v>
      </c>
      <c r="Y47" s="23">
        <v>0.11600000000000001</v>
      </c>
      <c r="Z47" s="23">
        <v>1.2E-2</v>
      </c>
      <c r="AA47" s="23">
        <v>2.8000000000000001E-2</v>
      </c>
      <c r="AE47" s="23">
        <v>0.04</v>
      </c>
      <c r="AF47" s="23">
        <v>8.3333333333333329E-2</v>
      </c>
      <c r="AH47" s="23">
        <v>4.5454545454545456E-2</v>
      </c>
      <c r="AI47" s="23">
        <v>0</v>
      </c>
      <c r="AJ47" s="23">
        <v>0</v>
      </c>
      <c r="AO47" s="23">
        <v>1.3888888888888888E-2</v>
      </c>
      <c r="AP47" s="23">
        <v>3.2258064516129031E-2</v>
      </c>
      <c r="AR47" s="23">
        <v>6.6666666666666666E-2</v>
      </c>
      <c r="AS47" s="23">
        <v>0</v>
      </c>
      <c r="AT47" s="23">
        <v>9.0909090909090912E-2</v>
      </c>
      <c r="AU47" s="23">
        <v>3.3333333333333333E-2</v>
      </c>
      <c r="AW47" s="100">
        <v>2.2222222222222223E-2</v>
      </c>
      <c r="BA47" s="23">
        <v>0.5</v>
      </c>
      <c r="BB47" s="23">
        <v>0</v>
      </c>
      <c r="BD47" s="23">
        <v>1</v>
      </c>
      <c r="BG47" s="23">
        <v>0.5</v>
      </c>
      <c r="BI47" s="100">
        <v>11.111111111111111</v>
      </c>
      <c r="BL47" s="23">
        <v>0</v>
      </c>
      <c r="BM47" s="23">
        <v>0</v>
      </c>
      <c r="BN47" s="23">
        <v>1</v>
      </c>
      <c r="BQ47" s="100">
        <v>4</v>
      </c>
      <c r="BU47" s="23">
        <v>0.7142857142857143</v>
      </c>
      <c r="BV47" s="23">
        <v>0.42465753424657532</v>
      </c>
      <c r="BW47" s="23">
        <v>0.65333333333333332</v>
      </c>
      <c r="BX47" s="23">
        <v>0.55172413793103448</v>
      </c>
      <c r="BY47" s="23">
        <v>0.33333333333333331</v>
      </c>
      <c r="BZ47" s="23">
        <v>0</v>
      </c>
      <c r="CD47" s="23">
        <v>0.43055555555555558</v>
      </c>
      <c r="CE47" s="23">
        <v>0.61290322580645162</v>
      </c>
      <c r="CG47" s="23">
        <v>0.53333333333333333</v>
      </c>
      <c r="CH47" s="23">
        <v>0.55172413793103448</v>
      </c>
      <c r="CI47" s="23">
        <v>0.69696969696969702</v>
      </c>
      <c r="CN47" s="23">
        <v>3.6363636363636362E-2</v>
      </c>
      <c r="CO47" s="23">
        <v>0.30769230769230771</v>
      </c>
      <c r="CQ47" s="23">
        <v>0.14285714285714285</v>
      </c>
      <c r="CR47" s="23">
        <v>0.4</v>
      </c>
      <c r="CS47" s="23">
        <v>0.27272727272727271</v>
      </c>
    </row>
    <row r="48" spans="3:97" x14ac:dyDescent="0.25">
      <c r="C48" s="21">
        <v>62.5</v>
      </c>
      <c r="D48" s="21">
        <v>32.258064516129032</v>
      </c>
      <c r="E48" s="21">
        <v>112.90322580645162</v>
      </c>
      <c r="F48" s="21">
        <v>11.764705882352942</v>
      </c>
      <c r="G48" s="21">
        <v>17.857142857142858</v>
      </c>
      <c r="K48" s="23">
        <v>0</v>
      </c>
      <c r="L48" s="23">
        <v>0</v>
      </c>
      <c r="M48" s="23">
        <v>7.1428571428571423</v>
      </c>
      <c r="N48" s="23">
        <v>0</v>
      </c>
      <c r="O48" s="23">
        <v>0</v>
      </c>
      <c r="P48" s="23">
        <v>14.285714285714285</v>
      </c>
      <c r="Q48" s="23">
        <v>50</v>
      </c>
      <c r="R48" s="23">
        <v>10</v>
      </c>
      <c r="V48" s="23">
        <v>0.17599999999999999</v>
      </c>
      <c r="W48" s="23">
        <v>0.14000000000000001</v>
      </c>
      <c r="X48" s="23">
        <v>0.45600000000000002</v>
      </c>
      <c r="Y48" s="23">
        <v>0.14799999999999999</v>
      </c>
      <c r="Z48" s="23">
        <v>2.4E-2</v>
      </c>
      <c r="AA48" s="23">
        <v>5.6000000000000001E-2</v>
      </c>
      <c r="AE48" s="23">
        <v>0</v>
      </c>
      <c r="AF48" s="23">
        <v>3.2258064516129031E-2</v>
      </c>
      <c r="AG48" s="23">
        <v>0.14516129032258066</v>
      </c>
      <c r="AH48" s="23">
        <v>2.3529411764705882E-2</v>
      </c>
      <c r="AI48" s="23">
        <v>3.5714285714285712E-2</v>
      </c>
      <c r="AO48" s="23">
        <v>0</v>
      </c>
      <c r="AP48" s="23">
        <v>7.1428571428571425E-2</v>
      </c>
      <c r="AQ48" s="23">
        <v>0.06</v>
      </c>
      <c r="AR48" s="23">
        <v>3.1746031746031744E-2</v>
      </c>
      <c r="AS48" s="23">
        <v>5.5555555555555552E-2</v>
      </c>
      <c r="AU48" s="23">
        <v>4.6875E-2</v>
      </c>
      <c r="AW48" s="100">
        <v>3.125E-2</v>
      </c>
      <c r="BC48" s="23">
        <v>0.625</v>
      </c>
      <c r="BD48" s="23">
        <v>1</v>
      </c>
      <c r="BE48" s="23">
        <v>0</v>
      </c>
      <c r="BG48" s="23">
        <v>0.6</v>
      </c>
      <c r="BI48" s="100">
        <v>31.25</v>
      </c>
      <c r="BL48" s="23">
        <v>0.375</v>
      </c>
      <c r="BM48" s="23">
        <v>0.125</v>
      </c>
      <c r="BN48" s="23">
        <v>0.5</v>
      </c>
      <c r="BQ48" s="100">
        <v>10</v>
      </c>
      <c r="BU48" s="23">
        <v>0.70454545454545459</v>
      </c>
      <c r="BV48" s="23">
        <v>0.65714285714285714</v>
      </c>
      <c r="BW48" s="23">
        <v>0.74561403508771928</v>
      </c>
      <c r="BX48" s="23">
        <v>0.6216216216216216</v>
      </c>
      <c r="BY48" s="23">
        <v>0.66666666666666663</v>
      </c>
      <c r="BZ48" s="23">
        <v>0.21428571428571427</v>
      </c>
      <c r="CD48" s="23">
        <v>0.46666666666666667</v>
      </c>
      <c r="CE48" s="23">
        <v>0.8214285714285714</v>
      </c>
      <c r="CF48" s="23">
        <v>0.8</v>
      </c>
      <c r="CG48" s="23">
        <v>0.66666666666666663</v>
      </c>
      <c r="CH48" s="23">
        <v>0.63888888888888884</v>
      </c>
      <c r="CN48" s="23">
        <v>0</v>
      </c>
      <c r="CO48" s="23">
        <v>0.3</v>
      </c>
      <c r="CP48" s="23">
        <v>0.33333333333333331</v>
      </c>
      <c r="CQ48" s="23">
        <v>0.15384615384615385</v>
      </c>
      <c r="CR48" s="23">
        <v>0.15384615384615385</v>
      </c>
    </row>
    <row r="49" spans="3:97" x14ac:dyDescent="0.25">
      <c r="C49" s="21">
        <v>0</v>
      </c>
      <c r="D49" s="21">
        <v>70.588235294117652</v>
      </c>
      <c r="E49" s="21">
        <v>79.365079365079367</v>
      </c>
      <c r="F49" s="21">
        <v>50</v>
      </c>
      <c r="G49" s="21">
        <v>0</v>
      </c>
      <c r="H49" s="21">
        <v>0</v>
      </c>
      <c r="K49" s="23">
        <v>0</v>
      </c>
      <c r="L49" s="23">
        <v>14.285714285714285</v>
      </c>
      <c r="M49" s="23">
        <v>4.5454545454545459</v>
      </c>
      <c r="N49" s="23">
        <v>33.333333333333329</v>
      </c>
      <c r="O49" s="23">
        <v>0</v>
      </c>
      <c r="P49" s="23">
        <v>14.285714285714285</v>
      </c>
      <c r="Q49" s="23">
        <v>0</v>
      </c>
      <c r="R49" s="23">
        <v>0</v>
      </c>
      <c r="V49" s="23">
        <v>0.16</v>
      </c>
      <c r="W49" s="23">
        <v>0.22</v>
      </c>
      <c r="X49" s="23">
        <v>0.42399999999999999</v>
      </c>
      <c r="Y49" s="23">
        <v>0.14399999999999999</v>
      </c>
      <c r="Z49" s="23">
        <v>1.6E-2</v>
      </c>
      <c r="AA49" s="23">
        <v>3.5999999999999997E-2</v>
      </c>
      <c r="AE49" s="23">
        <v>1.7857142857142856E-2</v>
      </c>
      <c r="AF49" s="23">
        <v>4.7058823529411764E-2</v>
      </c>
      <c r="AG49" s="23">
        <v>4.7619047619047616E-2</v>
      </c>
      <c r="AH49" s="23">
        <v>0.05</v>
      </c>
      <c r="AI49" s="23">
        <v>0</v>
      </c>
      <c r="AJ49" s="23">
        <v>0</v>
      </c>
      <c r="AO49" s="23">
        <v>0</v>
      </c>
      <c r="AP49" s="23">
        <v>5.2631578947368418E-2</v>
      </c>
      <c r="AQ49" s="23">
        <v>4.0816326530612242E-2</v>
      </c>
      <c r="AR49" s="23">
        <v>6.6666666666666666E-2</v>
      </c>
      <c r="AS49" s="23">
        <v>0</v>
      </c>
      <c r="AT49" s="23">
        <v>0</v>
      </c>
      <c r="AU49" s="23">
        <v>3.482587064676617E-2</v>
      </c>
      <c r="AW49" s="100">
        <v>3.482587064676617E-2</v>
      </c>
      <c r="BB49" s="23">
        <v>0.5</v>
      </c>
      <c r="BC49" s="23">
        <v>0</v>
      </c>
      <c r="BD49" s="23">
        <v>1</v>
      </c>
      <c r="BG49" s="23">
        <v>0.4</v>
      </c>
      <c r="BI49" s="100">
        <v>9.9502487562189046</v>
      </c>
      <c r="BL49" s="23">
        <v>0.5</v>
      </c>
      <c r="BM49" s="23">
        <v>0</v>
      </c>
      <c r="BN49" s="23">
        <v>0.5</v>
      </c>
      <c r="BQ49" s="100">
        <v>5</v>
      </c>
      <c r="BU49" s="23">
        <v>0.6</v>
      </c>
      <c r="BV49" s="23">
        <v>0.43636363636363634</v>
      </c>
      <c r="BW49" s="23">
        <v>0.76415094339622647</v>
      </c>
      <c r="BX49" s="23">
        <v>0.66666666666666663</v>
      </c>
      <c r="BY49" s="23">
        <v>1</v>
      </c>
      <c r="BZ49" s="23">
        <v>0.22222222222222221</v>
      </c>
      <c r="CD49" s="23">
        <v>0.53703703703703709</v>
      </c>
      <c r="CE49" s="23">
        <v>0.72368421052631582</v>
      </c>
      <c r="CF49" s="23">
        <v>0.77551020408163263</v>
      </c>
      <c r="CG49" s="23">
        <v>0.53333333333333333</v>
      </c>
      <c r="CH49" s="23">
        <v>0</v>
      </c>
      <c r="CI49" s="23">
        <v>0.5</v>
      </c>
      <c r="CN49" s="23">
        <v>0</v>
      </c>
      <c r="CO49" s="23">
        <v>0.3</v>
      </c>
      <c r="CP49" s="23">
        <v>0.18181818181818182</v>
      </c>
      <c r="CQ49" s="23">
        <v>0.33333333333333331</v>
      </c>
      <c r="CS49" s="23">
        <v>0</v>
      </c>
    </row>
    <row r="50" spans="3:97" x14ac:dyDescent="0.25">
      <c r="C50" s="21">
        <v>18.518518518518519</v>
      </c>
      <c r="E50" s="21">
        <v>0</v>
      </c>
      <c r="F50" s="21">
        <v>40</v>
      </c>
      <c r="G50" s="21">
        <v>19.23076923076923</v>
      </c>
      <c r="H50" s="21">
        <v>0</v>
      </c>
      <c r="K50" s="23">
        <v>0</v>
      </c>
      <c r="L50" s="23">
        <v>12.5</v>
      </c>
      <c r="M50" s="23">
        <v>3.8461538461538463</v>
      </c>
      <c r="N50" s="23">
        <v>33.333333333333329</v>
      </c>
      <c r="O50" s="23">
        <v>0</v>
      </c>
      <c r="P50" s="23">
        <v>15.789473684210526</v>
      </c>
      <c r="Q50" s="23">
        <v>0</v>
      </c>
      <c r="R50" s="23">
        <v>0</v>
      </c>
      <c r="V50" s="23">
        <v>0.3</v>
      </c>
      <c r="W50" s="23">
        <v>0.224</v>
      </c>
      <c r="X50" s="23">
        <v>0.28799999999999998</v>
      </c>
      <c r="Y50" s="23">
        <v>0.128</v>
      </c>
      <c r="Z50" s="23">
        <v>3.5999999999999997E-2</v>
      </c>
      <c r="AA50" s="23">
        <v>2.4E-2</v>
      </c>
      <c r="AE50" s="23">
        <v>3.7037037037037035E-2</v>
      </c>
      <c r="AG50" s="23">
        <v>9.6774193548387094E-2</v>
      </c>
      <c r="AH50" s="23">
        <v>0.02</v>
      </c>
      <c r="AI50" s="23">
        <v>0</v>
      </c>
      <c r="AJ50" s="23">
        <v>0</v>
      </c>
      <c r="AO50" s="23">
        <v>0</v>
      </c>
      <c r="AQ50" s="23">
        <v>0.04</v>
      </c>
      <c r="AR50" s="23">
        <v>0.10810810810810811</v>
      </c>
      <c r="AS50" s="23">
        <v>9.375E-2</v>
      </c>
      <c r="AT50" s="23">
        <v>4.1666666666666664E-2</v>
      </c>
      <c r="AU50" s="23">
        <v>5.3254437869822487E-2</v>
      </c>
      <c r="AW50" s="100">
        <v>2.3668639053254437E-2</v>
      </c>
      <c r="BA50" s="23">
        <v>0.5</v>
      </c>
      <c r="BC50" s="23">
        <v>1</v>
      </c>
      <c r="BD50" s="23">
        <v>1</v>
      </c>
      <c r="BG50" s="23">
        <v>0.75</v>
      </c>
      <c r="BI50" s="100">
        <v>17.751479289940828</v>
      </c>
      <c r="BL50" s="23">
        <v>0.75</v>
      </c>
      <c r="BM50" s="23">
        <v>0</v>
      </c>
      <c r="BN50" s="23">
        <v>0.25</v>
      </c>
      <c r="BQ50" s="100">
        <v>4</v>
      </c>
      <c r="BU50" s="23">
        <v>0.56000000000000005</v>
      </c>
      <c r="BV50" s="23">
        <v>0.6428571428571429</v>
      </c>
      <c r="BW50" s="23">
        <v>0.76388888888888884</v>
      </c>
      <c r="BX50" s="23">
        <v>0.71875</v>
      </c>
      <c r="BY50" s="23">
        <v>0.44444444444444442</v>
      </c>
      <c r="BZ50" s="23">
        <v>0</v>
      </c>
      <c r="CD50" s="23">
        <v>0.68627450980392157</v>
      </c>
      <c r="CF50" s="23">
        <v>0.76</v>
      </c>
      <c r="CG50" s="23">
        <v>0.78378378378378377</v>
      </c>
      <c r="CH50" s="23">
        <v>0.59375</v>
      </c>
      <c r="CI50" s="23">
        <v>0.66666666666666663</v>
      </c>
      <c r="CN50" s="23">
        <v>0</v>
      </c>
      <c r="CP50" s="23">
        <v>0.3</v>
      </c>
      <c r="CQ50" s="23">
        <v>0.3888888888888889</v>
      </c>
      <c r="CR50" s="23">
        <v>0.35714285714285715</v>
      </c>
      <c r="CS50" s="23">
        <v>0.2</v>
      </c>
    </row>
    <row r="51" spans="3:97" x14ac:dyDescent="0.25">
      <c r="C51" s="21">
        <v>0</v>
      </c>
      <c r="D51" s="21">
        <v>35.714285714285715</v>
      </c>
      <c r="E51" s="21">
        <v>54.054054054054056</v>
      </c>
      <c r="F51" s="21">
        <v>103.8961038961039</v>
      </c>
      <c r="G51" s="21">
        <v>19.23076923076923</v>
      </c>
      <c r="H51" s="21">
        <v>0</v>
      </c>
      <c r="K51" s="23">
        <v>0</v>
      </c>
      <c r="L51" s="23">
        <v>0</v>
      </c>
      <c r="M51" s="23">
        <v>11.627906976744185</v>
      </c>
      <c r="N51" s="23">
        <v>0</v>
      </c>
      <c r="O51" s="23">
        <v>0</v>
      </c>
      <c r="P51" s="23">
        <v>12.5</v>
      </c>
      <c r="Q51" s="23">
        <v>12.5</v>
      </c>
      <c r="R51" s="23">
        <v>25</v>
      </c>
      <c r="V51" s="23">
        <v>0.18</v>
      </c>
      <c r="W51" s="23">
        <v>0.108</v>
      </c>
      <c r="X51" s="23">
        <v>0.44800000000000001</v>
      </c>
      <c r="Y51" s="23">
        <v>0.16800000000000001</v>
      </c>
      <c r="Z51" s="23">
        <v>4.3999999999999997E-2</v>
      </c>
      <c r="AA51" s="23">
        <v>5.1999999999999998E-2</v>
      </c>
      <c r="AE51" s="23">
        <v>0</v>
      </c>
      <c r="AF51" s="23">
        <v>0.10714285714285714</v>
      </c>
      <c r="AG51" s="23">
        <v>9.45945945945946E-2</v>
      </c>
      <c r="AH51" s="23">
        <v>3.896103896103896E-2</v>
      </c>
      <c r="AI51" s="23">
        <v>0</v>
      </c>
      <c r="AJ51" s="23">
        <v>0</v>
      </c>
      <c r="AO51" s="23">
        <v>0</v>
      </c>
      <c r="AP51" s="23">
        <v>0</v>
      </c>
      <c r="AQ51" s="23">
        <v>8.1967213114754092E-2</v>
      </c>
      <c r="AR51" s="23">
        <v>3.3898305084745763E-2</v>
      </c>
      <c r="AS51" s="23">
        <v>6.6666666666666666E-2</v>
      </c>
      <c r="AT51" s="23">
        <v>0.42857142857142855</v>
      </c>
      <c r="AU51" s="23">
        <v>6.25E-2</v>
      </c>
      <c r="AW51" s="100">
        <v>3.125E-2</v>
      </c>
      <c r="BB51" s="23">
        <v>0.66666666666666663</v>
      </c>
      <c r="BC51" s="23">
        <v>0.8571428571428571</v>
      </c>
      <c r="BD51" s="23">
        <v>0.5</v>
      </c>
      <c r="BG51" s="23">
        <v>0.75</v>
      </c>
      <c r="BI51" s="100">
        <v>46.875</v>
      </c>
      <c r="BL51" s="23">
        <v>0.125</v>
      </c>
      <c r="BM51" s="23">
        <v>0.4375</v>
      </c>
      <c r="BN51" s="23">
        <v>0.4375</v>
      </c>
      <c r="BQ51" s="100">
        <v>12</v>
      </c>
      <c r="BU51" s="23">
        <v>0.57777777777777772</v>
      </c>
      <c r="BV51" s="23">
        <v>0.48148148148148145</v>
      </c>
      <c r="BW51" s="23">
        <v>0.6607142857142857</v>
      </c>
      <c r="BX51" s="23">
        <v>0.66666666666666663</v>
      </c>
      <c r="BY51" s="23">
        <v>0.81818181818181823</v>
      </c>
      <c r="BZ51" s="23">
        <v>0.15384615384615385</v>
      </c>
      <c r="CD51" s="23">
        <v>0.45454545454545453</v>
      </c>
      <c r="CE51" s="23">
        <v>0.625</v>
      </c>
      <c r="CF51" s="23">
        <v>0.67213114754098358</v>
      </c>
      <c r="CG51" s="23">
        <v>0.67796610169491522</v>
      </c>
      <c r="CH51" s="23">
        <v>0.56666666666666665</v>
      </c>
      <c r="CI51" s="23">
        <v>0.8571428571428571</v>
      </c>
      <c r="CN51" s="23">
        <v>0</v>
      </c>
      <c r="CO51" s="23">
        <v>0.14285714285714285</v>
      </c>
      <c r="CP51" s="23">
        <v>0.36842105263157893</v>
      </c>
      <c r="CQ51" s="23">
        <v>0.33333333333333331</v>
      </c>
      <c r="CR51" s="23">
        <v>0.4</v>
      </c>
      <c r="CS51" s="23">
        <v>0.75</v>
      </c>
    </row>
    <row r="52" spans="3:97" x14ac:dyDescent="0.25">
      <c r="C52" s="21">
        <v>32.786885245901637</v>
      </c>
      <c r="D52" s="21">
        <v>40.54054054054054</v>
      </c>
      <c r="E52" s="21">
        <v>38.46153846153846</v>
      </c>
      <c r="F52" s="21">
        <v>62.5</v>
      </c>
      <c r="G52" s="21">
        <v>38.46153846153846</v>
      </c>
      <c r="H52" s="21">
        <v>42.553191489361701</v>
      </c>
      <c r="K52" s="23">
        <v>0</v>
      </c>
      <c r="L52" s="23">
        <v>0</v>
      </c>
      <c r="M52" s="23">
        <v>2.9411764705882351</v>
      </c>
      <c r="N52" s="23">
        <v>0</v>
      </c>
      <c r="O52" s="23">
        <v>0</v>
      </c>
      <c r="P52" s="23">
        <v>29.411764705882355</v>
      </c>
      <c r="Q52" s="23">
        <v>18.181818181818183</v>
      </c>
      <c r="R52" s="23">
        <v>50</v>
      </c>
      <c r="V52" s="23">
        <v>0.18</v>
      </c>
      <c r="W52" s="23">
        <v>0.24399999999999999</v>
      </c>
      <c r="X52" s="23">
        <v>0.36</v>
      </c>
      <c r="Y52" s="23">
        <v>0.14000000000000001</v>
      </c>
      <c r="Z52" s="23">
        <v>1.6E-2</v>
      </c>
      <c r="AA52" s="23">
        <v>0.06</v>
      </c>
      <c r="AE52" s="23">
        <v>3.2786885245901641E-2</v>
      </c>
      <c r="AF52" s="23">
        <v>0.14864864864864866</v>
      </c>
      <c r="AG52" s="23">
        <v>7.6923076923076927E-2</v>
      </c>
      <c r="AH52" s="23">
        <v>0</v>
      </c>
      <c r="AI52" s="23">
        <v>0</v>
      </c>
      <c r="AJ52" s="23">
        <v>0</v>
      </c>
      <c r="AO52" s="23">
        <v>0</v>
      </c>
      <c r="AP52" s="23">
        <v>3.1746031746031744E-2</v>
      </c>
      <c r="AQ52" s="23">
        <v>0</v>
      </c>
      <c r="AR52" s="23">
        <v>0.16666666666666666</v>
      </c>
      <c r="AS52" s="23">
        <v>0.14285714285714285</v>
      </c>
      <c r="AT52" s="23">
        <v>6.25E-2</v>
      </c>
      <c r="AU52" s="23">
        <v>4.2105263157894736E-2</v>
      </c>
      <c r="AW52" s="100">
        <v>2.6315789473684209E-2</v>
      </c>
      <c r="BA52" s="23">
        <v>0.5</v>
      </c>
      <c r="BB52" s="23">
        <v>0.875</v>
      </c>
      <c r="BC52" s="23">
        <v>1</v>
      </c>
      <c r="BG52" s="23">
        <v>0.81818181818181823</v>
      </c>
      <c r="BI52" s="100">
        <v>47.368421052631582</v>
      </c>
      <c r="BL52" s="23">
        <v>0.27272727272727271</v>
      </c>
      <c r="BM52" s="23">
        <v>0.27272727272727271</v>
      </c>
      <c r="BN52" s="23">
        <v>0.45454545454545453</v>
      </c>
      <c r="BQ52" s="100">
        <v>11</v>
      </c>
      <c r="BU52" s="23">
        <v>0.64444444444444449</v>
      </c>
      <c r="BV52" s="23">
        <v>0.44262295081967212</v>
      </c>
      <c r="BW52" s="23">
        <v>0.71111111111111114</v>
      </c>
      <c r="BX52" s="23">
        <v>0.42857142857142855</v>
      </c>
      <c r="BY52" s="23">
        <v>0.75</v>
      </c>
      <c r="BZ52" s="23">
        <v>0</v>
      </c>
      <c r="CD52" s="23">
        <v>0.51724137931034486</v>
      </c>
      <c r="CE52" s="23">
        <v>0.61904761904761907</v>
      </c>
      <c r="CF52" s="23">
        <v>0.65</v>
      </c>
      <c r="CG52" s="23">
        <v>0.66666666666666663</v>
      </c>
      <c r="CH52" s="23">
        <v>0.61904761904761907</v>
      </c>
      <c r="CI52" s="23">
        <v>0.375</v>
      </c>
      <c r="CN52" s="23">
        <v>0</v>
      </c>
      <c r="CO52" s="23">
        <v>0.13636363636363635</v>
      </c>
      <c r="CP52" s="23">
        <v>0</v>
      </c>
      <c r="CQ52" s="23">
        <v>0.6</v>
      </c>
      <c r="CR52" s="23">
        <v>0.75</v>
      </c>
      <c r="CS52" s="23">
        <v>0.44444444444444442</v>
      </c>
    </row>
    <row r="53" spans="3:97" x14ac:dyDescent="0.25">
      <c r="C53" s="21">
        <v>75.471698113207552</v>
      </c>
      <c r="D53" s="21">
        <v>181.81818181818181</v>
      </c>
      <c r="E53" s="21">
        <v>120</v>
      </c>
      <c r="F53" s="21">
        <v>88.888888888888886</v>
      </c>
      <c r="G53" s="21">
        <v>0</v>
      </c>
      <c r="H53" s="21">
        <v>0</v>
      </c>
      <c r="K53" s="23">
        <v>0</v>
      </c>
      <c r="L53" s="23">
        <v>14.285714285714285</v>
      </c>
      <c r="M53" s="23">
        <v>13.513513513513514</v>
      </c>
      <c r="N53" s="23">
        <v>0</v>
      </c>
      <c r="O53" s="23">
        <v>0</v>
      </c>
      <c r="P53" s="23">
        <v>6.666666666666667</v>
      </c>
      <c r="Q53" s="23">
        <v>40</v>
      </c>
      <c r="R53" s="23">
        <v>0</v>
      </c>
      <c r="V53" s="23">
        <v>0.26400000000000001</v>
      </c>
      <c r="W53" s="23">
        <v>0.188</v>
      </c>
      <c r="X53" s="23">
        <v>0.34</v>
      </c>
      <c r="Y53" s="23">
        <v>0.11600000000000001</v>
      </c>
      <c r="Z53" s="23">
        <v>0.04</v>
      </c>
      <c r="AA53" s="23">
        <v>5.1999999999999998E-2</v>
      </c>
      <c r="AE53" s="23">
        <v>1.8867924528301886E-2</v>
      </c>
      <c r="AF53" s="23">
        <v>9.0909090909090912E-2</v>
      </c>
      <c r="AG53" s="23">
        <v>0.2</v>
      </c>
      <c r="AH53" s="23">
        <v>8.8888888888888892E-2</v>
      </c>
      <c r="AI53" s="23">
        <v>3.0303030303030304E-2</v>
      </c>
      <c r="AJ53" s="23">
        <v>0</v>
      </c>
      <c r="AO53" s="23">
        <v>2.0408163265306121E-2</v>
      </c>
      <c r="AP53" s="23">
        <v>0</v>
      </c>
      <c r="AQ53" s="23">
        <v>0</v>
      </c>
      <c r="AR53" s="23">
        <v>7.1428571428571425E-2</v>
      </c>
      <c r="AS53" s="23">
        <v>7.6923076923076927E-2</v>
      </c>
      <c r="AT53" s="23">
        <v>7.6923076923076927E-2</v>
      </c>
      <c r="AU53" s="23">
        <v>4.6783625730994149E-2</v>
      </c>
      <c r="AW53" s="100">
        <v>2.3391812865497075E-2</v>
      </c>
      <c r="BA53" s="23">
        <v>0</v>
      </c>
      <c r="BB53" s="23">
        <v>0</v>
      </c>
      <c r="BC53" s="23">
        <v>0</v>
      </c>
      <c r="BD53" s="23">
        <v>0.33333333333333331</v>
      </c>
      <c r="BE53" s="23">
        <v>0</v>
      </c>
      <c r="BG53" s="23">
        <v>0.14285714285714285</v>
      </c>
      <c r="BI53" s="100">
        <v>5.8479532163742691</v>
      </c>
      <c r="BL53" s="23">
        <v>0</v>
      </c>
      <c r="BM53" s="23">
        <v>0</v>
      </c>
      <c r="BN53" s="23">
        <v>1</v>
      </c>
      <c r="BQ53" s="100">
        <v>7</v>
      </c>
      <c r="BU53" s="23">
        <v>0.5757575757575758</v>
      </c>
      <c r="BV53" s="23">
        <v>0.51063829787234039</v>
      </c>
      <c r="BW53" s="23">
        <v>0.75294117647058822</v>
      </c>
      <c r="BX53" s="23">
        <v>0.51724137931034486</v>
      </c>
      <c r="BY53" s="23">
        <v>0.6</v>
      </c>
      <c r="BZ53" s="23">
        <v>7.6923076923076927E-2</v>
      </c>
      <c r="CD53" s="23">
        <v>0.59183673469387754</v>
      </c>
      <c r="CE53" s="23">
        <v>0.7</v>
      </c>
      <c r="CF53" s="23">
        <v>0.63157894736842102</v>
      </c>
      <c r="CG53" s="23">
        <v>0.6428571428571429</v>
      </c>
      <c r="CH53" s="23">
        <v>0.64102564102564108</v>
      </c>
      <c r="CI53" s="23">
        <v>0.69230769230769229</v>
      </c>
      <c r="CN53" s="23">
        <v>7.1428571428571425E-2</v>
      </c>
      <c r="CO53" s="23">
        <v>0</v>
      </c>
      <c r="CP53" s="23">
        <v>0.25</v>
      </c>
      <c r="CQ53" s="23">
        <v>0.33333333333333331</v>
      </c>
      <c r="CR53" s="23">
        <v>0.4</v>
      </c>
      <c r="CS53" s="23">
        <v>0.4</v>
      </c>
    </row>
    <row r="54" spans="3:97" x14ac:dyDescent="0.25">
      <c r="C54" s="21">
        <v>78.94736842105263</v>
      </c>
      <c r="D54" s="21">
        <v>35.087719298245617</v>
      </c>
      <c r="E54" s="21">
        <v>111.11111111111111</v>
      </c>
      <c r="F54" s="21">
        <v>101.69491525423729</v>
      </c>
      <c r="G54" s="21">
        <v>0</v>
      </c>
      <c r="H54" s="21">
        <v>0</v>
      </c>
      <c r="K54" s="23">
        <v>0</v>
      </c>
      <c r="L54" s="23">
        <v>0</v>
      </c>
      <c r="M54" s="23">
        <v>22.727272727272727</v>
      </c>
      <c r="N54" s="23">
        <v>0</v>
      </c>
      <c r="O54" s="23">
        <v>0</v>
      </c>
      <c r="P54" s="23">
        <v>11.111111111111111</v>
      </c>
      <c r="Q54" s="23">
        <v>25</v>
      </c>
      <c r="R54" s="23">
        <v>33.333333333333329</v>
      </c>
      <c r="V54" s="23">
        <v>0.17199999999999999</v>
      </c>
      <c r="W54" s="23">
        <v>0.24399999999999999</v>
      </c>
      <c r="X54" s="23">
        <v>0.32800000000000001</v>
      </c>
      <c r="Y54" s="23">
        <v>0.188</v>
      </c>
      <c r="Z54" s="23">
        <v>0.02</v>
      </c>
      <c r="AA54" s="23">
        <v>4.8000000000000001E-2</v>
      </c>
      <c r="AE54" s="23">
        <v>7.8947368421052627E-2</v>
      </c>
      <c r="AF54" s="23">
        <v>7.0175438596491224E-2</v>
      </c>
      <c r="AG54" s="23">
        <v>6.3492063492063489E-2</v>
      </c>
      <c r="AH54" s="23">
        <v>1.6949152542372881E-2</v>
      </c>
      <c r="AI54" s="23">
        <v>0</v>
      </c>
      <c r="AJ54" s="23">
        <v>0</v>
      </c>
      <c r="AO54" s="23">
        <v>0</v>
      </c>
      <c r="AP54" s="23">
        <v>7.6923076923076927E-2</v>
      </c>
      <c r="AQ54" s="23">
        <v>6.25E-2</v>
      </c>
      <c r="AR54" s="23">
        <v>4.7619047619047616E-2</v>
      </c>
      <c r="AS54" s="23">
        <v>0</v>
      </c>
      <c r="AT54" s="23">
        <v>7.6923076923076927E-2</v>
      </c>
      <c r="AU54" s="23">
        <v>5.128205128205128E-2</v>
      </c>
      <c r="AW54" s="100">
        <v>3.5897435897435895E-2</v>
      </c>
      <c r="BA54" s="23">
        <v>0.66666666666666663</v>
      </c>
      <c r="BB54" s="23">
        <v>1</v>
      </c>
      <c r="BC54" s="23">
        <v>0.33333333333333331</v>
      </c>
      <c r="BD54" s="23">
        <v>0.5</v>
      </c>
      <c r="BF54" s="23">
        <v>0</v>
      </c>
      <c r="BG54" s="23">
        <v>0.58333333333333337</v>
      </c>
      <c r="BI54" s="100">
        <v>35.897435897435898</v>
      </c>
      <c r="BL54" s="23">
        <v>0.4</v>
      </c>
      <c r="BM54" s="23">
        <v>0</v>
      </c>
      <c r="BN54" s="23">
        <v>0.6</v>
      </c>
      <c r="BQ54" s="100">
        <v>12</v>
      </c>
      <c r="BU54" s="23">
        <v>0.72093023255813948</v>
      </c>
      <c r="BV54" s="23">
        <v>0.49180327868852458</v>
      </c>
      <c r="BW54" s="23">
        <v>0.76829268292682928</v>
      </c>
      <c r="BX54" s="23">
        <v>0.63829787234042556</v>
      </c>
      <c r="BY54" s="23">
        <v>0.6</v>
      </c>
      <c r="BZ54" s="23">
        <v>0.33333333333333331</v>
      </c>
      <c r="CD54" s="23">
        <v>0.48571428571428571</v>
      </c>
      <c r="CE54" s="23">
        <v>0.57692307692307687</v>
      </c>
      <c r="CF54" s="23">
        <v>0.79166666666666663</v>
      </c>
      <c r="CG54" s="23">
        <v>0.69047619047619047</v>
      </c>
      <c r="CH54" s="23">
        <v>0.8</v>
      </c>
      <c r="CI54" s="23">
        <v>0.61538461538461542</v>
      </c>
      <c r="CN54" s="23">
        <v>0.04</v>
      </c>
      <c r="CO54" s="23">
        <v>0.23809523809523808</v>
      </c>
      <c r="CP54" s="23">
        <v>0.2</v>
      </c>
      <c r="CQ54" s="23">
        <v>0.4375</v>
      </c>
      <c r="CR54" s="23">
        <v>0</v>
      </c>
      <c r="CS54" s="23">
        <v>0.375</v>
      </c>
    </row>
    <row r="55" spans="3:97" x14ac:dyDescent="0.25">
      <c r="C55" s="21">
        <v>15.384615384615385</v>
      </c>
      <c r="D55" s="21">
        <v>70.175438596491233</v>
      </c>
      <c r="E55" s="21">
        <v>75</v>
      </c>
      <c r="F55" s="21">
        <v>50</v>
      </c>
      <c r="G55" s="21">
        <v>0</v>
      </c>
      <c r="H55" s="21">
        <v>0</v>
      </c>
      <c r="K55" s="23">
        <v>0</v>
      </c>
      <c r="L55" s="23">
        <v>0</v>
      </c>
      <c r="M55" s="23">
        <v>11.111111111111111</v>
      </c>
      <c r="N55" s="23">
        <v>50</v>
      </c>
      <c r="O55" s="23">
        <v>0</v>
      </c>
      <c r="P55" s="23">
        <v>25</v>
      </c>
      <c r="Q55" s="23">
        <v>9.0909090909090917</v>
      </c>
      <c r="R55" s="23">
        <v>0</v>
      </c>
      <c r="V55" s="23">
        <v>0.188</v>
      </c>
      <c r="W55" s="23">
        <v>0.27600000000000002</v>
      </c>
      <c r="X55" s="23">
        <v>0.34799999999999998</v>
      </c>
      <c r="Y55" s="23">
        <v>0.124</v>
      </c>
      <c r="Z55" s="23">
        <v>2.4E-2</v>
      </c>
      <c r="AA55" s="23">
        <v>0.04</v>
      </c>
      <c r="AE55" s="23">
        <v>0</v>
      </c>
      <c r="AF55" s="23">
        <v>0.10526315789473684</v>
      </c>
      <c r="AG55" s="23">
        <v>0.05</v>
      </c>
      <c r="AH55" s="23">
        <v>0</v>
      </c>
      <c r="AI55" s="23">
        <v>7.6923076923076927E-2</v>
      </c>
      <c r="AJ55" s="23">
        <v>0</v>
      </c>
      <c r="AO55" s="23">
        <v>0</v>
      </c>
      <c r="AP55" s="23">
        <v>0</v>
      </c>
      <c r="AQ55" s="23">
        <v>0</v>
      </c>
      <c r="AR55" s="23">
        <v>0</v>
      </c>
      <c r="AS55" s="23">
        <v>0.23076923076923078</v>
      </c>
      <c r="AT55" s="23">
        <v>4.3478260869565216E-2</v>
      </c>
      <c r="AU55" s="23">
        <v>2.072538860103627E-2</v>
      </c>
      <c r="AW55" s="100">
        <v>2.072538860103627E-2</v>
      </c>
      <c r="BA55" s="23">
        <v>0</v>
      </c>
      <c r="BB55" s="23">
        <v>0.66666666666666663</v>
      </c>
      <c r="BC55" s="23">
        <v>0.5</v>
      </c>
      <c r="BG55" s="23">
        <v>0.5</v>
      </c>
      <c r="BI55" s="100">
        <v>15.544041450777202</v>
      </c>
      <c r="BL55" s="23">
        <v>0</v>
      </c>
      <c r="BM55" s="23">
        <v>0</v>
      </c>
      <c r="BN55" s="23">
        <v>1</v>
      </c>
      <c r="BQ55" s="100">
        <v>6</v>
      </c>
      <c r="BU55" s="23">
        <v>0.55319148936170215</v>
      </c>
      <c r="BV55" s="23">
        <v>0.53623188405797106</v>
      </c>
      <c r="BW55" s="23">
        <v>0.72413793103448276</v>
      </c>
      <c r="BX55" s="23">
        <v>0.5161290322580645</v>
      </c>
      <c r="BY55" s="23">
        <v>0.66666666666666663</v>
      </c>
      <c r="BZ55" s="23">
        <v>0.2</v>
      </c>
      <c r="CD55" s="23">
        <v>0.61904761904761907</v>
      </c>
      <c r="CE55" s="23">
        <v>0.67346938775510201</v>
      </c>
      <c r="CF55" s="23">
        <v>0.71875</v>
      </c>
      <c r="CG55" s="23">
        <v>0.76923076923076927</v>
      </c>
      <c r="CH55" s="23">
        <v>0.46153846153846156</v>
      </c>
      <c r="CI55" s="23">
        <v>0.39130434782608697</v>
      </c>
      <c r="CN55" s="23">
        <v>0</v>
      </c>
      <c r="CO55" s="23">
        <v>7.1428571428571425E-2</v>
      </c>
      <c r="CP55" s="23">
        <v>0.1</v>
      </c>
      <c r="CQ55" s="23">
        <v>0</v>
      </c>
      <c r="CR55" s="23">
        <v>0.66666666666666663</v>
      </c>
      <c r="CS55" s="23">
        <v>0.25</v>
      </c>
    </row>
    <row r="56" spans="3:97" x14ac:dyDescent="0.25">
      <c r="C56" s="21">
        <v>0</v>
      </c>
      <c r="D56" s="21">
        <v>0</v>
      </c>
      <c r="E56" s="21">
        <v>92.592592592592595</v>
      </c>
      <c r="F56" s="21">
        <v>32.258064516129032</v>
      </c>
      <c r="G56" s="21">
        <v>19.23076923076923</v>
      </c>
      <c r="H56" s="21">
        <v>0</v>
      </c>
      <c r="K56" s="23">
        <v>0</v>
      </c>
      <c r="L56" s="23">
        <v>0</v>
      </c>
      <c r="M56" s="23">
        <v>9.3023255813953494</v>
      </c>
      <c r="N56" s="23">
        <v>0</v>
      </c>
      <c r="O56" s="23">
        <v>0</v>
      </c>
      <c r="P56" s="23">
        <v>14.285714285714285</v>
      </c>
      <c r="Q56" s="23">
        <v>16.666666666666664</v>
      </c>
      <c r="R56" s="23">
        <v>0</v>
      </c>
      <c r="V56" s="23">
        <v>0.192</v>
      </c>
      <c r="W56" s="23">
        <v>0.16400000000000001</v>
      </c>
      <c r="X56" s="23">
        <v>0.436</v>
      </c>
      <c r="Y56" s="23">
        <v>0.13600000000000001</v>
      </c>
      <c r="Z56" s="23">
        <v>3.2000000000000001E-2</v>
      </c>
      <c r="AA56" s="23">
        <v>0.04</v>
      </c>
      <c r="AE56" s="23">
        <v>0.08</v>
      </c>
      <c r="AF56" s="23">
        <v>3.5714285714285712E-2</v>
      </c>
      <c r="AG56" s="23">
        <v>3.7037037037037035E-2</v>
      </c>
      <c r="AH56" s="23">
        <v>6.4516129032258063E-2</v>
      </c>
      <c r="AI56" s="23">
        <v>1.9230769230769232E-2</v>
      </c>
      <c r="AJ56" s="23">
        <v>0</v>
      </c>
      <c r="AO56" s="23">
        <v>8.6956521739130432E-2</v>
      </c>
      <c r="AP56" s="23">
        <v>7.407407407407407E-2</v>
      </c>
      <c r="AQ56" s="23">
        <v>2.1276595744680851E-2</v>
      </c>
      <c r="AR56" s="23">
        <v>0.1</v>
      </c>
      <c r="AS56" s="23">
        <v>6.25E-2</v>
      </c>
      <c r="AT56" s="23">
        <v>0.15384615384615385</v>
      </c>
      <c r="AU56" s="23">
        <v>7.2916666666666671E-2</v>
      </c>
      <c r="AW56" s="100">
        <v>2.6041666666666668E-2</v>
      </c>
      <c r="BA56" s="23">
        <v>0.5</v>
      </c>
      <c r="BC56" s="23">
        <v>1</v>
      </c>
      <c r="BD56" s="23">
        <v>0.66666666666666663</v>
      </c>
      <c r="BE56" s="23">
        <v>1</v>
      </c>
      <c r="BG56" s="23">
        <v>0.7142857142857143</v>
      </c>
      <c r="BI56" s="100">
        <v>26.041666666666668</v>
      </c>
      <c r="BL56" s="23">
        <v>0.3</v>
      </c>
      <c r="BM56" s="23">
        <v>0</v>
      </c>
      <c r="BN56" s="23">
        <v>0.7</v>
      </c>
      <c r="BQ56" s="100">
        <v>7</v>
      </c>
      <c r="BU56" s="23">
        <v>0.625</v>
      </c>
      <c r="BV56" s="23">
        <v>0.73170731707317072</v>
      </c>
      <c r="BW56" s="23">
        <v>0.79816513761467889</v>
      </c>
      <c r="BX56" s="23">
        <v>0.5</v>
      </c>
      <c r="BY56" s="23">
        <v>0.875</v>
      </c>
      <c r="BZ56" s="23">
        <v>0.2</v>
      </c>
      <c r="CD56" s="23">
        <v>0.60869565217391308</v>
      </c>
      <c r="CE56" s="23">
        <v>0.77777777777777779</v>
      </c>
      <c r="CF56" s="23">
        <v>0.78723404255319152</v>
      </c>
      <c r="CG56" s="23">
        <v>0.72</v>
      </c>
      <c r="CH56" s="23">
        <v>0.6875</v>
      </c>
      <c r="CI56" s="23">
        <v>0.84615384615384615</v>
      </c>
      <c r="CN56" s="23">
        <v>0.11764705882352941</v>
      </c>
      <c r="CO56" s="23">
        <v>0.3</v>
      </c>
      <c r="CP56" s="23">
        <v>7.1428571428571425E-2</v>
      </c>
      <c r="CQ56" s="23">
        <v>0.55555555555555558</v>
      </c>
      <c r="CR56" s="23">
        <v>0.375</v>
      </c>
      <c r="CS56" s="23">
        <v>0.5</v>
      </c>
    </row>
    <row r="57" spans="3:97" x14ac:dyDescent="0.25">
      <c r="C57" s="21">
        <v>0</v>
      </c>
      <c r="D57" s="21">
        <v>17.857142857142858</v>
      </c>
      <c r="E57" s="21">
        <v>47.61904761904762</v>
      </c>
      <c r="F57" s="21">
        <v>55.555555555555557</v>
      </c>
      <c r="G57" s="21">
        <v>0</v>
      </c>
      <c r="H57" s="21">
        <v>0</v>
      </c>
      <c r="K57" s="23">
        <v>0</v>
      </c>
      <c r="L57" s="23">
        <v>0</v>
      </c>
      <c r="M57" s="23">
        <v>5.5555555555555554</v>
      </c>
      <c r="N57" s="23">
        <v>0</v>
      </c>
      <c r="O57" s="23">
        <v>0</v>
      </c>
      <c r="P57" s="23">
        <v>16</v>
      </c>
      <c r="Q57" s="23">
        <v>0</v>
      </c>
      <c r="R57" s="23">
        <v>0</v>
      </c>
      <c r="V57" s="23">
        <v>0.156</v>
      </c>
      <c r="W57" s="23">
        <v>0.216</v>
      </c>
      <c r="X57" s="23">
        <v>0.42799999999999999</v>
      </c>
      <c r="Y57" s="23">
        <v>0.12</v>
      </c>
      <c r="Z57" s="23">
        <v>3.5999999999999997E-2</v>
      </c>
      <c r="AA57" s="23">
        <v>4.3999999999999997E-2</v>
      </c>
      <c r="AE57" s="23">
        <v>2.8571428571428571E-2</v>
      </c>
      <c r="AF57" s="23">
        <v>3.5714285714285712E-2</v>
      </c>
      <c r="AG57" s="23">
        <v>6.3492063492063489E-2</v>
      </c>
      <c r="AH57" s="23">
        <v>7.407407407407407E-2</v>
      </c>
      <c r="AI57" s="23">
        <v>0</v>
      </c>
      <c r="AJ57" s="23">
        <v>0</v>
      </c>
      <c r="AO57" s="23">
        <v>0</v>
      </c>
      <c r="AP57" s="23">
        <v>3.7735849056603772E-2</v>
      </c>
      <c r="AQ57" s="23">
        <v>7.8431372549019607E-2</v>
      </c>
      <c r="AR57" s="23">
        <v>2.8571428571428571E-2</v>
      </c>
      <c r="AS57" s="23">
        <v>0</v>
      </c>
      <c r="AT57" s="23">
        <v>0</v>
      </c>
      <c r="AU57" s="23">
        <v>3.5000000000000003E-2</v>
      </c>
      <c r="AW57" s="100">
        <v>0.04</v>
      </c>
      <c r="BA57" s="23">
        <v>0</v>
      </c>
      <c r="BB57" s="23">
        <v>1</v>
      </c>
      <c r="BC57" s="23">
        <v>0.66666666666666663</v>
      </c>
      <c r="BD57" s="23">
        <v>0.66666666666666663</v>
      </c>
      <c r="BG57" s="23">
        <v>0.66666666666666663</v>
      </c>
      <c r="BI57" s="100">
        <v>30</v>
      </c>
      <c r="BL57" s="23">
        <v>0.33333333333333331</v>
      </c>
      <c r="BM57" s="23">
        <v>0.33333333333333331</v>
      </c>
      <c r="BN57" s="23">
        <v>0.33333333333333331</v>
      </c>
      <c r="BQ57" s="100">
        <v>9</v>
      </c>
      <c r="BU57" s="23">
        <v>0.58974358974358976</v>
      </c>
      <c r="BV57" s="23">
        <v>0.40740740740740738</v>
      </c>
      <c r="BW57" s="23">
        <v>0.7289719626168224</v>
      </c>
      <c r="BX57" s="23">
        <v>0.53333333333333333</v>
      </c>
      <c r="BY57" s="23">
        <v>0.44444444444444442</v>
      </c>
      <c r="BZ57" s="23">
        <v>0</v>
      </c>
      <c r="CD57" s="23">
        <v>0.51515151515151514</v>
      </c>
      <c r="CE57" s="23">
        <v>0.60377358490566035</v>
      </c>
      <c r="CF57" s="23">
        <v>0.72549019607843135</v>
      </c>
      <c r="CG57" s="23">
        <v>0.5714285714285714</v>
      </c>
      <c r="CH57" s="23">
        <v>0.45454545454545453</v>
      </c>
      <c r="CI57" s="23">
        <v>0.66666666666666663</v>
      </c>
      <c r="CN57" s="23">
        <v>0</v>
      </c>
      <c r="CO57" s="23">
        <v>0.26315789473684209</v>
      </c>
      <c r="CP57" s="23">
        <v>0.23809523809523808</v>
      </c>
      <c r="CQ57" s="23">
        <v>0.16666666666666666</v>
      </c>
      <c r="CR57" s="23">
        <v>0.33333333333333331</v>
      </c>
      <c r="CS57" s="23">
        <v>0</v>
      </c>
    </row>
    <row r="58" spans="3:97" x14ac:dyDescent="0.25">
      <c r="C58" s="21">
        <v>17.543859649122808</v>
      </c>
      <c r="D58" s="21">
        <v>68.965517241379317</v>
      </c>
      <c r="E58" s="21">
        <v>166.66666666666666</v>
      </c>
      <c r="F58" s="21">
        <v>25.641025641025642</v>
      </c>
      <c r="G58" s="21">
        <v>19.23076923076923</v>
      </c>
      <c r="H58" s="21">
        <v>0</v>
      </c>
      <c r="K58" s="23">
        <v>0</v>
      </c>
      <c r="L58" s="23">
        <v>0</v>
      </c>
      <c r="M58" s="23">
        <v>13.793103448275861</v>
      </c>
      <c r="N58" s="23">
        <v>0</v>
      </c>
      <c r="O58" s="23">
        <v>0</v>
      </c>
      <c r="P58" s="23">
        <v>45.454545454545453</v>
      </c>
      <c r="Q58" s="23">
        <v>20</v>
      </c>
      <c r="R58" s="23">
        <v>16.666666666666664</v>
      </c>
      <c r="V58" s="23">
        <v>0.24</v>
      </c>
      <c r="W58" s="23">
        <v>0.216</v>
      </c>
      <c r="X58" s="23">
        <v>0.28399999999999997</v>
      </c>
      <c r="Y58" s="23">
        <v>0.156</v>
      </c>
      <c r="Z58" s="23">
        <v>4.8000000000000001E-2</v>
      </c>
      <c r="AA58" s="23">
        <v>5.6000000000000001E-2</v>
      </c>
      <c r="AE58" s="23">
        <v>5.2631578947368418E-2</v>
      </c>
      <c r="AF58" s="23">
        <v>6.8965517241379309E-2</v>
      </c>
      <c r="AG58" s="23">
        <v>0.16666666666666666</v>
      </c>
      <c r="AH58" s="23">
        <v>0.12820512820512819</v>
      </c>
      <c r="AI58" s="23">
        <v>1.9230769230769232E-2</v>
      </c>
      <c r="AJ58" s="23">
        <v>0</v>
      </c>
      <c r="AO58" s="23">
        <v>0</v>
      </c>
      <c r="AP58" s="23">
        <v>7.407407407407407E-2</v>
      </c>
      <c r="AQ58" s="23">
        <v>7.1428571428571425E-2</v>
      </c>
      <c r="AR58" s="23">
        <v>4.3478260869565216E-2</v>
      </c>
      <c r="AS58" s="23">
        <v>0.12820512820512819</v>
      </c>
      <c r="AT58" s="23">
        <v>0.21052631578947367</v>
      </c>
      <c r="AU58" s="23">
        <v>7.3863636363636367E-2</v>
      </c>
      <c r="AW58" s="100">
        <v>4.5454545454545456E-2</v>
      </c>
      <c r="BA58" s="23">
        <v>0</v>
      </c>
      <c r="BB58" s="23">
        <v>0</v>
      </c>
      <c r="BC58" s="23">
        <v>0.5</v>
      </c>
      <c r="BD58" s="23">
        <v>0.5</v>
      </c>
      <c r="BG58" s="23">
        <v>0.22222222222222221</v>
      </c>
      <c r="BI58" s="100">
        <v>11.363636363636363</v>
      </c>
      <c r="BL58" s="23">
        <v>0.33333333333333331</v>
      </c>
      <c r="BM58" s="23">
        <v>0</v>
      </c>
      <c r="BN58" s="23">
        <v>0.66666666666666663</v>
      </c>
      <c r="BQ58" s="100">
        <v>9</v>
      </c>
      <c r="BU58" s="23">
        <v>0.7</v>
      </c>
      <c r="BV58" s="23">
        <v>0.46296296296296297</v>
      </c>
      <c r="BW58" s="23">
        <v>0.70422535211267601</v>
      </c>
      <c r="BX58" s="23">
        <v>0.66666666666666663</v>
      </c>
      <c r="BY58" s="23">
        <v>0.75</v>
      </c>
      <c r="BZ58" s="23">
        <v>0</v>
      </c>
      <c r="CD58" s="23">
        <v>0.51851851851851849</v>
      </c>
      <c r="CE58" s="23">
        <v>0.7407407407407407</v>
      </c>
      <c r="CF58" s="23">
        <v>0.5714285714285714</v>
      </c>
      <c r="CG58" s="23">
        <v>0.69565217391304346</v>
      </c>
      <c r="CH58" s="23">
        <v>0.69230769230769229</v>
      </c>
      <c r="CI58" s="23">
        <v>0.57894736842105265</v>
      </c>
      <c r="CN58" s="23">
        <v>2.4390243902439025E-2</v>
      </c>
      <c r="CO58" s="23">
        <v>0.33333333333333331</v>
      </c>
      <c r="CP58" s="23">
        <v>0.125</v>
      </c>
      <c r="CQ58" s="23">
        <v>0.25</v>
      </c>
      <c r="CR58" s="23">
        <v>0.5</v>
      </c>
      <c r="CS58" s="23">
        <v>0.66666666666666663</v>
      </c>
    </row>
    <row r="59" spans="3:97" x14ac:dyDescent="0.25">
      <c r="C59" s="21">
        <v>0</v>
      </c>
      <c r="D59" s="21">
        <v>100</v>
      </c>
      <c r="E59" s="21">
        <v>114.75409836065573</v>
      </c>
      <c r="F59" s="21">
        <v>32.258064516129032</v>
      </c>
      <c r="G59" s="21">
        <v>96.15384615384616</v>
      </c>
      <c r="H59" s="21">
        <v>0</v>
      </c>
      <c r="K59" s="23">
        <v>0</v>
      </c>
      <c r="L59" s="23">
        <v>0</v>
      </c>
      <c r="M59" s="23">
        <v>7.8947368421052628</v>
      </c>
      <c r="O59" s="23">
        <v>0</v>
      </c>
      <c r="P59" s="23">
        <v>38.095238095238095</v>
      </c>
      <c r="Q59" s="23">
        <v>50</v>
      </c>
      <c r="R59" s="23">
        <v>0</v>
      </c>
      <c r="V59" s="23">
        <v>0.20799999999999999</v>
      </c>
      <c r="W59" s="23">
        <v>0.152</v>
      </c>
      <c r="X59" s="23">
        <v>0.40400000000000003</v>
      </c>
      <c r="Y59" s="23">
        <v>0.152</v>
      </c>
      <c r="Z59" s="23">
        <v>4.8000000000000001E-2</v>
      </c>
      <c r="AA59" s="23">
        <v>3.5999999999999997E-2</v>
      </c>
      <c r="AE59" s="23">
        <v>0</v>
      </c>
      <c r="AF59" s="23">
        <v>0.2</v>
      </c>
      <c r="AG59" s="23">
        <v>3.2786885245901641E-2</v>
      </c>
      <c r="AH59" s="23">
        <v>6.4516129032258063E-2</v>
      </c>
      <c r="AI59" s="23">
        <v>1.9230769230769232E-2</v>
      </c>
      <c r="AJ59" s="23">
        <v>0</v>
      </c>
      <c r="AO59" s="23">
        <v>3.3333333333333333E-2</v>
      </c>
      <c r="AP59" s="23">
        <v>0</v>
      </c>
      <c r="AQ59" s="23">
        <v>6.8965517241379309E-2</v>
      </c>
      <c r="AR59" s="23">
        <v>4.3478260869565216E-2</v>
      </c>
      <c r="AS59" s="23">
        <v>3.125E-2</v>
      </c>
      <c r="AT59" s="23">
        <v>0</v>
      </c>
      <c r="AU59" s="23">
        <v>4.2328042328042326E-2</v>
      </c>
      <c r="AW59" s="100">
        <v>6.8783068783068779E-2</v>
      </c>
      <c r="BB59" s="23">
        <v>1</v>
      </c>
      <c r="BC59" s="23">
        <v>1</v>
      </c>
      <c r="BD59" s="23">
        <v>0.5</v>
      </c>
      <c r="BE59" s="23">
        <v>1</v>
      </c>
      <c r="BG59" s="23">
        <v>0.8</v>
      </c>
      <c r="BI59" s="100">
        <v>21.164021164021165</v>
      </c>
      <c r="BL59" s="23">
        <v>0.2857142857142857</v>
      </c>
      <c r="BM59" s="23">
        <v>0</v>
      </c>
      <c r="BN59" s="23">
        <v>0.7142857142857143</v>
      </c>
      <c r="BQ59" s="100">
        <v>5</v>
      </c>
      <c r="BU59" s="23">
        <v>0.61538461538461542</v>
      </c>
      <c r="BV59" s="23">
        <v>0.57894736842105265</v>
      </c>
      <c r="BW59" s="23">
        <v>0.6633663366336634</v>
      </c>
      <c r="BX59" s="23">
        <v>0.63157894736842102</v>
      </c>
      <c r="BY59" s="23">
        <v>0.5</v>
      </c>
      <c r="BZ59" s="23">
        <v>0.22222222222222221</v>
      </c>
      <c r="CD59" s="23">
        <v>0.5</v>
      </c>
      <c r="CE59" s="23">
        <v>0.875</v>
      </c>
      <c r="CF59" s="23">
        <v>0.65517241379310343</v>
      </c>
      <c r="CG59" s="23">
        <v>0.60869565217391308</v>
      </c>
      <c r="CH59" s="23">
        <v>0.6875</v>
      </c>
      <c r="CI59" s="23">
        <v>0.6</v>
      </c>
      <c r="CN59" s="23">
        <v>4.3478260869565216E-2</v>
      </c>
      <c r="CO59" s="23">
        <v>0</v>
      </c>
      <c r="CP59" s="23">
        <v>0.5</v>
      </c>
      <c r="CQ59" s="23">
        <v>0.23529411764705882</v>
      </c>
      <c r="CR59" s="23">
        <v>0.18181818181818182</v>
      </c>
      <c r="CS59" s="23">
        <v>0.33333333333333331</v>
      </c>
    </row>
    <row r="60" spans="3:97" x14ac:dyDescent="0.25">
      <c r="C60" s="21">
        <v>16.393442622950818</v>
      </c>
      <c r="D60" s="21">
        <v>65.78947368421052</v>
      </c>
      <c r="E60" s="21">
        <v>88.888888888888886</v>
      </c>
      <c r="F60" s="21">
        <v>80</v>
      </c>
      <c r="G60" s="21">
        <v>0</v>
      </c>
      <c r="H60" s="21">
        <v>0</v>
      </c>
      <c r="K60" s="23">
        <v>0</v>
      </c>
      <c r="L60" s="23">
        <v>14.285714285714285</v>
      </c>
      <c r="M60" s="23">
        <v>15.686274509803921</v>
      </c>
      <c r="N60" s="23">
        <v>16.666666666666664</v>
      </c>
      <c r="O60" s="23">
        <v>0</v>
      </c>
      <c r="P60" s="23">
        <v>5.8823529411764701</v>
      </c>
      <c r="Q60" s="23">
        <v>33.333333333333329</v>
      </c>
      <c r="R60" s="23">
        <v>0</v>
      </c>
      <c r="V60" s="23">
        <v>0.16</v>
      </c>
      <c r="W60" s="23">
        <v>0.24399999999999999</v>
      </c>
      <c r="X60" s="23">
        <v>0.36799999999999999</v>
      </c>
      <c r="Y60" s="23">
        <v>0.14799999999999999</v>
      </c>
      <c r="Z60" s="23">
        <v>3.5999999999999997E-2</v>
      </c>
      <c r="AA60" s="23">
        <v>4.3999999999999997E-2</v>
      </c>
      <c r="AE60" s="23">
        <v>4.9180327868852458E-2</v>
      </c>
      <c r="AF60" s="23">
        <v>7.8947368421052627E-2</v>
      </c>
      <c r="AG60" s="23">
        <v>2.2222222222222223E-2</v>
      </c>
      <c r="AH60" s="23">
        <v>0.04</v>
      </c>
      <c r="AI60" s="23">
        <v>0</v>
      </c>
      <c r="AJ60" s="23">
        <v>0</v>
      </c>
      <c r="AO60" s="23">
        <v>0</v>
      </c>
      <c r="AP60" s="23">
        <v>2.9411764705882353E-2</v>
      </c>
      <c r="AQ60" s="23">
        <v>7.6923076923076927E-2</v>
      </c>
      <c r="AR60" s="23">
        <v>0.1</v>
      </c>
      <c r="AS60" s="23">
        <v>0.16666666666666666</v>
      </c>
      <c r="AT60" s="23">
        <v>0</v>
      </c>
      <c r="AU60" s="23">
        <v>4.0201005025125629E-2</v>
      </c>
      <c r="AW60" s="100">
        <v>4.5226130653266333E-2</v>
      </c>
      <c r="BA60" s="23">
        <v>0.5</v>
      </c>
      <c r="BB60" s="23">
        <v>0.5</v>
      </c>
      <c r="BC60" s="23">
        <v>1</v>
      </c>
      <c r="BD60" s="23">
        <v>1</v>
      </c>
      <c r="BG60" s="23">
        <v>0.66666666666666663</v>
      </c>
      <c r="BI60" s="100">
        <v>30.150753768844222</v>
      </c>
      <c r="BL60" s="23">
        <v>0.33333333333333331</v>
      </c>
      <c r="BM60" s="23">
        <v>0</v>
      </c>
      <c r="BN60" s="23">
        <v>0.66666666666666663</v>
      </c>
      <c r="BQ60" s="100">
        <v>9</v>
      </c>
      <c r="BU60" s="23">
        <v>0.45</v>
      </c>
      <c r="BV60" s="23">
        <v>0.32786885245901637</v>
      </c>
      <c r="BW60" s="23">
        <v>0.80434782608695654</v>
      </c>
      <c r="BX60" s="23">
        <v>0.64864864864864868</v>
      </c>
      <c r="BY60" s="23">
        <v>0.66666666666666663</v>
      </c>
      <c r="BZ60" s="23">
        <v>0.18181818181818182</v>
      </c>
      <c r="CD60" s="23">
        <v>0.49122807017543857</v>
      </c>
      <c r="CE60" s="23">
        <v>0.75</v>
      </c>
      <c r="CF60" s="23">
        <v>0.66666666666666663</v>
      </c>
      <c r="CG60" s="23">
        <v>0.55000000000000004</v>
      </c>
      <c r="CH60" s="23">
        <v>0.33333333333333331</v>
      </c>
      <c r="CI60" s="23">
        <v>0.66666666666666663</v>
      </c>
      <c r="CN60" s="23">
        <v>0</v>
      </c>
      <c r="CO60" s="23">
        <v>0.22222222222222221</v>
      </c>
      <c r="CP60" s="23">
        <v>0.27272727272727271</v>
      </c>
      <c r="CQ60" s="23">
        <v>0.42857142857142855</v>
      </c>
      <c r="CR60" s="23">
        <v>0.33333333333333331</v>
      </c>
      <c r="CS60" s="23">
        <v>0</v>
      </c>
    </row>
    <row r="61" spans="3:97" x14ac:dyDescent="0.25">
      <c r="C61" s="21">
        <v>49.180327868852459</v>
      </c>
      <c r="D61" s="21">
        <v>32.258064516129032</v>
      </c>
      <c r="E61" s="21">
        <v>125</v>
      </c>
      <c r="F61" s="21">
        <v>83.333333333333329</v>
      </c>
      <c r="G61" s="21">
        <v>0</v>
      </c>
      <c r="H61" s="21">
        <v>21.276595744680851</v>
      </c>
      <c r="K61" s="23">
        <v>0</v>
      </c>
      <c r="L61" s="23">
        <v>11.111111111111111</v>
      </c>
      <c r="M61" s="23">
        <v>10.256410256410255</v>
      </c>
      <c r="N61" s="23">
        <v>0</v>
      </c>
      <c r="O61" s="23">
        <v>0</v>
      </c>
      <c r="P61" s="23">
        <v>21.052631578947366</v>
      </c>
      <c r="Q61" s="23">
        <v>22.222222222222221</v>
      </c>
      <c r="R61" s="23">
        <v>25</v>
      </c>
      <c r="V61" s="23">
        <v>0.20799999999999999</v>
      </c>
      <c r="W61" s="23">
        <v>0.20799999999999999</v>
      </c>
      <c r="X61" s="23">
        <v>0.36</v>
      </c>
      <c r="Y61" s="23">
        <v>0.14000000000000001</v>
      </c>
      <c r="Z61" s="23">
        <v>3.5999999999999997E-2</v>
      </c>
      <c r="AA61" s="23">
        <v>4.8000000000000001E-2</v>
      </c>
      <c r="AE61" s="23">
        <v>3.2786885245901641E-2</v>
      </c>
      <c r="AF61" s="23">
        <v>0.12903225806451613</v>
      </c>
      <c r="AG61" s="23">
        <v>6.25E-2</v>
      </c>
      <c r="AH61" s="23">
        <v>8.3333333333333329E-2</v>
      </c>
      <c r="AI61" s="23">
        <v>2.8169014084507043E-2</v>
      </c>
      <c r="AJ61" s="23">
        <v>2.1276595744680851E-2</v>
      </c>
      <c r="AO61" s="23">
        <v>0</v>
      </c>
      <c r="AP61" s="23">
        <v>3.7037037037037035E-2</v>
      </c>
      <c r="AQ61" s="23">
        <v>0</v>
      </c>
      <c r="AR61" s="23">
        <v>0.16666666666666666</v>
      </c>
      <c r="AS61" s="23">
        <v>6.6666666666666666E-2</v>
      </c>
      <c r="AT61" s="23">
        <v>4.1666666666666664E-2</v>
      </c>
      <c r="AU61" s="23">
        <v>4.3010752688172046E-2</v>
      </c>
      <c r="AW61" s="100">
        <v>3.7634408602150539E-2</v>
      </c>
      <c r="BA61" s="23">
        <v>1</v>
      </c>
      <c r="BB61" s="23">
        <v>0.66666666666666663</v>
      </c>
      <c r="BC61" s="23">
        <v>1</v>
      </c>
      <c r="BD61" s="23">
        <v>0.5</v>
      </c>
      <c r="BE61" s="23">
        <v>0</v>
      </c>
      <c r="BG61" s="23">
        <v>0.625</v>
      </c>
      <c r="BI61" s="100">
        <v>26.881720430107528</v>
      </c>
      <c r="BL61" s="23">
        <v>0</v>
      </c>
      <c r="BM61" s="23">
        <v>0</v>
      </c>
      <c r="BN61" s="23">
        <v>1</v>
      </c>
      <c r="BQ61" s="100">
        <v>8</v>
      </c>
      <c r="BU61" s="23">
        <v>0.69230769230769229</v>
      </c>
      <c r="BV61" s="23">
        <v>0.44230769230769229</v>
      </c>
      <c r="BW61" s="23">
        <v>0.75555555555555554</v>
      </c>
      <c r="BX61" s="23">
        <v>0.51428571428571423</v>
      </c>
      <c r="BY61" s="23">
        <v>0.66666666666666663</v>
      </c>
      <c r="BZ61" s="23">
        <v>8.3333333333333329E-2</v>
      </c>
      <c r="CD61" s="23">
        <v>0.54385964912280704</v>
      </c>
      <c r="CE61" s="23">
        <v>0.70370370370370372</v>
      </c>
      <c r="CF61" s="23">
        <v>0.66666666666666663</v>
      </c>
      <c r="CG61" s="23">
        <v>0.83333333333333337</v>
      </c>
      <c r="CH61" s="23">
        <v>0.6</v>
      </c>
      <c r="CI61" s="23">
        <v>0.54166666666666663</v>
      </c>
      <c r="CN61" s="23">
        <v>2.8571428571428571E-2</v>
      </c>
      <c r="CO61" s="23">
        <v>0.1111111111111111</v>
      </c>
      <c r="CP61" s="23">
        <v>0</v>
      </c>
      <c r="CQ61" s="23">
        <v>0.75</v>
      </c>
      <c r="CR61" s="23">
        <v>0.33333333333333331</v>
      </c>
      <c r="CS61" s="23">
        <v>0.25</v>
      </c>
    </row>
    <row r="62" spans="3:97" x14ac:dyDescent="0.25">
      <c r="C62" s="21">
        <v>333.33333333333331</v>
      </c>
      <c r="D62" s="21">
        <v>36.363636363636367</v>
      </c>
      <c r="E62" s="21">
        <v>51.948051948051948</v>
      </c>
      <c r="F62" s="21">
        <v>80</v>
      </c>
      <c r="G62" s="21">
        <v>0</v>
      </c>
      <c r="H62" s="21">
        <v>0</v>
      </c>
      <c r="K62" s="23">
        <v>0</v>
      </c>
      <c r="L62" s="23">
        <v>0</v>
      </c>
      <c r="M62" s="23">
        <v>12.76595744680851</v>
      </c>
      <c r="N62" s="23">
        <v>0</v>
      </c>
      <c r="O62" s="23">
        <v>0</v>
      </c>
      <c r="P62" s="23">
        <v>8</v>
      </c>
      <c r="Q62" s="23">
        <v>0</v>
      </c>
      <c r="R62" s="23">
        <v>33.333333333333329</v>
      </c>
      <c r="V62" s="23">
        <v>0.2</v>
      </c>
      <c r="W62" s="23">
        <v>0.12</v>
      </c>
      <c r="X62" s="23">
        <v>0.46800000000000003</v>
      </c>
      <c r="Y62" s="23">
        <v>0.128</v>
      </c>
      <c r="Z62" s="23">
        <v>4.3999999999999997E-2</v>
      </c>
      <c r="AA62" s="23">
        <v>0.04</v>
      </c>
      <c r="AE62" s="23">
        <v>0</v>
      </c>
      <c r="AF62" s="23">
        <v>5.4545454545454543E-2</v>
      </c>
      <c r="AG62" s="23">
        <v>3.896103896103896E-2</v>
      </c>
      <c r="AH62" s="23">
        <v>5.3333333333333337E-2</v>
      </c>
      <c r="AI62" s="23">
        <v>0</v>
      </c>
      <c r="AJ62" s="23">
        <v>0</v>
      </c>
      <c r="AO62" s="23">
        <v>0</v>
      </c>
      <c r="AP62" s="23">
        <v>0</v>
      </c>
      <c r="AQ62" s="23">
        <v>6.1538461538461542E-2</v>
      </c>
      <c r="AR62" s="23">
        <v>9.6153846153846159E-2</v>
      </c>
      <c r="AS62" s="23">
        <v>0</v>
      </c>
      <c r="AT62" s="23">
        <v>0.33333333333333331</v>
      </c>
      <c r="AU62" s="23">
        <v>5.7894736842105263E-2</v>
      </c>
      <c r="AW62" s="100">
        <v>1.5789473684210527E-2</v>
      </c>
      <c r="BB62" s="23">
        <v>0.5</v>
      </c>
      <c r="BC62" s="23">
        <v>0.66666666666666663</v>
      </c>
      <c r="BD62" s="23">
        <v>1</v>
      </c>
      <c r="BG62" s="23">
        <v>0.7142857142857143</v>
      </c>
      <c r="BI62" s="100">
        <v>26.315789473684209</v>
      </c>
      <c r="BL62" s="23">
        <v>0.33333333333333331</v>
      </c>
      <c r="BM62" s="23">
        <v>0</v>
      </c>
      <c r="BN62" s="23">
        <v>0.66666666666666663</v>
      </c>
      <c r="BQ62" s="100">
        <v>7</v>
      </c>
      <c r="BU62" s="23">
        <v>0.57999999999999996</v>
      </c>
      <c r="BV62" s="23">
        <v>0.6</v>
      </c>
      <c r="BW62" s="23">
        <v>0.69230769230769229</v>
      </c>
      <c r="BX62" s="23">
        <v>0.4375</v>
      </c>
      <c r="BY62" s="23">
        <v>0.63636363636363635</v>
      </c>
      <c r="BZ62" s="23">
        <v>0.2</v>
      </c>
      <c r="CD62" s="23">
        <v>0.33333333333333331</v>
      </c>
      <c r="CE62" s="23">
        <v>0.72</v>
      </c>
      <c r="CF62" s="23">
        <v>0.67692307692307696</v>
      </c>
      <c r="CG62" s="23">
        <v>0.55769230769230771</v>
      </c>
      <c r="CH62" s="23">
        <v>0.5714285714285714</v>
      </c>
      <c r="CI62" s="23">
        <v>0.33333333333333331</v>
      </c>
      <c r="CN62" s="23">
        <v>0</v>
      </c>
      <c r="CO62" s="23">
        <v>0.11764705882352941</v>
      </c>
      <c r="CP62" s="23">
        <v>0.25</v>
      </c>
      <c r="CQ62" s="23">
        <v>0.6</v>
      </c>
      <c r="CR62" s="23">
        <v>0</v>
      </c>
      <c r="CS62" s="23">
        <v>0.5</v>
      </c>
    </row>
    <row r="63" spans="3:97" x14ac:dyDescent="0.25">
      <c r="C63" s="21">
        <v>68.181818181818187</v>
      </c>
      <c r="D63" s="21">
        <v>105.26315789473684</v>
      </c>
      <c r="E63" s="21">
        <v>60</v>
      </c>
      <c r="F63" s="21">
        <v>96.774193548387103</v>
      </c>
      <c r="H63" s="21">
        <v>0</v>
      </c>
      <c r="K63" s="23">
        <v>0</v>
      </c>
      <c r="L63" s="23">
        <v>0</v>
      </c>
      <c r="M63" s="23">
        <v>14.285714285714285</v>
      </c>
      <c r="N63" s="23">
        <v>0</v>
      </c>
      <c r="O63" s="23">
        <v>0</v>
      </c>
      <c r="P63" s="23">
        <v>17.647058823529413</v>
      </c>
      <c r="Q63" s="23">
        <v>33.333333333333329</v>
      </c>
      <c r="R63" s="23">
        <v>50</v>
      </c>
      <c r="V63" s="23">
        <v>0.13200000000000001</v>
      </c>
      <c r="W63" s="23">
        <v>0.316</v>
      </c>
      <c r="X63" s="23">
        <v>0.34399999999999997</v>
      </c>
      <c r="Y63" s="23">
        <v>0.152</v>
      </c>
      <c r="Z63" s="23">
        <v>1.2E-2</v>
      </c>
      <c r="AA63" s="23">
        <v>4.3999999999999997E-2</v>
      </c>
      <c r="AE63" s="23">
        <v>3.4090909090909088E-2</v>
      </c>
      <c r="AF63" s="23">
        <v>1.7543859649122806E-2</v>
      </c>
      <c r="AG63" s="23">
        <v>0.08</v>
      </c>
      <c r="AH63" s="23">
        <v>9.6774193548387094E-2</v>
      </c>
      <c r="AJ63" s="23">
        <v>0</v>
      </c>
      <c r="AO63" s="23">
        <v>0</v>
      </c>
      <c r="AP63" s="23">
        <v>1.8867924528301886E-2</v>
      </c>
      <c r="AQ63" s="23">
        <v>0.13157894736842105</v>
      </c>
      <c r="AR63" s="23">
        <v>0</v>
      </c>
      <c r="AT63" s="23">
        <v>0.1111111111111111</v>
      </c>
      <c r="AU63" s="23">
        <v>3.3980582524271843E-2</v>
      </c>
      <c r="AW63" s="100">
        <v>2.9126213592233011E-2</v>
      </c>
      <c r="BA63" s="23">
        <v>0.4</v>
      </c>
      <c r="BC63" s="23">
        <v>1</v>
      </c>
      <c r="BD63" s="23">
        <v>1</v>
      </c>
      <c r="BG63" s="23">
        <v>0.7</v>
      </c>
      <c r="BI63" s="100">
        <v>33.980582524271846</v>
      </c>
      <c r="BL63" s="23">
        <v>0.3</v>
      </c>
      <c r="BM63" s="23">
        <v>0.3</v>
      </c>
      <c r="BN63" s="23">
        <v>0.4</v>
      </c>
      <c r="BQ63" s="100">
        <v>10</v>
      </c>
      <c r="BU63" s="23">
        <v>0.54545454545454541</v>
      </c>
      <c r="BV63" s="23">
        <v>0.49367088607594939</v>
      </c>
      <c r="BW63" s="23">
        <v>0.76744186046511631</v>
      </c>
      <c r="BX63" s="23">
        <v>0.52631578947368418</v>
      </c>
      <c r="BY63" s="23">
        <v>0.66666666666666663</v>
      </c>
      <c r="BZ63" s="23">
        <v>9.0909090909090912E-2</v>
      </c>
      <c r="CD63" s="23">
        <v>0.48809523809523808</v>
      </c>
      <c r="CE63" s="23">
        <v>0.75471698113207553</v>
      </c>
      <c r="CF63" s="23">
        <v>0.71052631578947367</v>
      </c>
      <c r="CG63" s="23">
        <v>0.68181818181818177</v>
      </c>
      <c r="CI63" s="23">
        <v>0.44444444444444442</v>
      </c>
      <c r="CN63" s="23">
        <v>0</v>
      </c>
      <c r="CO63" s="23">
        <v>0.22222222222222221</v>
      </c>
      <c r="CP63" s="23">
        <v>0.375</v>
      </c>
      <c r="CQ63" s="23">
        <v>0.33333333333333331</v>
      </c>
      <c r="CS63" s="23">
        <v>0.25</v>
      </c>
    </row>
    <row r="64" spans="3:97" x14ac:dyDescent="0.25">
      <c r="C64" s="21">
        <v>66.666666666666671</v>
      </c>
      <c r="D64" s="21">
        <v>200</v>
      </c>
      <c r="E64" s="21">
        <v>0</v>
      </c>
      <c r="F64" s="21">
        <v>112.90322580645162</v>
      </c>
      <c r="G64" s="21">
        <v>25.641025641025642</v>
      </c>
      <c r="H64" s="21">
        <v>0</v>
      </c>
      <c r="K64" s="23">
        <v>0</v>
      </c>
      <c r="L64" s="23">
        <v>7.6923076923076925</v>
      </c>
      <c r="M64" s="23">
        <v>5.2631578947368416</v>
      </c>
      <c r="N64" s="23">
        <v>0</v>
      </c>
      <c r="O64" s="23">
        <v>0</v>
      </c>
      <c r="P64" s="23">
        <v>10</v>
      </c>
      <c r="Q64" s="23">
        <v>37.5</v>
      </c>
      <c r="R64" s="23">
        <v>0</v>
      </c>
      <c r="V64" s="23">
        <v>0.24399999999999999</v>
      </c>
      <c r="W64" s="23">
        <v>0.184</v>
      </c>
      <c r="X64" s="23">
        <v>0.4</v>
      </c>
      <c r="Y64" s="23">
        <v>9.1999999999999998E-2</v>
      </c>
      <c r="Z64" s="23">
        <v>4.8000000000000001E-2</v>
      </c>
      <c r="AA64" s="23">
        <v>3.2000000000000001E-2</v>
      </c>
      <c r="AE64" s="23">
        <v>0</v>
      </c>
      <c r="AF64" s="23">
        <v>0</v>
      </c>
      <c r="AG64" s="23">
        <v>5.5555555555555552E-2</v>
      </c>
      <c r="AH64" s="23">
        <v>4.8387096774193547E-2</v>
      </c>
      <c r="AI64" s="23">
        <v>3.8461538461538464E-2</v>
      </c>
      <c r="AJ64" s="23">
        <v>1.7543859649122806E-2</v>
      </c>
      <c r="AO64" s="23">
        <v>3.3333333333333333E-2</v>
      </c>
      <c r="AP64" s="23">
        <v>0</v>
      </c>
      <c r="AQ64" s="23">
        <v>5.8823529411764705E-2</v>
      </c>
      <c r="AR64" s="23">
        <v>9.3023255813953487E-2</v>
      </c>
      <c r="AS64" s="23">
        <v>5.6603773584905662E-2</v>
      </c>
      <c r="AT64" s="23">
        <v>3.0303030303030304E-2</v>
      </c>
      <c r="AU64" s="23">
        <v>5.5248618784530384E-2</v>
      </c>
      <c r="AW64" s="100">
        <v>2.2099447513812154E-2</v>
      </c>
      <c r="BA64" s="23">
        <v>1</v>
      </c>
      <c r="BC64" s="23">
        <v>0</v>
      </c>
      <c r="BD64" s="23">
        <v>1</v>
      </c>
      <c r="BE64" s="23">
        <v>0.5</v>
      </c>
      <c r="BF64" s="23">
        <v>1</v>
      </c>
      <c r="BG64" s="23">
        <v>0.7142857142857143</v>
      </c>
      <c r="BI64" s="100">
        <v>27.624309392265193</v>
      </c>
      <c r="BL64" s="23">
        <v>0.625</v>
      </c>
      <c r="BM64" s="23">
        <v>0</v>
      </c>
      <c r="BN64" s="23">
        <v>0.375</v>
      </c>
      <c r="BQ64" s="100">
        <v>7</v>
      </c>
      <c r="BU64" s="23">
        <v>0.67213114754098358</v>
      </c>
      <c r="BV64" s="23">
        <v>0.43478260869565216</v>
      </c>
      <c r="BW64" s="23">
        <v>0.67</v>
      </c>
      <c r="BX64" s="23">
        <v>0.65217391304347827</v>
      </c>
      <c r="BY64" s="23">
        <v>0.58333333333333337</v>
      </c>
      <c r="BZ64" s="23">
        <v>0.125</v>
      </c>
      <c r="CD64" s="23">
        <v>0.53333333333333333</v>
      </c>
      <c r="CE64" s="23">
        <v>0.4</v>
      </c>
      <c r="CF64" s="23">
        <v>0.47058823529411764</v>
      </c>
      <c r="CG64" s="23">
        <v>0.67441860465116277</v>
      </c>
      <c r="CH64" s="23">
        <v>0.660377358490566</v>
      </c>
      <c r="CI64" s="23">
        <v>0.5757575757575758</v>
      </c>
      <c r="CN64" s="23">
        <v>0.05</v>
      </c>
      <c r="CO64" s="23">
        <v>0</v>
      </c>
      <c r="CP64" s="23">
        <v>0.3</v>
      </c>
      <c r="CQ64" s="23">
        <v>0.6</v>
      </c>
      <c r="CR64" s="23">
        <v>0.25</v>
      </c>
      <c r="CS64" s="23">
        <v>0.33333333333333331</v>
      </c>
    </row>
    <row r="65" spans="3:97" x14ac:dyDescent="0.25">
      <c r="D65" s="21">
        <v>74.074074074074076</v>
      </c>
      <c r="E65" s="21">
        <v>103.44827586206897</v>
      </c>
      <c r="F65" s="21">
        <v>48.387096774193552</v>
      </c>
      <c r="G65" s="21">
        <v>0</v>
      </c>
      <c r="H65" s="21">
        <v>0</v>
      </c>
      <c r="K65" s="23">
        <v>0</v>
      </c>
      <c r="L65" s="23">
        <v>0</v>
      </c>
      <c r="M65" s="23">
        <v>2.1739130434782608</v>
      </c>
      <c r="N65" s="23">
        <v>0</v>
      </c>
      <c r="O65" s="23">
        <v>0</v>
      </c>
      <c r="P65" s="23">
        <v>16.129032258064516</v>
      </c>
      <c r="Q65" s="23">
        <v>40</v>
      </c>
      <c r="R65" s="23">
        <v>33.333333333333329</v>
      </c>
      <c r="V65" s="23">
        <v>0.2</v>
      </c>
      <c r="W65" s="23">
        <v>0.128</v>
      </c>
      <c r="X65" s="23">
        <v>0.45200000000000001</v>
      </c>
      <c r="Y65" s="23">
        <v>0.13200000000000001</v>
      </c>
      <c r="Z65" s="23">
        <v>3.5999999999999997E-2</v>
      </c>
      <c r="AA65" s="23">
        <v>5.1999999999999998E-2</v>
      </c>
      <c r="AF65" s="23">
        <v>3.7037037037037035E-2</v>
      </c>
      <c r="AG65" s="23">
        <v>4.5977011494252873E-2</v>
      </c>
      <c r="AH65" s="23">
        <v>6.4516129032258063E-2</v>
      </c>
      <c r="AI65" s="23">
        <v>0.10714285714285714</v>
      </c>
      <c r="AJ65" s="23">
        <v>0</v>
      </c>
      <c r="AP65" s="23">
        <v>1.9230769230769232E-2</v>
      </c>
      <c r="AQ65" s="23">
        <v>0.11594202898550725</v>
      </c>
      <c r="AR65" s="23">
        <v>4.7619047619047616E-2</v>
      </c>
      <c r="AS65" s="23">
        <v>6.6666666666666666E-2</v>
      </c>
      <c r="AT65" s="23">
        <v>0.1111111111111111</v>
      </c>
      <c r="AU65" s="23">
        <v>6.9518716577540107E-2</v>
      </c>
      <c r="AW65" s="100">
        <v>3.2085561497326207E-2</v>
      </c>
      <c r="BB65" s="23">
        <v>0</v>
      </c>
      <c r="BC65" s="23">
        <v>0.33333333333333331</v>
      </c>
      <c r="BD65" s="23">
        <v>1</v>
      </c>
      <c r="BE65" s="23">
        <v>0.66666666666666663</v>
      </c>
      <c r="BG65" s="23">
        <v>0.5</v>
      </c>
      <c r="BI65" s="100">
        <v>21.390374331550802</v>
      </c>
      <c r="BL65" s="23">
        <v>0.8</v>
      </c>
      <c r="BM65" s="23">
        <v>0</v>
      </c>
      <c r="BN65" s="23">
        <v>0.2</v>
      </c>
      <c r="BQ65" s="100">
        <v>8</v>
      </c>
      <c r="BU65" s="23">
        <v>0.62</v>
      </c>
      <c r="BV65" s="23">
        <v>0.5625</v>
      </c>
      <c r="BW65" s="23">
        <v>0.76106194690265483</v>
      </c>
      <c r="BX65" s="23">
        <v>0.66666666666666663</v>
      </c>
      <c r="BY65" s="23">
        <v>0.66666666666666663</v>
      </c>
      <c r="BZ65" s="23">
        <v>0.23076923076923078</v>
      </c>
      <c r="CE65" s="23">
        <v>0.69230769230769229</v>
      </c>
      <c r="CF65" s="23">
        <v>0.72463768115942029</v>
      </c>
      <c r="CG65" s="23">
        <v>0.6428571428571429</v>
      </c>
      <c r="CH65" s="23">
        <v>0.8</v>
      </c>
      <c r="CI65" s="23">
        <v>0.77777777777777779</v>
      </c>
      <c r="CO65" s="23">
        <v>6.25E-2</v>
      </c>
      <c r="CP65" s="23">
        <v>0.36</v>
      </c>
      <c r="CQ65" s="23">
        <v>0.18181818181818182</v>
      </c>
      <c r="CR65" s="23">
        <v>0.14285714285714285</v>
      </c>
      <c r="CS65" s="23">
        <v>0.5</v>
      </c>
    </row>
    <row r="66" spans="3:97" x14ac:dyDescent="0.25">
      <c r="C66" s="21">
        <v>21.978021978021978</v>
      </c>
      <c r="D66" s="21">
        <v>53.571428571428569</v>
      </c>
      <c r="E66" s="21">
        <v>45.454545454545453</v>
      </c>
      <c r="G66" s="21">
        <v>0</v>
      </c>
      <c r="H66" s="21">
        <v>0</v>
      </c>
      <c r="K66" s="23">
        <v>0</v>
      </c>
      <c r="L66" s="23">
        <v>0</v>
      </c>
      <c r="M66" s="23">
        <v>8.3333333333333321</v>
      </c>
      <c r="N66" s="23">
        <v>0</v>
      </c>
      <c r="O66" s="23">
        <v>4.3478260869565215</v>
      </c>
      <c r="P66" s="23">
        <v>11.111111111111111</v>
      </c>
      <c r="Q66" s="23">
        <v>20</v>
      </c>
      <c r="R66" s="23">
        <v>20</v>
      </c>
      <c r="V66" s="23">
        <v>0.20399999999999999</v>
      </c>
      <c r="W66" s="23">
        <v>0.32</v>
      </c>
      <c r="X66" s="23">
        <v>0.30399999999999999</v>
      </c>
      <c r="Y66" s="23">
        <v>0.108</v>
      </c>
      <c r="Z66" s="23">
        <v>2.4E-2</v>
      </c>
      <c r="AA66" s="23">
        <v>0.04</v>
      </c>
      <c r="AE66" s="23">
        <v>5.4945054945054944E-2</v>
      </c>
      <c r="AF66" s="23">
        <v>3.5714285714285712E-2</v>
      </c>
      <c r="AG66" s="23">
        <v>9.0909090909090912E-2</v>
      </c>
      <c r="AI66" s="23">
        <v>0</v>
      </c>
      <c r="AJ66" s="23">
        <v>1.9230769230769232E-2</v>
      </c>
      <c r="AO66" s="23">
        <v>0</v>
      </c>
      <c r="AP66" s="23">
        <v>7.6923076923076927E-2</v>
      </c>
      <c r="AQ66" s="23">
        <v>6.25E-2</v>
      </c>
      <c r="AS66" s="23">
        <v>5.8823529411764705E-2</v>
      </c>
      <c r="AT66" s="23">
        <v>5.2631578947368418E-2</v>
      </c>
      <c r="AU66" s="23">
        <v>3.7037037037037035E-2</v>
      </c>
      <c r="AW66" s="100">
        <v>1.5873015873015872E-2</v>
      </c>
      <c r="BA66" s="23">
        <v>0.5</v>
      </c>
      <c r="BB66" s="23">
        <v>0.5</v>
      </c>
      <c r="BC66" s="23">
        <v>1</v>
      </c>
      <c r="BG66" s="23">
        <v>0.5714285714285714</v>
      </c>
      <c r="BI66" s="100">
        <v>21.164021164021165</v>
      </c>
      <c r="BL66" s="23">
        <v>0.1111111111111111</v>
      </c>
      <c r="BM66" s="23">
        <v>0.33333333333333331</v>
      </c>
      <c r="BN66" s="23">
        <v>0.55555555555555558</v>
      </c>
      <c r="BQ66" s="100">
        <v>7</v>
      </c>
      <c r="BU66" s="23">
        <v>0.56862745098039214</v>
      </c>
      <c r="BV66" s="23">
        <v>0.53749999999999998</v>
      </c>
      <c r="BW66" s="23">
        <v>0.77631578947368418</v>
      </c>
      <c r="BX66" s="23">
        <v>0.66666666666666663</v>
      </c>
      <c r="BY66" s="23">
        <v>0.66666666666666663</v>
      </c>
      <c r="BZ66" s="23">
        <v>0.2</v>
      </c>
      <c r="CD66" s="23">
        <v>0.58823529411764708</v>
      </c>
      <c r="CE66" s="23">
        <v>0.75</v>
      </c>
      <c r="CF66" s="23">
        <v>0.75</v>
      </c>
      <c r="CH66" s="23">
        <v>0.58823529411764708</v>
      </c>
      <c r="CI66" s="23">
        <v>0.68421052631578949</v>
      </c>
      <c r="CN66" s="23">
        <v>1.5873015873015872E-2</v>
      </c>
      <c r="CO66" s="23">
        <v>0.22222222222222221</v>
      </c>
      <c r="CP66" s="23">
        <v>0.4</v>
      </c>
      <c r="CR66" s="23">
        <v>0.33333333333333331</v>
      </c>
      <c r="CS66" s="23">
        <v>0.1111111111111111</v>
      </c>
    </row>
    <row r="67" spans="3:97" x14ac:dyDescent="0.25">
      <c r="C67" s="21">
        <v>32.258064516129032</v>
      </c>
      <c r="D67" s="21">
        <v>100</v>
      </c>
      <c r="E67" s="21">
        <v>62.5</v>
      </c>
      <c r="F67" s="21">
        <v>40</v>
      </c>
      <c r="G67" s="21">
        <v>0</v>
      </c>
      <c r="H67" s="21">
        <v>0</v>
      </c>
      <c r="K67" s="23">
        <v>0</v>
      </c>
      <c r="L67" s="23">
        <v>0</v>
      </c>
      <c r="M67" s="23">
        <v>9.7560975609756095</v>
      </c>
      <c r="N67" s="23">
        <v>33.333333333333329</v>
      </c>
      <c r="O67" s="23">
        <v>0</v>
      </c>
      <c r="P67" s="23">
        <v>5.2631578947368416</v>
      </c>
      <c r="Q67" s="23">
        <v>20</v>
      </c>
      <c r="R67" s="23">
        <v>0</v>
      </c>
      <c r="V67" s="23">
        <v>0.28000000000000003</v>
      </c>
      <c r="W67" s="23">
        <v>0.16800000000000001</v>
      </c>
      <c r="X67" s="23">
        <v>0.34399999999999997</v>
      </c>
      <c r="Y67" s="23">
        <v>0.124</v>
      </c>
      <c r="Z67" s="23">
        <v>0.04</v>
      </c>
      <c r="AA67" s="23">
        <v>4.3999999999999997E-2</v>
      </c>
      <c r="AE67" s="23">
        <v>9.6774193548387094E-2</v>
      </c>
      <c r="AF67" s="23">
        <v>0</v>
      </c>
      <c r="AG67" s="23">
        <v>0.1875</v>
      </c>
      <c r="AH67" s="23">
        <v>6.6666666666666666E-2</v>
      </c>
      <c r="AI67" s="23">
        <v>0</v>
      </c>
      <c r="AJ67" s="23">
        <v>0</v>
      </c>
      <c r="AO67" s="23">
        <v>0</v>
      </c>
      <c r="AP67" s="23">
        <v>0.1111111111111111</v>
      </c>
      <c r="AQ67" s="23">
        <v>0</v>
      </c>
      <c r="AR67" s="23">
        <v>3.8461538461538464E-2</v>
      </c>
      <c r="AS67" s="23">
        <v>3.7037037037037035E-2</v>
      </c>
      <c r="AT67" s="23">
        <v>5.5555555555555552E-2</v>
      </c>
      <c r="AU67" s="23">
        <v>3.5502958579881658E-2</v>
      </c>
      <c r="AW67" s="100">
        <v>2.3668639053254437E-2</v>
      </c>
      <c r="BA67" s="23">
        <v>0.66666666666666663</v>
      </c>
      <c r="BC67" s="23">
        <v>1</v>
      </c>
      <c r="BD67" s="23">
        <v>0.83333333333333337</v>
      </c>
      <c r="BG67" s="23">
        <v>0.81818181818181823</v>
      </c>
      <c r="BI67" s="100">
        <v>53.254437869822482</v>
      </c>
      <c r="BL67" s="23">
        <v>0.7142857142857143</v>
      </c>
      <c r="BM67" s="23">
        <v>0</v>
      </c>
      <c r="BN67" s="23">
        <v>0.2857142857142857</v>
      </c>
      <c r="BQ67" s="100">
        <v>11</v>
      </c>
      <c r="BU67" s="23">
        <v>0.5714285714285714</v>
      </c>
      <c r="BV67" s="23">
        <v>0.54761904761904767</v>
      </c>
      <c r="BW67" s="23">
        <v>0.63953488372093026</v>
      </c>
      <c r="BX67" s="23">
        <v>0.67741935483870963</v>
      </c>
      <c r="BY67" s="23">
        <v>0.3</v>
      </c>
      <c r="BZ67" s="23">
        <v>0.18181818181818182</v>
      </c>
      <c r="CD67" s="23">
        <v>0.51851851851851849</v>
      </c>
      <c r="CE67" s="23">
        <v>0.77777777777777779</v>
      </c>
      <c r="CF67" s="23">
        <v>0.66666666666666663</v>
      </c>
      <c r="CG67" s="23">
        <v>0.63461538461538458</v>
      </c>
      <c r="CH67" s="23">
        <v>0.62962962962962965</v>
      </c>
      <c r="CI67" s="23">
        <v>0.44444444444444442</v>
      </c>
      <c r="CN67" s="23">
        <v>0</v>
      </c>
      <c r="CO67" s="23">
        <v>0.25</v>
      </c>
      <c r="CP67" s="23">
        <v>0</v>
      </c>
      <c r="CQ67" s="23">
        <v>0.41666666666666669</v>
      </c>
      <c r="CR67" s="23">
        <v>0.21052631578947367</v>
      </c>
      <c r="CS67" s="23">
        <v>0.3</v>
      </c>
    </row>
    <row r="68" spans="3:97" x14ac:dyDescent="0.25">
      <c r="C68" s="21">
        <v>62.5</v>
      </c>
      <c r="D68" s="21">
        <v>131.57894736842104</v>
      </c>
      <c r="E68" s="21">
        <v>81.395348837209298</v>
      </c>
      <c r="F68" s="21">
        <v>102.04081632653062</v>
      </c>
      <c r="G68" s="21">
        <v>200</v>
      </c>
      <c r="H68" s="21">
        <v>0</v>
      </c>
      <c r="K68" s="23">
        <v>0</v>
      </c>
      <c r="L68" s="23">
        <v>0</v>
      </c>
      <c r="M68" s="23">
        <v>25</v>
      </c>
      <c r="N68" s="23">
        <v>0</v>
      </c>
      <c r="O68" s="23">
        <v>0</v>
      </c>
      <c r="P68" s="23">
        <v>33.333333333333329</v>
      </c>
      <c r="Q68" s="23">
        <v>41.666666666666671</v>
      </c>
      <c r="R68" s="23">
        <v>0</v>
      </c>
      <c r="V68" s="23">
        <v>0.112</v>
      </c>
      <c r="W68" s="23">
        <v>0.2</v>
      </c>
      <c r="X68" s="23">
        <v>0.4</v>
      </c>
      <c r="Y68" s="23">
        <v>0.16800000000000001</v>
      </c>
      <c r="Z68" s="23">
        <v>0.04</v>
      </c>
      <c r="AA68" s="23">
        <v>0.08</v>
      </c>
      <c r="AE68" s="23">
        <v>3.125E-2</v>
      </c>
      <c r="AF68" s="23">
        <v>0.10526315789473684</v>
      </c>
      <c r="AG68" s="23">
        <v>0.10465116279069768</v>
      </c>
      <c r="AH68" s="23">
        <v>4.0816326530612242E-2</v>
      </c>
      <c r="AI68" s="23">
        <v>0</v>
      </c>
      <c r="AJ68" s="23">
        <v>0</v>
      </c>
      <c r="AO68" s="23">
        <v>0</v>
      </c>
      <c r="AP68" s="23">
        <v>4.9180327868852458E-2</v>
      </c>
      <c r="AQ68" s="23">
        <v>7.4626865671641784E-2</v>
      </c>
      <c r="AR68" s="23">
        <v>5.5555555555555552E-2</v>
      </c>
      <c r="AS68" s="23">
        <v>0</v>
      </c>
      <c r="AT68" s="23">
        <v>0</v>
      </c>
      <c r="AU68" s="23">
        <v>4.9504950495049507E-2</v>
      </c>
      <c r="AW68" s="100">
        <v>6.9306930693069313E-2</v>
      </c>
      <c r="BA68" s="23">
        <v>0</v>
      </c>
      <c r="BB68" s="23">
        <v>0.16666666666666666</v>
      </c>
      <c r="BC68" s="23">
        <v>0.875</v>
      </c>
      <c r="BD68" s="23">
        <v>1</v>
      </c>
      <c r="BG68" s="23">
        <v>0.58823529411764708</v>
      </c>
      <c r="BI68" s="100">
        <v>49.504950495049506</v>
      </c>
      <c r="BL68" s="23">
        <v>0.17647058823529413</v>
      </c>
      <c r="BM68" s="23">
        <v>0</v>
      </c>
      <c r="BN68" s="23">
        <v>0.82352941176470584</v>
      </c>
      <c r="BQ68" s="100">
        <v>17</v>
      </c>
      <c r="BU68" s="23">
        <v>0.5714285714285714</v>
      </c>
      <c r="BV68" s="23">
        <v>0.54</v>
      </c>
      <c r="BW68" s="23">
        <v>0.74</v>
      </c>
      <c r="BX68" s="23">
        <v>0.5714285714285714</v>
      </c>
      <c r="BY68" s="23">
        <v>0.7</v>
      </c>
      <c r="BZ68" s="23">
        <v>0.1</v>
      </c>
      <c r="CD68" s="23">
        <v>0.54838709677419351</v>
      </c>
      <c r="CE68" s="23">
        <v>0.68852459016393441</v>
      </c>
      <c r="CF68" s="23">
        <v>0.74626865671641796</v>
      </c>
      <c r="CG68" s="23">
        <v>0.55555555555555558</v>
      </c>
      <c r="CH68" s="23">
        <v>0.6</v>
      </c>
      <c r="CI68" s="23">
        <v>0</v>
      </c>
      <c r="CN68" s="23">
        <v>0</v>
      </c>
      <c r="CO68" s="23">
        <v>0.23809523809523808</v>
      </c>
      <c r="CP68" s="23">
        <v>0.29166666666666669</v>
      </c>
      <c r="CQ68" s="23">
        <v>0.3</v>
      </c>
      <c r="CR68" s="23">
        <v>0.5</v>
      </c>
      <c r="CS68" s="23">
        <v>0</v>
      </c>
    </row>
    <row r="69" spans="3:97" x14ac:dyDescent="0.25">
      <c r="C69" s="21">
        <v>45.454545454545453</v>
      </c>
      <c r="D69" s="21">
        <v>95.238095238095241</v>
      </c>
      <c r="E69" s="21">
        <v>74.074074074074076</v>
      </c>
      <c r="G69" s="21">
        <v>25</v>
      </c>
      <c r="H69" s="21">
        <v>0</v>
      </c>
      <c r="K69" s="23">
        <v>0</v>
      </c>
      <c r="L69" s="23">
        <v>12.5</v>
      </c>
      <c r="M69" s="23">
        <v>26.190476190476193</v>
      </c>
      <c r="N69" s="23">
        <v>0</v>
      </c>
      <c r="O69" s="23">
        <v>0</v>
      </c>
      <c r="P69" s="23">
        <v>25</v>
      </c>
      <c r="Q69" s="23">
        <v>20</v>
      </c>
      <c r="R69" s="23">
        <v>0</v>
      </c>
      <c r="V69" s="23">
        <v>0.216</v>
      </c>
      <c r="W69" s="23">
        <v>0.3</v>
      </c>
      <c r="X69" s="23">
        <v>0.3</v>
      </c>
      <c r="Y69" s="23">
        <v>0.104</v>
      </c>
      <c r="Z69" s="23">
        <v>2.4E-2</v>
      </c>
      <c r="AA69" s="23">
        <v>5.6000000000000001E-2</v>
      </c>
      <c r="AE69" s="23">
        <v>4.5454545454545456E-2</v>
      </c>
      <c r="AF69" s="23">
        <v>0.14285714285714285</v>
      </c>
      <c r="AG69" s="23">
        <v>0.1111111111111111</v>
      </c>
      <c r="AI69" s="23">
        <v>2.5000000000000001E-2</v>
      </c>
      <c r="AJ69" s="23">
        <v>0</v>
      </c>
      <c r="AO69" s="23">
        <v>1.2195121951219513E-2</v>
      </c>
      <c r="AP69" s="23">
        <v>8.8235294117647065E-2</v>
      </c>
      <c r="AQ69" s="23">
        <v>0.05</v>
      </c>
      <c r="AS69" s="23">
        <v>6.8965517241379309E-2</v>
      </c>
      <c r="AT69" s="23">
        <v>0</v>
      </c>
      <c r="AU69" s="23">
        <v>3.8461538461538464E-2</v>
      </c>
      <c r="AW69" s="100">
        <v>4.3956043956043959E-2</v>
      </c>
      <c r="BA69" s="23">
        <v>0.33333333333333331</v>
      </c>
      <c r="BB69" s="23">
        <v>0.6</v>
      </c>
      <c r="BC69" s="23">
        <v>0.5</v>
      </c>
      <c r="BE69" s="23">
        <v>0</v>
      </c>
      <c r="BG69" s="23">
        <v>0.45454545454545453</v>
      </c>
      <c r="BI69" s="100">
        <v>27.472527472527471</v>
      </c>
      <c r="BL69" s="23">
        <v>0.1111111111111111</v>
      </c>
      <c r="BM69" s="23">
        <v>0.33333333333333331</v>
      </c>
      <c r="BN69" s="23">
        <v>0.55555555555555558</v>
      </c>
      <c r="BQ69" s="100">
        <v>11</v>
      </c>
      <c r="BU69" s="23">
        <v>0.70370370370370372</v>
      </c>
      <c r="BV69" s="23">
        <v>0.49333333333333335</v>
      </c>
      <c r="BW69" s="23">
        <v>0.68</v>
      </c>
      <c r="BX69" s="23">
        <v>0.69230769230769229</v>
      </c>
      <c r="BY69" s="23">
        <v>0.5</v>
      </c>
      <c r="BZ69" s="23">
        <v>0.21428571428571427</v>
      </c>
      <c r="CD69" s="23">
        <v>0.54878048780487809</v>
      </c>
      <c r="CE69" s="23">
        <v>0.70588235294117652</v>
      </c>
      <c r="CF69" s="23">
        <v>0.65</v>
      </c>
      <c r="CH69" s="23">
        <v>0.58620689655172409</v>
      </c>
      <c r="CI69" s="23">
        <v>0.58823529411764708</v>
      </c>
      <c r="CN69" s="23">
        <v>3.2258064516129031E-2</v>
      </c>
      <c r="CO69" s="23">
        <v>0.375</v>
      </c>
      <c r="CP69" s="23">
        <v>0.2</v>
      </c>
      <c r="CR69" s="23">
        <v>0.4</v>
      </c>
      <c r="CS69" s="23">
        <v>0</v>
      </c>
    </row>
    <row r="70" spans="3:97" x14ac:dyDescent="0.25">
      <c r="C70" s="21">
        <v>0</v>
      </c>
      <c r="D70" s="21">
        <v>62.5</v>
      </c>
      <c r="E70" s="21">
        <v>51.282051282051285</v>
      </c>
      <c r="F70" s="21">
        <v>53.763440860215056</v>
      </c>
      <c r="G70" s="21">
        <v>16.666666666666668</v>
      </c>
      <c r="H70" s="21">
        <v>0</v>
      </c>
      <c r="K70" s="23">
        <v>0</v>
      </c>
      <c r="L70" s="23">
        <v>0</v>
      </c>
      <c r="M70" s="23">
        <v>7.8947368421052628</v>
      </c>
      <c r="N70" s="23">
        <v>0</v>
      </c>
      <c r="O70" s="23">
        <v>0</v>
      </c>
      <c r="P70" s="23">
        <v>20</v>
      </c>
      <c r="Q70" s="23">
        <v>14.285714285714285</v>
      </c>
      <c r="R70" s="23">
        <v>50</v>
      </c>
      <c r="V70" s="23">
        <v>0.29599999999999999</v>
      </c>
      <c r="W70" s="23">
        <v>0.112</v>
      </c>
      <c r="X70" s="23">
        <v>0.376</v>
      </c>
      <c r="Y70" s="23">
        <v>0.128</v>
      </c>
      <c r="Z70" s="23">
        <v>5.6000000000000001E-2</v>
      </c>
      <c r="AA70" s="23">
        <v>3.2000000000000001E-2</v>
      </c>
      <c r="AE70" s="23">
        <v>0</v>
      </c>
      <c r="AF70" s="23">
        <v>6.25E-2</v>
      </c>
      <c r="AG70" s="23">
        <v>5.128205128205128E-2</v>
      </c>
      <c r="AH70" s="23">
        <v>2.1505376344086023E-2</v>
      </c>
      <c r="AI70" s="23">
        <v>0.05</v>
      </c>
      <c r="AJ70" s="23">
        <v>0</v>
      </c>
      <c r="AO70" s="23">
        <v>0</v>
      </c>
      <c r="AP70" s="23">
        <v>0</v>
      </c>
      <c r="AQ70" s="23">
        <v>8.8235294117647065E-2</v>
      </c>
      <c r="AR70" s="23">
        <v>4.5454545454545456E-2</v>
      </c>
      <c r="AS70" s="23">
        <v>0.17499999999999999</v>
      </c>
      <c r="AT70" s="23">
        <v>0.15384615384615385</v>
      </c>
      <c r="AU70" s="23">
        <v>8.9285714285714288E-2</v>
      </c>
      <c r="AW70" s="100">
        <v>2.3809523809523808E-2</v>
      </c>
      <c r="BB70" s="23">
        <v>0</v>
      </c>
      <c r="BC70" s="23">
        <v>1</v>
      </c>
      <c r="BD70" s="23">
        <v>1</v>
      </c>
      <c r="BE70" s="23">
        <v>0.66666666666666663</v>
      </c>
      <c r="BG70" s="23">
        <v>0.66666666666666663</v>
      </c>
      <c r="BI70" s="100">
        <v>23.80952380952381</v>
      </c>
      <c r="BL70" s="23">
        <v>0.5</v>
      </c>
      <c r="BM70" s="23">
        <v>0</v>
      </c>
      <c r="BN70" s="23">
        <v>0.5</v>
      </c>
      <c r="BQ70" s="100">
        <v>6</v>
      </c>
      <c r="BU70" s="23">
        <v>0.63513513513513509</v>
      </c>
      <c r="BV70" s="23">
        <v>0.7142857142857143</v>
      </c>
      <c r="BW70" s="23">
        <v>0.58510638297872342</v>
      </c>
      <c r="BX70" s="23">
        <v>0.75</v>
      </c>
      <c r="BY70" s="23">
        <v>0.7142857142857143</v>
      </c>
      <c r="BZ70" s="23">
        <v>0.375</v>
      </c>
      <c r="CD70" s="23">
        <v>0</v>
      </c>
      <c r="CE70" s="23">
        <v>0.6428571428571429</v>
      </c>
      <c r="CF70" s="23">
        <v>0.58823529411764708</v>
      </c>
      <c r="CG70" s="23">
        <v>0.62121212121212122</v>
      </c>
      <c r="CH70" s="23">
        <v>0.7</v>
      </c>
      <c r="CI70" s="23">
        <v>0.84615384615384615</v>
      </c>
      <c r="CN70" s="23">
        <v>0</v>
      </c>
      <c r="CO70" s="23">
        <v>0</v>
      </c>
      <c r="CP70" s="23">
        <v>0.5</v>
      </c>
      <c r="CQ70" s="23">
        <v>0.24</v>
      </c>
      <c r="CR70" s="23">
        <v>0.58823529411764708</v>
      </c>
      <c r="CS70" s="23">
        <v>0.5</v>
      </c>
    </row>
    <row r="71" spans="3:97" x14ac:dyDescent="0.25">
      <c r="C71" s="21">
        <v>0</v>
      </c>
      <c r="D71" s="21">
        <v>78.125</v>
      </c>
      <c r="E71" s="21">
        <v>34.090909090909093</v>
      </c>
      <c r="F71" s="21">
        <v>32.258064516129032</v>
      </c>
      <c r="G71" s="21">
        <v>0</v>
      </c>
      <c r="K71" s="23">
        <v>0</v>
      </c>
      <c r="L71" s="23">
        <v>0</v>
      </c>
      <c r="M71" s="23">
        <v>6.9767441860465116</v>
      </c>
      <c r="N71" s="23">
        <v>0</v>
      </c>
      <c r="O71" s="23">
        <v>0</v>
      </c>
      <c r="P71" s="23">
        <v>21.739130434782609</v>
      </c>
      <c r="Q71" s="23">
        <v>16.666666666666664</v>
      </c>
      <c r="R71" s="23">
        <v>20</v>
      </c>
      <c r="V71" s="23">
        <v>8.7999999999999995E-2</v>
      </c>
      <c r="W71" s="23">
        <v>0.26800000000000002</v>
      </c>
      <c r="X71" s="23">
        <v>0.46400000000000002</v>
      </c>
      <c r="Y71" s="23">
        <v>0.11600000000000001</v>
      </c>
      <c r="Z71" s="23">
        <v>0.02</v>
      </c>
      <c r="AA71" s="23">
        <v>4.3999999999999997E-2</v>
      </c>
      <c r="AE71" s="23">
        <v>1.7543859649122806E-2</v>
      </c>
      <c r="AF71" s="23">
        <v>3.125E-2</v>
      </c>
      <c r="AG71" s="23">
        <v>7.9545454545454544E-2</v>
      </c>
      <c r="AH71" s="23">
        <v>3.2258064516129031E-2</v>
      </c>
      <c r="AI71" s="23">
        <v>0</v>
      </c>
      <c r="AO71" s="23">
        <v>0</v>
      </c>
      <c r="AP71" s="23">
        <v>0</v>
      </c>
      <c r="AQ71" s="23">
        <v>4.2857142857142858E-2</v>
      </c>
      <c r="AR71" s="23">
        <v>0.13043478260869565</v>
      </c>
      <c r="AS71" s="23">
        <v>0</v>
      </c>
      <c r="AU71" s="23">
        <v>2.7649769585253458E-2</v>
      </c>
      <c r="AW71" s="100">
        <v>3.2258064516129031E-2</v>
      </c>
      <c r="BA71" s="23">
        <v>1</v>
      </c>
      <c r="BB71" s="23">
        <v>0.5</v>
      </c>
      <c r="BC71" s="23">
        <v>0.5</v>
      </c>
      <c r="BD71" s="23">
        <v>0</v>
      </c>
      <c r="BG71" s="23">
        <v>0.54545454545454541</v>
      </c>
      <c r="BI71" s="100">
        <v>27.649769585253456</v>
      </c>
      <c r="BL71" s="23">
        <v>0</v>
      </c>
      <c r="BM71" s="23">
        <v>0.33333333333333331</v>
      </c>
      <c r="BN71" s="23">
        <v>0.66666666666666663</v>
      </c>
      <c r="BQ71" s="100">
        <v>11</v>
      </c>
      <c r="BU71" s="23">
        <v>0.68181818181818177</v>
      </c>
      <c r="BV71" s="23">
        <v>0.46268656716417911</v>
      </c>
      <c r="BW71" s="23">
        <v>0.69827586206896552</v>
      </c>
      <c r="BX71" s="23">
        <v>0.62068965517241381</v>
      </c>
      <c r="BY71" s="23">
        <v>0.8</v>
      </c>
      <c r="BZ71" s="23">
        <v>0.18181818181818182</v>
      </c>
      <c r="CD71" s="23">
        <v>0.4642857142857143</v>
      </c>
      <c r="CE71" s="23">
        <v>0.64516129032258063</v>
      </c>
      <c r="CF71" s="23">
        <v>0.72857142857142854</v>
      </c>
      <c r="CG71" s="23">
        <v>0.60869565217391308</v>
      </c>
      <c r="CH71" s="23">
        <v>0.5</v>
      </c>
      <c r="CN71" s="23">
        <v>2.1739130434782608E-2</v>
      </c>
      <c r="CO71" s="23">
        <v>4.5454545454545456E-2</v>
      </c>
      <c r="CP71" s="23">
        <v>0.25</v>
      </c>
      <c r="CQ71" s="23">
        <v>0.5</v>
      </c>
      <c r="CR71" s="23">
        <v>0</v>
      </c>
    </row>
    <row r="72" spans="3:97" x14ac:dyDescent="0.25">
      <c r="C72" s="21">
        <v>31.25</v>
      </c>
      <c r="D72" s="21">
        <v>54.054054054054056</v>
      </c>
      <c r="E72" s="21">
        <v>0</v>
      </c>
      <c r="F72" s="21">
        <v>96.774193548387103</v>
      </c>
      <c r="G72" s="21">
        <v>21.276595744680851</v>
      </c>
      <c r="H72" s="21">
        <v>0</v>
      </c>
      <c r="K72" s="23">
        <v>0</v>
      </c>
      <c r="L72" s="23">
        <v>10</v>
      </c>
      <c r="M72" s="23">
        <v>6.4516129032258061</v>
      </c>
      <c r="N72" s="23">
        <v>0</v>
      </c>
      <c r="O72" s="23">
        <v>0</v>
      </c>
      <c r="P72" s="23">
        <v>20</v>
      </c>
      <c r="Q72" s="23">
        <v>25</v>
      </c>
      <c r="R72" s="23">
        <v>0</v>
      </c>
      <c r="V72" s="23">
        <v>0.26400000000000001</v>
      </c>
      <c r="W72" s="23">
        <v>0.26</v>
      </c>
      <c r="X72" s="23">
        <v>0.26400000000000001</v>
      </c>
      <c r="Y72" s="23">
        <v>0.14000000000000001</v>
      </c>
      <c r="Z72" s="23">
        <v>3.5999999999999997E-2</v>
      </c>
      <c r="AA72" s="23">
        <v>3.5999999999999997E-2</v>
      </c>
      <c r="AE72" s="23">
        <v>1.5625E-2</v>
      </c>
      <c r="AF72" s="23">
        <v>5.4054054054054057E-2</v>
      </c>
      <c r="AG72" s="23">
        <v>0</v>
      </c>
      <c r="AH72" s="23">
        <v>0.16129032258064516</v>
      </c>
      <c r="AI72" s="23">
        <v>2.1276595744680851E-2</v>
      </c>
      <c r="AJ72" s="23">
        <v>0</v>
      </c>
      <c r="AO72" s="23">
        <v>0</v>
      </c>
      <c r="AP72" s="23">
        <v>8.8235294117647065E-2</v>
      </c>
      <c r="AQ72" s="23">
        <v>0</v>
      </c>
      <c r="AR72" s="23">
        <v>5.2631578947368418E-2</v>
      </c>
      <c r="AS72" s="23">
        <v>0.12121212121212122</v>
      </c>
      <c r="AT72" s="23">
        <v>3.8461538461538464E-2</v>
      </c>
      <c r="AU72" s="23">
        <v>5.1428571428571428E-2</v>
      </c>
      <c r="AW72" s="100">
        <v>1.7142857142857144E-2</v>
      </c>
      <c r="BA72" s="23">
        <v>1</v>
      </c>
      <c r="BB72" s="23">
        <v>0.5</v>
      </c>
      <c r="BD72" s="23">
        <v>0.5</v>
      </c>
      <c r="BE72" s="23">
        <v>1</v>
      </c>
      <c r="BG72" s="23">
        <v>0.6</v>
      </c>
      <c r="BI72" s="100">
        <v>34.285714285714285</v>
      </c>
      <c r="BL72" s="23">
        <v>0.45454545454545453</v>
      </c>
      <c r="BM72" s="23">
        <v>0</v>
      </c>
      <c r="BN72" s="23">
        <v>0.54545454545454541</v>
      </c>
      <c r="BQ72" s="100">
        <v>10</v>
      </c>
      <c r="BU72" s="23">
        <v>0.51515151515151514</v>
      </c>
      <c r="BV72" s="23">
        <v>0.46153846153846156</v>
      </c>
      <c r="BW72" s="23">
        <v>0.66666666666666663</v>
      </c>
      <c r="BX72" s="23">
        <v>0.62857142857142856</v>
      </c>
      <c r="BY72" s="23">
        <v>0.66666666666666663</v>
      </c>
      <c r="BZ72" s="23">
        <v>0.33333333333333331</v>
      </c>
      <c r="CD72" s="23">
        <v>0.5161290322580645</v>
      </c>
      <c r="CE72" s="23">
        <v>0.73529411764705888</v>
      </c>
      <c r="CF72" s="23">
        <v>1</v>
      </c>
      <c r="CG72" s="23">
        <v>0.52631578947368418</v>
      </c>
      <c r="CH72" s="23">
        <v>0.5757575757575758</v>
      </c>
      <c r="CI72" s="23">
        <v>0.57692307692307687</v>
      </c>
      <c r="CN72" s="23">
        <v>2.1739130434782608E-2</v>
      </c>
      <c r="CO72" s="23">
        <v>0.17647058823529413</v>
      </c>
      <c r="CQ72" s="23">
        <v>0.3</v>
      </c>
      <c r="CR72" s="23">
        <v>0.41666666666666669</v>
      </c>
      <c r="CS72" s="23">
        <v>0.25</v>
      </c>
    </row>
    <row r="73" spans="3:97" x14ac:dyDescent="0.25">
      <c r="C73" s="21">
        <v>166.66666666666666</v>
      </c>
      <c r="D73" s="21">
        <v>86.956521739130437</v>
      </c>
      <c r="E73" s="21">
        <v>48.387096774193552</v>
      </c>
      <c r="F73" s="21">
        <v>108.10810810810811</v>
      </c>
      <c r="G73" s="21">
        <v>32.258064516129032</v>
      </c>
      <c r="H73" s="21">
        <v>0</v>
      </c>
      <c r="K73" s="23">
        <v>0</v>
      </c>
      <c r="L73" s="23">
        <v>0</v>
      </c>
      <c r="M73" s="23">
        <v>8.8888888888888893</v>
      </c>
      <c r="N73" s="23">
        <v>0</v>
      </c>
      <c r="O73" s="23">
        <v>0</v>
      </c>
      <c r="P73" s="23">
        <v>19.047619047619047</v>
      </c>
      <c r="Q73" s="23">
        <v>37.5</v>
      </c>
      <c r="R73" s="23">
        <v>0</v>
      </c>
      <c r="V73" s="23">
        <v>0.20799999999999999</v>
      </c>
      <c r="W73" s="23">
        <v>0.152</v>
      </c>
      <c r="X73" s="23">
        <v>0.39600000000000002</v>
      </c>
      <c r="Y73" s="23">
        <v>0.14399999999999999</v>
      </c>
      <c r="Z73" s="23">
        <v>5.6000000000000001E-2</v>
      </c>
      <c r="AA73" s="23">
        <v>4.3999999999999997E-2</v>
      </c>
      <c r="AE73" s="23">
        <v>0</v>
      </c>
      <c r="AF73" s="23">
        <v>8.6956521739130432E-2</v>
      </c>
      <c r="AG73" s="23">
        <v>6.4516129032258063E-2</v>
      </c>
      <c r="AH73" s="23">
        <v>4.0540540540540543E-2</v>
      </c>
      <c r="AI73" s="23">
        <v>3.2258064516129031E-2</v>
      </c>
      <c r="AJ73" s="23">
        <v>0</v>
      </c>
      <c r="AO73" s="23">
        <v>0</v>
      </c>
      <c r="AP73" s="23">
        <v>0.05</v>
      </c>
      <c r="AQ73" s="23">
        <v>0</v>
      </c>
      <c r="AR73" s="23">
        <v>1.7857142857142856E-2</v>
      </c>
      <c r="AS73" s="23">
        <v>6.9767441860465115E-2</v>
      </c>
      <c r="AT73" s="23">
        <v>0</v>
      </c>
      <c r="AU73" s="23">
        <v>2.6737967914438502E-2</v>
      </c>
      <c r="AW73" s="100">
        <v>3.2085561497326207E-2</v>
      </c>
      <c r="BB73" s="23">
        <v>1</v>
      </c>
      <c r="BC73" s="23">
        <v>0.33333333333333331</v>
      </c>
      <c r="BD73" s="23">
        <v>0.5</v>
      </c>
      <c r="BE73" s="23">
        <v>0.66666666666666663</v>
      </c>
      <c r="BG73" s="23">
        <v>0.6</v>
      </c>
      <c r="BI73" s="100">
        <v>32.085561497326204</v>
      </c>
      <c r="BL73" s="23">
        <v>0.8</v>
      </c>
      <c r="BM73" s="23">
        <v>0</v>
      </c>
      <c r="BN73" s="23">
        <v>0.2</v>
      </c>
      <c r="BQ73" s="100">
        <v>10</v>
      </c>
      <c r="BU73" s="23">
        <v>0.67307692307692313</v>
      </c>
      <c r="BV73" s="23">
        <v>0.5</v>
      </c>
      <c r="BW73" s="23">
        <v>0.70707070707070707</v>
      </c>
      <c r="BX73" s="23">
        <v>0.5</v>
      </c>
      <c r="BY73" s="23">
        <v>0.35714285714285715</v>
      </c>
      <c r="BZ73" s="23">
        <v>0</v>
      </c>
      <c r="CD73" s="23">
        <v>0.66666666666666663</v>
      </c>
      <c r="CE73" s="23">
        <v>0.7</v>
      </c>
      <c r="CF73" s="23">
        <v>0.56862745098039214</v>
      </c>
      <c r="CG73" s="23">
        <v>0.5714285714285714</v>
      </c>
      <c r="CH73" s="23">
        <v>0.55813953488372092</v>
      </c>
      <c r="CI73" s="23">
        <v>0.81818181818181823</v>
      </c>
      <c r="CN73" s="23">
        <v>0</v>
      </c>
      <c r="CO73" s="23">
        <v>0.14285714285714285</v>
      </c>
      <c r="CP73" s="23">
        <v>0.15789473684210525</v>
      </c>
      <c r="CQ73" s="23">
        <v>0.26666666666666666</v>
      </c>
      <c r="CR73" s="23">
        <v>0.38095238095238093</v>
      </c>
      <c r="CS73" s="23">
        <v>0</v>
      </c>
    </row>
    <row r="74" spans="3:97" x14ac:dyDescent="0.25">
      <c r="C74" s="21">
        <v>90.909090909090907</v>
      </c>
      <c r="D74" s="21">
        <v>131.57894736842104</v>
      </c>
      <c r="E74" s="21">
        <v>32.258064516129032</v>
      </c>
      <c r="F74" s="21">
        <v>100</v>
      </c>
      <c r="G74" s="21">
        <v>0</v>
      </c>
      <c r="H74" s="21">
        <v>0</v>
      </c>
      <c r="K74" s="23">
        <v>0</v>
      </c>
      <c r="L74" s="23">
        <v>12.5</v>
      </c>
      <c r="M74" s="23">
        <v>7.1428571428571423</v>
      </c>
      <c r="N74" s="23">
        <v>0</v>
      </c>
      <c r="O74" s="23">
        <v>0</v>
      </c>
      <c r="P74" s="23">
        <v>16.666666666666664</v>
      </c>
      <c r="Q74" s="23">
        <v>0</v>
      </c>
      <c r="R74" s="23">
        <v>0</v>
      </c>
      <c r="V74" s="23">
        <v>9.6000000000000002E-2</v>
      </c>
      <c r="W74" s="23">
        <v>0.28000000000000003</v>
      </c>
      <c r="X74" s="23">
        <v>0.376</v>
      </c>
      <c r="Y74" s="23">
        <v>0.188</v>
      </c>
      <c r="Z74" s="23">
        <v>2.8000000000000001E-2</v>
      </c>
      <c r="AA74" s="23">
        <v>3.2000000000000001E-2</v>
      </c>
      <c r="AE74" s="23">
        <v>5.4545454545454543E-2</v>
      </c>
      <c r="AF74" s="23">
        <v>5.2631578947368418E-2</v>
      </c>
      <c r="AG74" s="23">
        <v>1.6129032258064516E-2</v>
      </c>
      <c r="AH74" s="23">
        <v>0</v>
      </c>
      <c r="AI74" s="23">
        <v>0</v>
      </c>
      <c r="AJ74" s="23">
        <v>0</v>
      </c>
      <c r="AO74" s="23">
        <v>0</v>
      </c>
      <c r="AP74" s="23">
        <v>5.6338028169014086E-2</v>
      </c>
      <c r="AQ74" s="23">
        <v>0.11320754716981132</v>
      </c>
      <c r="AR74" s="23">
        <v>0.1111111111111111</v>
      </c>
      <c r="AS74" s="23">
        <v>0.125</v>
      </c>
      <c r="AT74" s="23">
        <v>6.25E-2</v>
      </c>
      <c r="AU74" s="23">
        <v>6.4220183486238536E-2</v>
      </c>
      <c r="AW74" s="100">
        <v>2.7522935779816515E-2</v>
      </c>
      <c r="BA74" s="23">
        <v>0.5</v>
      </c>
      <c r="BB74" s="23">
        <v>0.5</v>
      </c>
      <c r="BC74" s="23">
        <v>0</v>
      </c>
      <c r="BE74" s="23">
        <v>1</v>
      </c>
      <c r="BG74" s="23">
        <v>0.5</v>
      </c>
      <c r="BI74" s="100">
        <v>18.348623853211009</v>
      </c>
      <c r="BL74" s="23">
        <v>0.25</v>
      </c>
      <c r="BM74" s="23">
        <v>0.25</v>
      </c>
      <c r="BN74" s="23">
        <v>0.5</v>
      </c>
      <c r="BQ74" s="100">
        <v>8</v>
      </c>
      <c r="BU74" s="23">
        <v>0.625</v>
      </c>
      <c r="BV74" s="23">
        <v>0.55714285714285716</v>
      </c>
      <c r="BW74" s="23">
        <v>0.80851063829787229</v>
      </c>
      <c r="BX74" s="23">
        <v>0.65957446808510634</v>
      </c>
      <c r="BY74" s="23">
        <v>0.5714285714285714</v>
      </c>
      <c r="BZ74" s="23">
        <v>0.25</v>
      </c>
      <c r="CD74" s="23">
        <v>0.61538461538461542</v>
      </c>
      <c r="CE74" s="23">
        <v>0.76056338028169013</v>
      </c>
      <c r="CF74" s="23">
        <v>0.660377358490566</v>
      </c>
      <c r="CG74" s="23">
        <v>0.72222222222222221</v>
      </c>
      <c r="CH74" s="23">
        <v>0.5</v>
      </c>
      <c r="CI74" s="23">
        <v>0.75</v>
      </c>
      <c r="CN74" s="23">
        <v>2.4390243902439025E-2</v>
      </c>
      <c r="CO74" s="23">
        <v>0.16666666666666666</v>
      </c>
      <c r="CP74" s="23">
        <v>0.4</v>
      </c>
      <c r="CQ74" s="23">
        <v>0.4</v>
      </c>
      <c r="CR74" s="23">
        <v>1</v>
      </c>
      <c r="CS74" s="23">
        <v>0.33333333333333331</v>
      </c>
    </row>
    <row r="75" spans="3:97" x14ac:dyDescent="0.25">
      <c r="C75" s="21">
        <v>0</v>
      </c>
      <c r="D75" s="21">
        <v>0</v>
      </c>
      <c r="F75" s="21">
        <v>35.087719298245617</v>
      </c>
      <c r="G75" s="21">
        <v>0</v>
      </c>
      <c r="H75" s="21">
        <v>0</v>
      </c>
      <c r="K75" s="23">
        <v>0</v>
      </c>
      <c r="L75" s="23">
        <v>0</v>
      </c>
      <c r="M75" s="23">
        <v>4.5454545454545459</v>
      </c>
      <c r="N75" s="23">
        <v>0</v>
      </c>
      <c r="O75" s="23">
        <v>0</v>
      </c>
      <c r="P75" s="23">
        <v>43.75</v>
      </c>
      <c r="Q75" s="23">
        <v>0</v>
      </c>
      <c r="R75" s="23">
        <v>50</v>
      </c>
      <c r="V75" s="23">
        <v>0.22800000000000001</v>
      </c>
      <c r="W75" s="23">
        <v>0.23200000000000001</v>
      </c>
      <c r="X75" s="23">
        <v>0.32400000000000001</v>
      </c>
      <c r="Y75" s="23">
        <v>0.156</v>
      </c>
      <c r="Z75" s="23">
        <v>2.8000000000000001E-2</v>
      </c>
      <c r="AA75" s="23">
        <v>3.2000000000000001E-2</v>
      </c>
      <c r="AE75" s="23">
        <v>2.8985507246376812E-2</v>
      </c>
      <c r="AF75" s="23">
        <v>9.5238095238095233E-2</v>
      </c>
      <c r="AH75" s="23">
        <v>5.2631578947368418E-2</v>
      </c>
      <c r="AI75" s="23">
        <v>1.9230769230769232E-2</v>
      </c>
      <c r="AJ75" s="23">
        <v>0</v>
      </c>
      <c r="AO75" s="23">
        <v>2.9850746268656716E-2</v>
      </c>
      <c r="AP75" s="23">
        <v>0</v>
      </c>
      <c r="AR75" s="23">
        <v>7.6923076923076927E-2</v>
      </c>
      <c r="AS75" s="23">
        <v>0.15151515151515152</v>
      </c>
      <c r="AT75" s="23">
        <v>0.18518518518518517</v>
      </c>
      <c r="AU75" s="23">
        <v>8.1081081081081086E-2</v>
      </c>
      <c r="AW75" s="100">
        <v>2.1621621621621623E-2</v>
      </c>
      <c r="BA75" s="23">
        <v>1</v>
      </c>
      <c r="BB75" s="23">
        <v>1</v>
      </c>
      <c r="BD75" s="23">
        <v>0</v>
      </c>
      <c r="BE75" s="23">
        <v>0</v>
      </c>
      <c r="BG75" s="23">
        <v>0.5</v>
      </c>
      <c r="BI75" s="100">
        <v>21.621621621621621</v>
      </c>
      <c r="BL75" s="23">
        <v>0</v>
      </c>
      <c r="BM75" s="23">
        <v>0</v>
      </c>
      <c r="BN75" s="23">
        <v>1</v>
      </c>
      <c r="BQ75" s="100">
        <v>8</v>
      </c>
      <c r="BU75" s="23">
        <v>0.75438596491228072</v>
      </c>
      <c r="BV75" s="23">
        <v>0.48275862068965519</v>
      </c>
      <c r="BW75" s="23">
        <v>0.64197530864197527</v>
      </c>
      <c r="BX75" s="23">
        <v>0.69230769230769229</v>
      </c>
      <c r="BY75" s="23">
        <v>0.7142857142857143</v>
      </c>
      <c r="BZ75" s="23">
        <v>0</v>
      </c>
      <c r="CD75" s="23">
        <v>0.5074626865671642</v>
      </c>
      <c r="CE75" s="23">
        <v>0.42105263157894735</v>
      </c>
      <c r="CG75" s="23">
        <v>0.69230769230769229</v>
      </c>
      <c r="CH75" s="23">
        <v>0.78787878787878785</v>
      </c>
      <c r="CI75" s="23">
        <v>0.62962962962962965</v>
      </c>
      <c r="CN75" s="23">
        <v>4.1666666666666664E-2</v>
      </c>
      <c r="CO75" s="23">
        <v>0.1111111111111111</v>
      </c>
      <c r="CQ75" s="23">
        <v>0.33333333333333331</v>
      </c>
      <c r="CR75" s="23">
        <v>0.54545454545454541</v>
      </c>
      <c r="CS75" s="23">
        <v>0.45454545454545453</v>
      </c>
    </row>
    <row r="76" spans="3:97" x14ac:dyDescent="0.25">
      <c r="C76" s="21">
        <v>45.454545454545453</v>
      </c>
      <c r="D76" s="21">
        <v>55.555555555555557</v>
      </c>
      <c r="E76" s="21">
        <v>30.76923076923077</v>
      </c>
      <c r="F76" s="21">
        <v>60.606060606060609</v>
      </c>
      <c r="G76" s="21">
        <v>0</v>
      </c>
      <c r="H76" s="21">
        <v>52.631578947368418</v>
      </c>
      <c r="K76" s="23">
        <v>0</v>
      </c>
      <c r="L76" s="23">
        <v>14.285714285714285</v>
      </c>
      <c r="M76" s="23">
        <v>4.1666666666666661</v>
      </c>
      <c r="N76" s="23">
        <v>0</v>
      </c>
      <c r="O76" s="23">
        <v>0</v>
      </c>
      <c r="P76" s="23">
        <v>23.076923076923077</v>
      </c>
      <c r="Q76" s="23">
        <v>0</v>
      </c>
      <c r="R76" s="23">
        <v>40</v>
      </c>
      <c r="V76" s="23">
        <v>0.184</v>
      </c>
      <c r="W76" s="23">
        <v>0.156</v>
      </c>
      <c r="X76" s="23">
        <v>0.45200000000000001</v>
      </c>
      <c r="Y76" s="23">
        <v>0.14000000000000001</v>
      </c>
      <c r="Z76" s="23">
        <v>3.5999999999999997E-2</v>
      </c>
      <c r="AA76" s="23">
        <v>3.2000000000000001E-2</v>
      </c>
      <c r="AE76" s="23">
        <v>0</v>
      </c>
      <c r="AF76" s="23">
        <v>2.7777777777777776E-2</v>
      </c>
      <c r="AG76" s="23">
        <v>6.1538461538461542E-2</v>
      </c>
      <c r="AH76" s="23">
        <v>1.5151515151515152E-2</v>
      </c>
      <c r="AI76" s="23">
        <v>4.7619047619047616E-2</v>
      </c>
      <c r="AJ76" s="23">
        <v>0</v>
      </c>
      <c r="AO76" s="23">
        <v>0</v>
      </c>
      <c r="AP76" s="23">
        <v>2.8571428571428571E-2</v>
      </c>
      <c r="AQ76" s="23">
        <v>5.1724137931034482E-2</v>
      </c>
      <c r="AR76" s="23">
        <v>6.25E-2</v>
      </c>
      <c r="AS76" s="23">
        <v>0.20689655172413793</v>
      </c>
      <c r="AT76" s="23">
        <v>0.16666666666666666</v>
      </c>
      <c r="AU76" s="23">
        <v>7.1428571428571425E-2</v>
      </c>
      <c r="AW76" s="100">
        <v>3.0612244897959183E-2</v>
      </c>
      <c r="BB76" s="23">
        <v>1</v>
      </c>
      <c r="BC76" s="23">
        <v>0.5</v>
      </c>
      <c r="BD76" s="23">
        <v>0</v>
      </c>
      <c r="BE76" s="23">
        <v>1</v>
      </c>
      <c r="BG76" s="23">
        <v>0.66666666666666663</v>
      </c>
      <c r="BI76" s="100">
        <v>20.408163265306122</v>
      </c>
      <c r="BL76" s="23">
        <v>0.25</v>
      </c>
      <c r="BM76" s="23">
        <v>0.5</v>
      </c>
      <c r="BN76" s="23">
        <v>0.25</v>
      </c>
      <c r="BQ76" s="100">
        <v>6</v>
      </c>
      <c r="BU76" s="23">
        <v>0.54347826086956519</v>
      </c>
      <c r="BV76" s="23">
        <v>0.4358974358974359</v>
      </c>
      <c r="BW76" s="23">
        <v>0.69026548672566368</v>
      </c>
      <c r="BX76" s="23">
        <v>0.65714285714285714</v>
      </c>
      <c r="BY76" s="23">
        <v>0.77777777777777779</v>
      </c>
      <c r="BZ76" s="23">
        <v>0</v>
      </c>
      <c r="CD76" s="23">
        <v>0.6</v>
      </c>
      <c r="CE76" s="23">
        <v>0.62857142857142856</v>
      </c>
      <c r="CF76" s="23">
        <v>0.60344827586206895</v>
      </c>
      <c r="CG76" s="23">
        <v>0.66666666666666663</v>
      </c>
      <c r="CH76" s="23">
        <v>0.62068965517241381</v>
      </c>
      <c r="CI76" s="23">
        <v>1</v>
      </c>
      <c r="CN76" s="23">
        <v>0</v>
      </c>
      <c r="CO76" s="23">
        <v>7.6923076923076927E-2</v>
      </c>
      <c r="CP76" s="23">
        <v>0.25</v>
      </c>
      <c r="CQ76" s="23">
        <v>0.41666666666666669</v>
      </c>
      <c r="CR76" s="23">
        <v>0.6428571428571429</v>
      </c>
      <c r="CS76" s="23">
        <v>1</v>
      </c>
    </row>
    <row r="77" spans="3:97" x14ac:dyDescent="0.25">
      <c r="C77" s="21">
        <v>32.786885245901637</v>
      </c>
      <c r="D77" s="21">
        <v>0</v>
      </c>
      <c r="E77" s="21">
        <v>33.898305084745765</v>
      </c>
      <c r="F77" s="21">
        <v>0</v>
      </c>
      <c r="G77" s="21">
        <v>52.631578947368418</v>
      </c>
      <c r="H77" s="21">
        <v>0</v>
      </c>
      <c r="K77" s="23">
        <v>0</v>
      </c>
      <c r="L77" s="23">
        <v>0</v>
      </c>
      <c r="M77" s="23">
        <v>5.8823529411764701</v>
      </c>
      <c r="N77" s="23">
        <v>0</v>
      </c>
      <c r="O77" s="23">
        <v>0</v>
      </c>
      <c r="P77" s="23">
        <v>15.789473684210526</v>
      </c>
      <c r="Q77" s="23">
        <v>18.181818181818183</v>
      </c>
      <c r="R77" s="23">
        <v>0</v>
      </c>
      <c r="V77" s="23">
        <v>0.156</v>
      </c>
      <c r="W77" s="23">
        <v>0.26800000000000002</v>
      </c>
      <c r="X77" s="23">
        <v>0.36799999999999999</v>
      </c>
      <c r="Y77" s="23">
        <v>0.152</v>
      </c>
      <c r="Z77" s="23">
        <v>2.8000000000000001E-2</v>
      </c>
      <c r="AA77" s="23">
        <v>2.8000000000000001E-2</v>
      </c>
      <c r="AE77" s="23">
        <v>0</v>
      </c>
      <c r="AF77" s="23">
        <v>5.1724137931034482E-2</v>
      </c>
      <c r="AG77" s="23">
        <v>6.7796610169491525E-2</v>
      </c>
      <c r="AH77" s="23">
        <v>0</v>
      </c>
      <c r="AI77" s="23">
        <v>0</v>
      </c>
      <c r="AJ77" s="23">
        <v>0</v>
      </c>
      <c r="AO77" s="23">
        <v>0</v>
      </c>
      <c r="AP77" s="23">
        <v>9.2592592592592587E-2</v>
      </c>
      <c r="AQ77" s="23">
        <v>0.02</v>
      </c>
      <c r="AR77" s="23">
        <v>0.16666666666666666</v>
      </c>
      <c r="AS77" s="23">
        <v>9.0909090909090912E-2</v>
      </c>
      <c r="AT77" s="23">
        <v>0.125</v>
      </c>
      <c r="AU77" s="23">
        <v>5.3921568627450983E-2</v>
      </c>
      <c r="AW77" s="100">
        <v>3.4313725490196081E-2</v>
      </c>
      <c r="BB77" s="23">
        <v>1</v>
      </c>
      <c r="BC77" s="23">
        <v>0.33333333333333331</v>
      </c>
      <c r="BG77" s="23">
        <v>0.6</v>
      </c>
      <c r="BI77" s="100">
        <v>14.705882352941176</v>
      </c>
      <c r="BL77" s="23">
        <v>0.5</v>
      </c>
      <c r="BM77" s="23">
        <v>0.33333333333333331</v>
      </c>
      <c r="BN77" s="23">
        <v>0.16666666666666666</v>
      </c>
      <c r="BQ77" s="100">
        <v>5</v>
      </c>
      <c r="BU77" s="23">
        <v>0.58974358974358976</v>
      </c>
      <c r="BV77" s="23">
        <v>0.53731343283582089</v>
      </c>
      <c r="BW77" s="23">
        <v>0.77173913043478259</v>
      </c>
      <c r="BX77" s="23">
        <v>0.60526315789473684</v>
      </c>
      <c r="BY77" s="23">
        <v>0.7142857142857143</v>
      </c>
      <c r="BZ77" s="23">
        <v>0.14285714285714285</v>
      </c>
      <c r="CD77" s="23">
        <v>0.49152542372881358</v>
      </c>
      <c r="CE77" s="23">
        <v>0.83333333333333337</v>
      </c>
      <c r="CF77" s="23">
        <v>0.74</v>
      </c>
      <c r="CG77" s="23">
        <v>0.5</v>
      </c>
      <c r="CH77" s="23">
        <v>0.63636363636363635</v>
      </c>
      <c r="CI77" s="23">
        <v>0.58333333333333337</v>
      </c>
      <c r="CN77" s="23">
        <v>0</v>
      </c>
      <c r="CO77" s="23">
        <v>0.31818181818181818</v>
      </c>
      <c r="CP77" s="23">
        <v>0.15384615384615385</v>
      </c>
      <c r="CQ77" s="23">
        <v>0.33333333333333331</v>
      </c>
      <c r="CR77" s="23">
        <v>0.2857142857142857</v>
      </c>
      <c r="CS77" s="23">
        <v>0.33333333333333331</v>
      </c>
    </row>
    <row r="78" spans="3:97" x14ac:dyDescent="0.25">
      <c r="C78" s="21">
        <v>73.170731707317074</v>
      </c>
      <c r="D78" s="21">
        <v>83.333333333333329</v>
      </c>
      <c r="E78" s="21">
        <v>33.333333333333336</v>
      </c>
      <c r="F78" s="21">
        <v>54.545454545454547</v>
      </c>
      <c r="G78" s="21">
        <v>37.735849056603776</v>
      </c>
      <c r="H78" s="21">
        <v>0</v>
      </c>
      <c r="K78" s="23">
        <v>0</v>
      </c>
      <c r="L78" s="23">
        <v>0</v>
      </c>
      <c r="M78" s="23">
        <v>11.904761904761903</v>
      </c>
      <c r="N78" s="23">
        <v>33.333333333333329</v>
      </c>
      <c r="O78" s="23">
        <v>0</v>
      </c>
      <c r="P78" s="23">
        <v>11.538461538461538</v>
      </c>
      <c r="Q78" s="23">
        <v>28.571428571428569</v>
      </c>
      <c r="R78" s="23">
        <v>0</v>
      </c>
      <c r="V78" s="23">
        <v>0.224</v>
      </c>
      <c r="W78" s="23">
        <v>0.20399999999999999</v>
      </c>
      <c r="X78" s="23">
        <v>0.36399999999999999</v>
      </c>
      <c r="Y78" s="23">
        <v>0.128</v>
      </c>
      <c r="Z78" s="23">
        <v>4.3999999999999997E-2</v>
      </c>
      <c r="AA78" s="23">
        <v>3.5999999999999997E-2</v>
      </c>
      <c r="AE78" s="23">
        <v>2.4390243902439025E-2</v>
      </c>
      <c r="AF78" s="23">
        <v>0</v>
      </c>
      <c r="AG78" s="23">
        <v>6.6666666666666666E-2</v>
      </c>
      <c r="AH78" s="23">
        <v>7.2727272727272724E-2</v>
      </c>
      <c r="AI78" s="23">
        <v>3.7735849056603772E-2</v>
      </c>
      <c r="AJ78" s="23">
        <v>0</v>
      </c>
      <c r="AO78" s="23">
        <v>0</v>
      </c>
      <c r="AP78" s="23">
        <v>8.3333333333333329E-2</v>
      </c>
      <c r="AQ78" s="23">
        <v>0</v>
      </c>
      <c r="AR78" s="23">
        <v>0.12195121951219512</v>
      </c>
      <c r="AS78" s="23">
        <v>7.8947368421052627E-2</v>
      </c>
      <c r="AT78" s="23">
        <v>4.7619047619047616E-2</v>
      </c>
      <c r="AU78" s="23">
        <v>5.9459459459459463E-2</v>
      </c>
      <c r="AW78" s="100">
        <v>3.783783783783784E-2</v>
      </c>
      <c r="BA78" s="23">
        <v>0.5</v>
      </c>
      <c r="BC78" s="23">
        <v>0.5</v>
      </c>
      <c r="BD78" s="23">
        <v>1</v>
      </c>
      <c r="BE78" s="23">
        <v>0</v>
      </c>
      <c r="BG78" s="23">
        <v>0.42857142857142855</v>
      </c>
      <c r="BI78" s="100">
        <v>16.216216216216218</v>
      </c>
      <c r="BL78" s="23">
        <v>0</v>
      </c>
      <c r="BM78" s="23">
        <v>0</v>
      </c>
      <c r="BN78" s="23">
        <v>1</v>
      </c>
      <c r="BQ78" s="100">
        <v>7</v>
      </c>
      <c r="BU78" s="23">
        <v>0.6964285714285714</v>
      </c>
      <c r="BV78" s="23">
        <v>0.58823529411764708</v>
      </c>
      <c r="BW78" s="23">
        <v>0.64835164835164838</v>
      </c>
      <c r="BX78" s="23">
        <v>0.625</v>
      </c>
      <c r="BY78" s="23">
        <v>0.63636363636363635</v>
      </c>
      <c r="BZ78" s="23">
        <v>0</v>
      </c>
      <c r="CD78" s="23">
        <v>0.57499999999999996</v>
      </c>
      <c r="CE78" s="23">
        <v>0.58333333333333337</v>
      </c>
      <c r="CF78" s="23">
        <v>0.5714285714285714</v>
      </c>
      <c r="CG78" s="23">
        <v>0.70731707317073167</v>
      </c>
      <c r="CH78" s="23">
        <v>0.73684210526315785</v>
      </c>
      <c r="CI78" s="23">
        <v>0.47619047619047616</v>
      </c>
      <c r="CN78" s="23">
        <v>0</v>
      </c>
      <c r="CO78" s="23">
        <v>0.33333333333333331</v>
      </c>
      <c r="CP78" s="23">
        <v>0.33333333333333331</v>
      </c>
      <c r="CQ78" s="23">
        <v>0.5</v>
      </c>
      <c r="CR78" s="23">
        <v>0.3</v>
      </c>
      <c r="CS78" s="23">
        <v>0.22222222222222221</v>
      </c>
    </row>
    <row r="79" spans="3:97" x14ac:dyDescent="0.25">
      <c r="C79" s="21">
        <v>0</v>
      </c>
      <c r="D79" s="21">
        <v>30.303030303030305</v>
      </c>
      <c r="E79" s="21">
        <v>111.11111111111111</v>
      </c>
      <c r="F79" s="21">
        <v>32.258064516129032</v>
      </c>
      <c r="G79" s="21">
        <v>0</v>
      </c>
      <c r="K79" s="23">
        <v>0</v>
      </c>
      <c r="L79" s="23">
        <v>0</v>
      </c>
      <c r="M79" s="23">
        <v>9.7560975609756095</v>
      </c>
      <c r="N79" s="23">
        <v>33.333333333333329</v>
      </c>
      <c r="O79" s="23">
        <v>0</v>
      </c>
      <c r="P79" s="23">
        <v>13.636363636363635</v>
      </c>
      <c r="Q79" s="23">
        <v>20</v>
      </c>
      <c r="R79" s="23">
        <v>36.363636363636367</v>
      </c>
      <c r="V79" s="23">
        <v>0.16</v>
      </c>
      <c r="W79" s="23">
        <v>0.13200000000000001</v>
      </c>
      <c r="X79" s="23">
        <v>0.48399999999999999</v>
      </c>
      <c r="Y79" s="23">
        <v>0.112</v>
      </c>
      <c r="Z79" s="23">
        <v>5.1999999999999998E-2</v>
      </c>
      <c r="AA79" s="23">
        <v>0.06</v>
      </c>
      <c r="AE79" s="23">
        <v>0.10526315789473684</v>
      </c>
      <c r="AF79" s="23">
        <v>6.0606060606060608E-2</v>
      </c>
      <c r="AG79" s="23">
        <v>6.6666666666666666E-2</v>
      </c>
      <c r="AH79" s="23">
        <v>7.5268817204301078E-2</v>
      </c>
      <c r="AI79" s="23">
        <v>1.6666666666666666E-2</v>
      </c>
      <c r="AO79" s="23">
        <v>0</v>
      </c>
      <c r="AP79" s="23">
        <v>0</v>
      </c>
      <c r="AQ79" s="23">
        <v>2.8571428571428571E-2</v>
      </c>
      <c r="AR79" s="23">
        <v>5.8823529411764705E-2</v>
      </c>
      <c r="AS79" s="23">
        <v>8.8888888888888892E-2</v>
      </c>
      <c r="AU79" s="23">
        <v>4.6153846153846156E-2</v>
      </c>
      <c r="AW79" s="100">
        <v>4.1025641025641026E-2</v>
      </c>
      <c r="BA79" s="23">
        <v>0</v>
      </c>
      <c r="BB79" s="23">
        <v>1</v>
      </c>
      <c r="BD79" s="23">
        <v>0.5</v>
      </c>
      <c r="BE79" s="23">
        <v>0</v>
      </c>
      <c r="BG79" s="23">
        <v>0.4</v>
      </c>
      <c r="BI79" s="100">
        <v>20.512820512820515</v>
      </c>
      <c r="BL79" s="23">
        <v>0</v>
      </c>
      <c r="BM79" s="23">
        <v>0</v>
      </c>
      <c r="BN79" s="23">
        <v>1</v>
      </c>
      <c r="BQ79" s="100">
        <v>10</v>
      </c>
      <c r="BU79" s="23">
        <v>0.67500000000000004</v>
      </c>
      <c r="BV79" s="23">
        <v>0.5757575757575758</v>
      </c>
      <c r="BW79" s="23">
        <v>0.75206611570247939</v>
      </c>
      <c r="BX79" s="23">
        <v>0.5357142857142857</v>
      </c>
      <c r="BY79" s="23">
        <v>0.61538461538461542</v>
      </c>
      <c r="BZ79" s="23">
        <v>0</v>
      </c>
      <c r="CD79" s="23">
        <v>0.52941176470588236</v>
      </c>
      <c r="CE79" s="23">
        <v>0.8</v>
      </c>
      <c r="CF79" s="23">
        <v>0.74285714285714288</v>
      </c>
      <c r="CG79" s="23">
        <v>0.69117647058823528</v>
      </c>
      <c r="CH79" s="23">
        <v>0.6</v>
      </c>
      <c r="CN79" s="23">
        <v>0</v>
      </c>
      <c r="CO79" s="23">
        <v>0.14285714285714285</v>
      </c>
      <c r="CP79" s="23">
        <v>0.125</v>
      </c>
      <c r="CQ79" s="23">
        <v>0.53333333333333333</v>
      </c>
      <c r="CR79" s="23">
        <v>0.5</v>
      </c>
    </row>
    <row r="80" spans="3:97" x14ac:dyDescent="0.25">
      <c r="C80" s="21">
        <v>62.5</v>
      </c>
      <c r="D80" s="21">
        <v>45.977011494252871</v>
      </c>
      <c r="E80" s="21">
        <v>35.714285714285715</v>
      </c>
      <c r="F80" s="21">
        <v>52.631578947368418</v>
      </c>
      <c r="K80" s="23">
        <v>0</v>
      </c>
      <c r="L80" s="23">
        <v>0</v>
      </c>
      <c r="M80" s="23">
        <v>22.5</v>
      </c>
      <c r="N80" s="23">
        <v>33.333333333333329</v>
      </c>
      <c r="O80" s="23">
        <v>0</v>
      </c>
      <c r="P80" s="23">
        <v>21.739130434782609</v>
      </c>
      <c r="Q80" s="23">
        <v>0</v>
      </c>
      <c r="R80" s="23">
        <v>28.571428571428569</v>
      </c>
      <c r="V80" s="23">
        <v>8.7999999999999995E-2</v>
      </c>
      <c r="W80" s="23">
        <v>0.22</v>
      </c>
      <c r="X80" s="23">
        <v>0.44400000000000001</v>
      </c>
      <c r="Y80" s="23">
        <v>0.152</v>
      </c>
      <c r="Z80" s="23">
        <v>0.02</v>
      </c>
      <c r="AA80" s="23">
        <v>7.5999999999999998E-2</v>
      </c>
      <c r="AE80" s="23">
        <v>6.25E-2</v>
      </c>
      <c r="AF80" s="23">
        <v>0.11494252873563218</v>
      </c>
      <c r="AG80" s="23">
        <v>6.25E-2</v>
      </c>
      <c r="AH80" s="23">
        <v>0</v>
      </c>
      <c r="AO80" s="23">
        <v>0</v>
      </c>
      <c r="AP80" s="23">
        <v>2.7777777777777776E-2</v>
      </c>
      <c r="AQ80" s="23">
        <v>5.434782608695652E-2</v>
      </c>
      <c r="AR80" s="23">
        <v>0.13333333333333333</v>
      </c>
      <c r="AU80" s="23">
        <v>4.3062200956937802E-2</v>
      </c>
      <c r="AW80" s="100">
        <v>3.8277511961722487E-2</v>
      </c>
      <c r="BA80" s="23">
        <v>0</v>
      </c>
      <c r="BB80" s="23">
        <v>0.5</v>
      </c>
      <c r="BC80" s="23">
        <v>0.6</v>
      </c>
      <c r="BG80" s="23">
        <v>0.5</v>
      </c>
      <c r="BI80" s="100">
        <v>33.492822966507177</v>
      </c>
      <c r="BL80" s="23">
        <v>0.23076923076923078</v>
      </c>
      <c r="BM80" s="23">
        <v>0</v>
      </c>
      <c r="BN80" s="23">
        <v>0.76923076923076927</v>
      </c>
      <c r="BQ80" s="100">
        <v>14</v>
      </c>
      <c r="BU80" s="23">
        <v>0.68181818181818177</v>
      </c>
      <c r="BV80" s="23">
        <v>0.69090909090909092</v>
      </c>
      <c r="BW80" s="23">
        <v>0.73873873873873874</v>
      </c>
      <c r="BX80" s="23">
        <v>0.63157894736842102</v>
      </c>
      <c r="BY80" s="23">
        <v>0.6</v>
      </c>
      <c r="BZ80" s="23">
        <v>0.10526315789473684</v>
      </c>
      <c r="CD80" s="23">
        <v>0.7</v>
      </c>
      <c r="CE80" s="23">
        <v>0.75</v>
      </c>
      <c r="CF80" s="23">
        <v>0.67391304347826086</v>
      </c>
      <c r="CG80" s="23">
        <v>0.66666666666666663</v>
      </c>
      <c r="CN80" s="23">
        <v>0</v>
      </c>
      <c r="CO80" s="23">
        <v>0.16666666666666666</v>
      </c>
      <c r="CP80" s="23">
        <v>0.23529411764705882</v>
      </c>
      <c r="CQ80" s="23">
        <v>0.5</v>
      </c>
    </row>
    <row r="81" spans="3:97" x14ac:dyDescent="0.25">
      <c r="C81" s="21">
        <v>26.548672566371682</v>
      </c>
      <c r="D81" s="21">
        <v>37.5</v>
      </c>
      <c r="G81" s="21">
        <v>100</v>
      </c>
      <c r="H81" s="21">
        <v>0</v>
      </c>
      <c r="K81" s="23">
        <v>0</v>
      </c>
      <c r="L81" s="23">
        <v>0</v>
      </c>
      <c r="M81" s="23">
        <v>8.8888888888888893</v>
      </c>
      <c r="N81" s="23">
        <v>0</v>
      </c>
      <c r="O81" s="23">
        <v>0</v>
      </c>
      <c r="P81" s="23">
        <v>22.222222222222221</v>
      </c>
      <c r="Q81" s="23">
        <v>50</v>
      </c>
      <c r="V81" s="23">
        <v>0.14399999999999999</v>
      </c>
      <c r="W81" s="23">
        <v>0.41199999999999998</v>
      </c>
      <c r="X81" s="23">
        <v>0.30399999999999999</v>
      </c>
      <c r="Y81" s="23">
        <v>0.108</v>
      </c>
      <c r="Z81" s="23">
        <v>4.0000000000000001E-3</v>
      </c>
      <c r="AA81" s="23">
        <v>2.8000000000000001E-2</v>
      </c>
      <c r="AE81" s="23">
        <v>1.7699115044247787E-2</v>
      </c>
      <c r="AF81" s="23">
        <v>6.25E-2</v>
      </c>
      <c r="AI81" s="23">
        <v>0</v>
      </c>
      <c r="AJ81" s="23">
        <v>0</v>
      </c>
      <c r="AO81" s="23">
        <v>1.8018018018018018E-2</v>
      </c>
      <c r="AP81" s="23">
        <v>4.1095890410958902E-2</v>
      </c>
      <c r="AS81" s="23">
        <v>0.2</v>
      </c>
      <c r="AT81" s="23">
        <v>5.5555555555555552E-2</v>
      </c>
      <c r="AU81" s="23">
        <v>3.3816425120772944E-2</v>
      </c>
      <c r="AW81" s="100">
        <v>1.4492753623188406E-2</v>
      </c>
      <c r="BA81" s="23">
        <v>0</v>
      </c>
      <c r="BB81" s="23">
        <v>0</v>
      </c>
      <c r="BG81" s="23">
        <v>0</v>
      </c>
      <c r="BI81" s="100">
        <v>0</v>
      </c>
      <c r="BQ81" s="100">
        <v>6</v>
      </c>
      <c r="BU81" s="23">
        <v>0.58333333333333337</v>
      </c>
      <c r="BV81" s="23">
        <v>0.4563106796116505</v>
      </c>
      <c r="BW81" s="23">
        <v>0.78947368421052633</v>
      </c>
      <c r="BX81" s="23">
        <v>0.59259259259259256</v>
      </c>
      <c r="BY81" s="23">
        <v>1</v>
      </c>
      <c r="BZ81" s="23">
        <v>0.14285714285714285</v>
      </c>
      <c r="CD81" s="23">
        <v>0.52252252252252251</v>
      </c>
      <c r="CE81" s="23">
        <v>0.71232876712328763</v>
      </c>
      <c r="CH81" s="23">
        <v>0.4</v>
      </c>
      <c r="CI81" s="23">
        <v>0.66666666666666663</v>
      </c>
      <c r="CN81" s="23">
        <v>3.2967032967032968E-2</v>
      </c>
      <c r="CO81" s="23">
        <v>0.13636363636363635</v>
      </c>
      <c r="CR81" s="23">
        <v>1</v>
      </c>
      <c r="CS81" s="23">
        <v>0.16666666666666666</v>
      </c>
    </row>
    <row r="82" spans="3:97" x14ac:dyDescent="0.25">
      <c r="C82" s="21">
        <v>26.315789473684209</v>
      </c>
      <c r="F82" s="21">
        <v>116.27906976744185</v>
      </c>
      <c r="G82" s="21">
        <v>13.157894736842104</v>
      </c>
      <c r="H82" s="21">
        <v>0</v>
      </c>
      <c r="K82" s="23">
        <v>0</v>
      </c>
      <c r="L82" s="23">
        <v>0</v>
      </c>
      <c r="M82" s="23">
        <v>8.8235294117647065</v>
      </c>
      <c r="N82" s="23">
        <v>0</v>
      </c>
      <c r="O82" s="23">
        <v>0</v>
      </c>
      <c r="P82" s="23">
        <v>6.25</v>
      </c>
      <c r="Q82" s="23">
        <v>16.666666666666664</v>
      </c>
      <c r="R82" s="23">
        <v>0</v>
      </c>
      <c r="V82" s="23">
        <v>0.38800000000000001</v>
      </c>
      <c r="W82" s="23">
        <v>0.156</v>
      </c>
      <c r="X82" s="23">
        <v>0.312</v>
      </c>
      <c r="Y82" s="23">
        <v>0.104</v>
      </c>
      <c r="Z82" s="23">
        <v>1.2E-2</v>
      </c>
      <c r="AA82" s="23">
        <v>2.8000000000000001E-2</v>
      </c>
      <c r="AE82" s="23">
        <v>5.2631578947368418E-2</v>
      </c>
      <c r="AH82" s="23">
        <v>6.9767441860465115E-2</v>
      </c>
      <c r="AI82" s="23">
        <v>2.6315789473684209E-2</v>
      </c>
      <c r="AJ82" s="23">
        <v>0</v>
      </c>
      <c r="AO82" s="23">
        <v>0</v>
      </c>
      <c r="AR82" s="23">
        <v>0</v>
      </c>
      <c r="AS82" s="23">
        <v>2.1276595744680851E-2</v>
      </c>
      <c r="AT82" s="23">
        <v>0.12903225806451613</v>
      </c>
      <c r="AU82" s="23">
        <v>3.4246575342465752E-2</v>
      </c>
      <c r="AW82" s="100">
        <v>3.4246575342465752E-2</v>
      </c>
      <c r="BA82" s="23">
        <v>1</v>
      </c>
      <c r="BD82" s="23">
        <v>0</v>
      </c>
      <c r="BE82" s="23">
        <v>0.5</v>
      </c>
      <c r="BG82" s="23">
        <v>0.5</v>
      </c>
      <c r="BI82" s="100">
        <v>20.547945205479451</v>
      </c>
      <c r="BL82" s="23">
        <v>0.6</v>
      </c>
      <c r="BM82" s="23">
        <v>0.2</v>
      </c>
      <c r="BN82" s="23">
        <v>0.2</v>
      </c>
      <c r="BQ82" s="100">
        <v>6</v>
      </c>
      <c r="BU82" s="23">
        <v>0.62886597938144329</v>
      </c>
      <c r="BV82" s="23">
        <v>0.5641025641025641</v>
      </c>
      <c r="BW82" s="23">
        <v>0.71794871794871795</v>
      </c>
      <c r="BX82" s="23">
        <v>0.73076923076923073</v>
      </c>
      <c r="BY82" s="23">
        <v>0.33333333333333331</v>
      </c>
      <c r="BZ82" s="23">
        <v>0</v>
      </c>
      <c r="CD82" s="23">
        <v>0.68571428571428572</v>
      </c>
      <c r="CG82" s="23">
        <v>0.60606060606060608</v>
      </c>
      <c r="CH82" s="23">
        <v>0.63829787234042556</v>
      </c>
      <c r="CI82" s="23">
        <v>0.77419354838709675</v>
      </c>
      <c r="CN82" s="23">
        <v>0</v>
      </c>
      <c r="CQ82" s="23">
        <v>0.66666666666666663</v>
      </c>
      <c r="CR82" s="23">
        <v>0.18181818181818182</v>
      </c>
      <c r="CS82" s="23">
        <v>0.33333333333333331</v>
      </c>
    </row>
    <row r="83" spans="3:97" x14ac:dyDescent="0.25">
      <c r="C83" s="21">
        <v>58.823529411764703</v>
      </c>
      <c r="D83" s="21">
        <v>0</v>
      </c>
      <c r="E83" s="21">
        <v>48.387096774193552</v>
      </c>
      <c r="F83" s="21">
        <v>64.516129032258064</v>
      </c>
      <c r="G83" s="21">
        <v>24.390243902439025</v>
      </c>
      <c r="H83" s="21">
        <v>21.276595744680851</v>
      </c>
      <c r="K83" s="23">
        <v>0</v>
      </c>
      <c r="L83" s="23">
        <v>16.666666666666664</v>
      </c>
      <c r="M83" s="23">
        <v>4.7619047619047619</v>
      </c>
      <c r="N83" s="23">
        <v>0</v>
      </c>
      <c r="O83" s="23">
        <v>0</v>
      </c>
      <c r="P83" s="23">
        <v>12.5</v>
      </c>
      <c r="Q83" s="23">
        <v>20</v>
      </c>
      <c r="R83" s="23">
        <v>33.333333333333329</v>
      </c>
      <c r="V83" s="23">
        <v>0.23200000000000001</v>
      </c>
      <c r="W83" s="23">
        <v>0.14000000000000001</v>
      </c>
      <c r="X83" s="23">
        <v>0.41599999999999998</v>
      </c>
      <c r="Y83" s="23">
        <v>0.14799999999999999</v>
      </c>
      <c r="Z83" s="23">
        <v>2.4E-2</v>
      </c>
      <c r="AA83" s="23">
        <v>0.04</v>
      </c>
      <c r="AE83" s="23">
        <v>2.9411764705882353E-2</v>
      </c>
      <c r="AF83" s="23">
        <v>0</v>
      </c>
      <c r="AG83" s="23">
        <v>6.4516129032258063E-2</v>
      </c>
      <c r="AH83" s="23">
        <v>6.4516129032258063E-2</v>
      </c>
      <c r="AI83" s="23">
        <v>2.4390243902439025E-2</v>
      </c>
      <c r="AJ83" s="23">
        <v>0</v>
      </c>
      <c r="AO83" s="23">
        <v>0</v>
      </c>
      <c r="AP83" s="23">
        <v>0</v>
      </c>
      <c r="AQ83" s="23">
        <v>3.7735849056603772E-2</v>
      </c>
      <c r="AR83" s="23">
        <v>8.6956521739130432E-2</v>
      </c>
      <c r="AS83" s="23">
        <v>7.6923076923076927E-2</v>
      </c>
      <c r="AT83" s="23">
        <v>4.5454545454545456E-2</v>
      </c>
      <c r="AU83" s="23">
        <v>4.9450549450549448E-2</v>
      </c>
      <c r="AW83" s="100">
        <v>2.197802197802198E-2</v>
      </c>
      <c r="BA83" s="23">
        <v>0</v>
      </c>
      <c r="BC83" s="23">
        <v>0.33333333333333331</v>
      </c>
      <c r="BD83" s="23">
        <v>0.33333333333333331</v>
      </c>
      <c r="BG83" s="23">
        <v>0.2857142857142857</v>
      </c>
      <c r="BI83" s="100">
        <v>10.989010989010989</v>
      </c>
      <c r="BL83" s="23">
        <v>0.5</v>
      </c>
      <c r="BM83" s="23">
        <v>0</v>
      </c>
      <c r="BN83" s="23">
        <v>0.5</v>
      </c>
      <c r="BQ83" s="100">
        <v>7</v>
      </c>
      <c r="BU83" s="23">
        <v>0.63793103448275867</v>
      </c>
      <c r="BV83" s="23">
        <v>0.48571428571428571</v>
      </c>
      <c r="BW83" s="23">
        <v>0.71153846153846156</v>
      </c>
      <c r="BX83" s="23">
        <v>0.64864864864864868</v>
      </c>
      <c r="BY83" s="23">
        <v>0.83333333333333337</v>
      </c>
      <c r="BZ83" s="23">
        <v>0.1</v>
      </c>
      <c r="CD83" s="23">
        <v>0.5161290322580645</v>
      </c>
      <c r="CE83" s="23">
        <v>0.75</v>
      </c>
      <c r="CF83" s="23">
        <v>0.73584905660377353</v>
      </c>
      <c r="CG83" s="23">
        <v>0.67391304347826086</v>
      </c>
      <c r="CH83" s="23">
        <v>0.53846153846153844</v>
      </c>
      <c r="CI83" s="23">
        <v>0.77272727272727271</v>
      </c>
      <c r="CN83" s="23">
        <v>6.25E-2</v>
      </c>
      <c r="CO83" s="23">
        <v>1</v>
      </c>
      <c r="CP83" s="23">
        <v>0.21428571428571427</v>
      </c>
      <c r="CQ83" s="23">
        <v>0.35714285714285715</v>
      </c>
      <c r="CR83" s="23">
        <v>0.5</v>
      </c>
      <c r="CS83" s="23">
        <v>0.2857142857142857</v>
      </c>
    </row>
    <row r="84" spans="3:97" x14ac:dyDescent="0.25">
      <c r="E84" s="21">
        <v>114.75409836065573</v>
      </c>
      <c r="F84" s="21">
        <v>69.306930693069305</v>
      </c>
      <c r="G84" s="21">
        <v>0</v>
      </c>
      <c r="K84" s="23">
        <v>0</v>
      </c>
      <c r="L84" s="23">
        <v>0</v>
      </c>
      <c r="M84" s="23">
        <v>14.285714285714285</v>
      </c>
      <c r="N84" s="23">
        <v>0</v>
      </c>
      <c r="O84" s="23">
        <v>0</v>
      </c>
      <c r="P84" s="23">
        <v>4.7619047619047619</v>
      </c>
      <c r="Q84" s="23">
        <v>30.76923076923077</v>
      </c>
      <c r="R84" s="23">
        <v>50</v>
      </c>
      <c r="V84" s="23">
        <v>0.248</v>
      </c>
      <c r="W84" s="23">
        <v>0.104</v>
      </c>
      <c r="X84" s="23">
        <v>0.42799999999999999</v>
      </c>
      <c r="Y84" s="23">
        <v>0.14399999999999999</v>
      </c>
      <c r="Z84" s="23">
        <v>0.02</v>
      </c>
      <c r="AA84" s="23">
        <v>5.6000000000000001E-2</v>
      </c>
      <c r="AG84" s="23">
        <v>8.1967213114754092E-2</v>
      </c>
      <c r="AH84" s="23">
        <v>6.9306930693069313E-2</v>
      </c>
      <c r="AI84" s="23">
        <v>2.2727272727272728E-2</v>
      </c>
      <c r="AQ84" s="23">
        <v>4.1666666666666664E-2</v>
      </c>
      <c r="AR84" s="23">
        <v>4.4117647058823532E-2</v>
      </c>
      <c r="AS84" s="23">
        <v>1.7241379310344827E-2</v>
      </c>
      <c r="AU84" s="23">
        <v>3.4482758620689655E-2</v>
      </c>
      <c r="AW84" s="100">
        <v>4.5977011494252873E-2</v>
      </c>
      <c r="BC84" s="23">
        <v>0.75</v>
      </c>
      <c r="BD84" s="23">
        <v>0.7142857142857143</v>
      </c>
      <c r="BE84" s="23">
        <v>0</v>
      </c>
      <c r="BG84" s="23">
        <v>0.61538461538461542</v>
      </c>
      <c r="BI84" s="100">
        <v>45.977011494252871</v>
      </c>
      <c r="BL84" s="23">
        <v>0.375</v>
      </c>
      <c r="BM84" s="23">
        <v>0.25</v>
      </c>
      <c r="BN84" s="23">
        <v>0.375</v>
      </c>
      <c r="BQ84" s="100">
        <v>13</v>
      </c>
      <c r="BU84" s="23">
        <v>0.62903225806451613</v>
      </c>
      <c r="BV84" s="23">
        <v>0.65384615384615385</v>
      </c>
      <c r="BW84" s="23">
        <v>0.62616822429906538</v>
      </c>
      <c r="BX84" s="23">
        <v>0.66666666666666663</v>
      </c>
      <c r="BY84" s="23">
        <v>0.6</v>
      </c>
      <c r="BZ84" s="23">
        <v>7.1428571428571425E-2</v>
      </c>
      <c r="CF84" s="23">
        <v>0.70833333333333337</v>
      </c>
      <c r="CG84" s="23">
        <v>0.57352941176470584</v>
      </c>
      <c r="CH84" s="23">
        <v>0.65517241379310343</v>
      </c>
      <c r="CP84" s="23">
        <v>0.23076923076923078</v>
      </c>
      <c r="CQ84" s="23">
        <v>0.29166666666666669</v>
      </c>
      <c r="CR84" s="23">
        <v>8.3333333333333329E-2</v>
      </c>
    </row>
    <row r="85" spans="3:97" x14ac:dyDescent="0.25">
      <c r="C85" s="21">
        <v>0</v>
      </c>
      <c r="D85" s="21">
        <v>70.175438596491233</v>
      </c>
      <c r="E85" s="21">
        <v>50.420168067226889</v>
      </c>
      <c r="F85" s="21">
        <v>63.829787234042556</v>
      </c>
      <c r="K85" s="23">
        <v>0</v>
      </c>
      <c r="L85" s="23">
        <v>0</v>
      </c>
      <c r="M85" s="23">
        <v>8.5106382978723403</v>
      </c>
      <c r="N85" s="23">
        <v>0</v>
      </c>
      <c r="O85" s="23">
        <v>0</v>
      </c>
      <c r="P85" s="23">
        <v>31.818181818181817</v>
      </c>
      <c r="Q85" s="23">
        <v>25</v>
      </c>
      <c r="R85" s="23">
        <v>66.666666666666657</v>
      </c>
      <c r="V85" s="23">
        <v>0.112</v>
      </c>
      <c r="W85" s="23">
        <v>0.20399999999999999</v>
      </c>
      <c r="X85" s="23">
        <v>0.432</v>
      </c>
      <c r="Y85" s="23">
        <v>0.124</v>
      </c>
      <c r="Z85" s="23">
        <v>0.04</v>
      </c>
      <c r="AA85" s="23">
        <v>8.7999999999999995E-2</v>
      </c>
      <c r="AE85" s="23">
        <v>7.407407407407407E-2</v>
      </c>
      <c r="AF85" s="23">
        <v>0.10526315789473684</v>
      </c>
      <c r="AG85" s="23">
        <v>8.4033613445378158E-2</v>
      </c>
      <c r="AH85" s="23">
        <v>8.5106382978723402E-2</v>
      </c>
      <c r="AO85" s="23">
        <v>0</v>
      </c>
      <c r="AP85" s="23">
        <v>4.1666666666666664E-2</v>
      </c>
      <c r="AQ85" s="23">
        <v>3.2967032967032968E-2</v>
      </c>
      <c r="AR85" s="23">
        <v>2.7777777777777776E-2</v>
      </c>
      <c r="AU85" s="23">
        <v>0.03</v>
      </c>
      <c r="AW85" s="100">
        <v>0.06</v>
      </c>
      <c r="BA85" s="23">
        <v>0</v>
      </c>
      <c r="BB85" s="23">
        <v>0.75</v>
      </c>
      <c r="BC85" s="23">
        <v>0.5</v>
      </c>
      <c r="BD85" s="23">
        <v>0.66666666666666663</v>
      </c>
      <c r="BG85" s="23">
        <v>0.52941176470588236</v>
      </c>
      <c r="BI85" s="100">
        <v>45</v>
      </c>
      <c r="BL85" s="23">
        <v>0.6428571428571429</v>
      </c>
      <c r="BM85" s="23">
        <v>7.1428571428571425E-2</v>
      </c>
      <c r="BN85" s="23">
        <v>0.2857142857142857</v>
      </c>
      <c r="BQ85" s="100">
        <v>17</v>
      </c>
      <c r="BU85" s="23">
        <v>0.35714285714285715</v>
      </c>
      <c r="BV85" s="23">
        <v>0.5490196078431373</v>
      </c>
      <c r="BW85" s="23">
        <v>0.79629629629629628</v>
      </c>
      <c r="BX85" s="23">
        <v>0.64516129032258063</v>
      </c>
      <c r="BY85" s="23">
        <v>0.5</v>
      </c>
      <c r="BZ85" s="23">
        <v>9.0909090909090912E-2</v>
      </c>
      <c r="CD85" s="23">
        <v>0.68</v>
      </c>
      <c r="CE85" s="23">
        <v>0.72916666666666663</v>
      </c>
      <c r="CF85" s="23">
        <v>0.67032967032967028</v>
      </c>
      <c r="CG85" s="23">
        <v>0.72222222222222221</v>
      </c>
      <c r="CN85" s="23">
        <v>0</v>
      </c>
      <c r="CO85" s="23">
        <v>0.125</v>
      </c>
      <c r="CP85" s="23">
        <v>0.3125</v>
      </c>
      <c r="CQ85" s="23">
        <v>9.0909090909090912E-2</v>
      </c>
    </row>
    <row r="86" spans="3:97" x14ac:dyDescent="0.25">
      <c r="C86" s="21">
        <v>12.820512820512821</v>
      </c>
      <c r="D86" s="21">
        <v>35.087719298245617</v>
      </c>
      <c r="E86" s="21">
        <v>0</v>
      </c>
      <c r="G86" s="21">
        <v>0</v>
      </c>
      <c r="H86" s="21">
        <v>0</v>
      </c>
      <c r="K86" s="23">
        <v>0</v>
      </c>
      <c r="L86" s="23">
        <v>10</v>
      </c>
      <c r="M86" s="23">
        <v>11.627906976744185</v>
      </c>
      <c r="N86" s="23">
        <v>25</v>
      </c>
      <c r="O86" s="23">
        <v>0</v>
      </c>
      <c r="P86" s="23">
        <v>20.833333333333336</v>
      </c>
      <c r="Q86" s="23">
        <v>50</v>
      </c>
      <c r="R86" s="23">
        <v>0</v>
      </c>
      <c r="V86" s="23">
        <v>0.128</v>
      </c>
      <c r="W86" s="23">
        <v>0.32400000000000001</v>
      </c>
      <c r="X86" s="23">
        <v>0.35199999999999998</v>
      </c>
      <c r="Y86" s="23">
        <v>0.11600000000000001</v>
      </c>
      <c r="Z86" s="23">
        <v>0.02</v>
      </c>
      <c r="AA86" s="23">
        <v>0.06</v>
      </c>
      <c r="AE86" s="23">
        <v>5.128205128205128E-2</v>
      </c>
      <c r="AF86" s="23">
        <v>8.771929824561403E-2</v>
      </c>
      <c r="AG86" s="23">
        <v>0.14285714285714285</v>
      </c>
      <c r="AI86" s="23">
        <v>0</v>
      </c>
      <c r="AJ86" s="23">
        <v>0</v>
      </c>
      <c r="AO86" s="23">
        <v>2.7027027027027029E-2</v>
      </c>
      <c r="AP86" s="23">
        <v>3.0612244897959183E-2</v>
      </c>
      <c r="AQ86" s="23">
        <v>0</v>
      </c>
      <c r="AS86" s="23">
        <v>0.2</v>
      </c>
      <c r="AT86" s="23">
        <v>0.1</v>
      </c>
      <c r="AU86" s="23">
        <v>3.9408866995073892E-2</v>
      </c>
      <c r="AW86" s="100">
        <v>4.9261083743842367E-2</v>
      </c>
      <c r="BA86" s="23">
        <v>0.75</v>
      </c>
      <c r="BB86" s="23">
        <v>0.5</v>
      </c>
      <c r="BG86" s="23">
        <v>0.625</v>
      </c>
      <c r="BI86" s="100">
        <v>24.630541871921181</v>
      </c>
      <c r="BL86" s="23">
        <v>0</v>
      </c>
      <c r="BM86" s="23">
        <v>0.22222222222222221</v>
      </c>
      <c r="BN86" s="23">
        <v>0.77777777777777779</v>
      </c>
      <c r="BQ86" s="100">
        <v>8</v>
      </c>
      <c r="BU86" s="23">
        <v>0.75</v>
      </c>
      <c r="BV86" s="23">
        <v>0.48148148148148145</v>
      </c>
      <c r="BW86" s="23">
        <v>0.71590909090909094</v>
      </c>
      <c r="BX86" s="23">
        <v>0.7931034482758621</v>
      </c>
      <c r="BY86" s="23">
        <v>0.8</v>
      </c>
      <c r="BZ86" s="23">
        <v>6.6666666666666666E-2</v>
      </c>
      <c r="CD86" s="23">
        <v>0.52702702702702697</v>
      </c>
      <c r="CE86" s="23">
        <v>0.7142857142857143</v>
      </c>
      <c r="CF86" s="23">
        <v>0.66666666666666663</v>
      </c>
      <c r="CH86" s="23">
        <v>0.6</v>
      </c>
      <c r="CI86" s="23">
        <v>0.65</v>
      </c>
      <c r="CN86" s="23">
        <v>3.2786885245901641E-2</v>
      </c>
      <c r="CO86" s="23">
        <v>0.14705882352941177</v>
      </c>
      <c r="CP86" s="23">
        <v>1</v>
      </c>
      <c r="CR86" s="23">
        <v>1</v>
      </c>
      <c r="CS86" s="23">
        <v>0.4</v>
      </c>
    </row>
    <row r="87" spans="3:97" x14ac:dyDescent="0.25">
      <c r="C87" s="21">
        <v>81.632653061224488</v>
      </c>
      <c r="D87" s="21">
        <v>35.087719298245617</v>
      </c>
      <c r="E87" s="21">
        <v>0</v>
      </c>
      <c r="F87" s="21">
        <v>26.315789473684209</v>
      </c>
      <c r="G87" s="21">
        <v>19.23076923076923</v>
      </c>
      <c r="H87" s="21">
        <v>21.276595744680851</v>
      </c>
      <c r="K87" s="23">
        <v>0</v>
      </c>
      <c r="L87" s="23">
        <v>12.5</v>
      </c>
      <c r="M87" s="23">
        <v>12.5</v>
      </c>
      <c r="N87" s="23">
        <v>0</v>
      </c>
      <c r="O87" s="23">
        <v>0</v>
      </c>
      <c r="P87" s="23">
        <v>9.5238095238095237</v>
      </c>
      <c r="Q87" s="23">
        <v>11.111111111111111</v>
      </c>
      <c r="R87" s="23">
        <v>0</v>
      </c>
      <c r="V87" s="23">
        <v>0.24</v>
      </c>
      <c r="W87" s="23">
        <v>0.24</v>
      </c>
      <c r="X87" s="23">
        <v>0.34799999999999998</v>
      </c>
      <c r="Y87" s="23">
        <v>0.124</v>
      </c>
      <c r="Z87" s="23">
        <v>1.6E-2</v>
      </c>
      <c r="AA87" s="23">
        <v>3.2000000000000001E-2</v>
      </c>
      <c r="AE87" s="23">
        <v>6.1224489795918366E-2</v>
      </c>
      <c r="AF87" s="23">
        <v>5.2631578947368418E-2</v>
      </c>
      <c r="AG87" s="23">
        <v>0</v>
      </c>
      <c r="AH87" s="23">
        <v>0</v>
      </c>
      <c r="AI87" s="23">
        <v>3.8461538461538464E-2</v>
      </c>
      <c r="AJ87" s="23">
        <v>0</v>
      </c>
      <c r="AO87" s="23">
        <v>4.4444444444444446E-2</v>
      </c>
      <c r="AP87" s="23">
        <v>1.9607843137254902E-2</v>
      </c>
      <c r="AQ87" s="23">
        <v>0</v>
      </c>
      <c r="AR87" s="23">
        <v>3.5714285714285712E-2</v>
      </c>
      <c r="AS87" s="23">
        <v>2.9411764705882353E-2</v>
      </c>
      <c r="AT87" s="23">
        <v>0</v>
      </c>
      <c r="AU87" s="23">
        <v>2.7472527472527472E-2</v>
      </c>
      <c r="AW87" s="100">
        <v>2.7472527472527472E-2</v>
      </c>
      <c r="BA87" s="23">
        <v>1</v>
      </c>
      <c r="BB87" s="23">
        <v>0</v>
      </c>
      <c r="BE87" s="23">
        <v>0</v>
      </c>
      <c r="BG87" s="23">
        <v>0.5714285714285714</v>
      </c>
      <c r="BI87" s="100">
        <v>21.978021978021978</v>
      </c>
      <c r="BL87" s="23">
        <v>0.25</v>
      </c>
      <c r="BM87" s="23">
        <v>0.125</v>
      </c>
      <c r="BN87" s="23">
        <v>0.625</v>
      </c>
      <c r="BQ87" s="100">
        <v>7</v>
      </c>
      <c r="BU87" s="23">
        <v>0.55000000000000004</v>
      </c>
      <c r="BV87" s="23">
        <v>0.48333333333333334</v>
      </c>
      <c r="BW87" s="23">
        <v>0.67816091954022983</v>
      </c>
      <c r="BX87" s="23">
        <v>0.54838709677419351</v>
      </c>
      <c r="BY87" s="23">
        <v>0.25</v>
      </c>
      <c r="BZ87" s="23">
        <v>0.25</v>
      </c>
      <c r="CD87" s="23">
        <v>0.57777777777777772</v>
      </c>
      <c r="CE87" s="23">
        <v>0.60784313725490191</v>
      </c>
      <c r="CF87" s="23">
        <v>0.66666666666666663</v>
      </c>
      <c r="CG87" s="23">
        <v>0.6428571428571429</v>
      </c>
      <c r="CH87" s="23">
        <v>0.44117647058823528</v>
      </c>
      <c r="CI87" s="23">
        <v>0.66666666666666663</v>
      </c>
      <c r="CN87" s="23">
        <v>0.1</v>
      </c>
      <c r="CO87" s="23">
        <v>0.20833333333333334</v>
      </c>
      <c r="CQ87" s="23">
        <v>0.14285714285714285</v>
      </c>
      <c r="CR87" s="23">
        <v>0.25</v>
      </c>
      <c r="CS87" s="23">
        <v>0.2857142857142857</v>
      </c>
    </row>
    <row r="88" spans="3:97" x14ac:dyDescent="0.25">
      <c r="C88" s="21">
        <v>63.829787234042556</v>
      </c>
      <c r="F88" s="21">
        <v>93.75</v>
      </c>
      <c r="G88" s="21">
        <v>0</v>
      </c>
      <c r="H88" s="21">
        <v>14.084507042253522</v>
      </c>
      <c r="K88" s="23">
        <v>0</v>
      </c>
      <c r="L88" s="23">
        <v>0</v>
      </c>
      <c r="M88" s="23">
        <v>16.666666666666664</v>
      </c>
      <c r="N88" s="23">
        <v>0</v>
      </c>
      <c r="O88" s="23">
        <v>0</v>
      </c>
      <c r="P88" s="23">
        <v>18.181818181818183</v>
      </c>
      <c r="Q88" s="23">
        <v>20</v>
      </c>
      <c r="V88" s="23">
        <v>0.24399999999999999</v>
      </c>
      <c r="W88" s="23">
        <v>0.28399999999999997</v>
      </c>
      <c r="X88" s="23">
        <v>0.3</v>
      </c>
      <c r="Y88" s="23">
        <v>0.12</v>
      </c>
      <c r="Z88" s="23">
        <v>0.02</v>
      </c>
      <c r="AA88" s="23">
        <v>3.2000000000000001E-2</v>
      </c>
      <c r="AE88" s="23">
        <v>2.1276595744680851E-2</v>
      </c>
      <c r="AH88" s="23">
        <v>0.125</v>
      </c>
      <c r="AI88" s="23">
        <v>3.7735849056603772E-2</v>
      </c>
      <c r="AJ88" s="23">
        <v>0</v>
      </c>
      <c r="AO88" s="23">
        <v>0</v>
      </c>
      <c r="AR88" s="23">
        <v>8.3333333333333329E-2</v>
      </c>
      <c r="AS88" s="23">
        <v>0</v>
      </c>
      <c r="AT88" s="23">
        <v>5.7142857142857141E-2</v>
      </c>
      <c r="AU88" s="23">
        <v>2.2099447513812154E-2</v>
      </c>
      <c r="AW88" s="100">
        <v>2.7624309392265192E-2</v>
      </c>
      <c r="BA88" s="23">
        <v>1</v>
      </c>
      <c r="BD88" s="23">
        <v>0.5</v>
      </c>
      <c r="BE88" s="23">
        <v>0</v>
      </c>
      <c r="BG88" s="23">
        <v>0.42857142857142855</v>
      </c>
      <c r="BI88" s="100">
        <v>16.574585635359117</v>
      </c>
      <c r="BL88" s="23">
        <v>0.6</v>
      </c>
      <c r="BM88" s="23">
        <v>0</v>
      </c>
      <c r="BN88" s="23">
        <v>0.4</v>
      </c>
      <c r="BQ88" s="100">
        <v>7</v>
      </c>
      <c r="BU88" s="23">
        <v>0.5901639344262295</v>
      </c>
      <c r="BV88" s="23">
        <v>0.54929577464788737</v>
      </c>
      <c r="BW88" s="23">
        <v>0.7466666666666667</v>
      </c>
      <c r="BX88" s="23">
        <v>0.6333333333333333</v>
      </c>
      <c r="BY88" s="23">
        <v>0.4</v>
      </c>
      <c r="BZ88" s="23">
        <v>0</v>
      </c>
      <c r="CD88" s="23">
        <v>0.651685393258427</v>
      </c>
      <c r="CG88" s="23">
        <v>0.625</v>
      </c>
      <c r="CH88" s="23">
        <v>0.51515151515151514</v>
      </c>
      <c r="CI88" s="23">
        <v>0.74285714285714288</v>
      </c>
      <c r="CN88" s="23">
        <v>0</v>
      </c>
      <c r="CQ88" s="23">
        <v>0.4</v>
      </c>
      <c r="CR88" s="23">
        <v>0.15384615384615385</v>
      </c>
      <c r="CS88" s="23">
        <v>0.2</v>
      </c>
    </row>
    <row r="89" spans="3:97" x14ac:dyDescent="0.25">
      <c r="E89" s="21">
        <v>35.714285714285715</v>
      </c>
      <c r="F89" s="21">
        <v>90.909090909090907</v>
      </c>
      <c r="G89" s="21">
        <v>28.846153846153847</v>
      </c>
      <c r="H89" s="21">
        <v>0</v>
      </c>
      <c r="K89" s="23">
        <v>0</v>
      </c>
      <c r="L89" s="23">
        <v>9.0909090909090917</v>
      </c>
      <c r="M89" s="23">
        <v>9.0909090909090917</v>
      </c>
      <c r="N89" s="23">
        <v>0</v>
      </c>
      <c r="O89" s="23">
        <v>0</v>
      </c>
      <c r="P89" s="23">
        <v>4.5454545454545459</v>
      </c>
      <c r="Q89" s="23">
        <v>0</v>
      </c>
      <c r="R89" s="23">
        <v>0</v>
      </c>
      <c r="V89" s="23">
        <v>0.26</v>
      </c>
      <c r="W89" s="23">
        <v>0.124</v>
      </c>
      <c r="X89" s="23">
        <v>0.38800000000000001</v>
      </c>
      <c r="Y89" s="23">
        <v>0.14000000000000001</v>
      </c>
      <c r="Z89" s="23">
        <v>3.5999999999999997E-2</v>
      </c>
      <c r="AA89" s="23">
        <v>5.1999999999999998E-2</v>
      </c>
      <c r="AG89" s="23">
        <v>7.1428571428571425E-2</v>
      </c>
      <c r="AH89" s="23">
        <v>6.0606060606060608E-2</v>
      </c>
      <c r="AI89" s="23">
        <v>4.807692307692308E-2</v>
      </c>
      <c r="AJ89" s="23">
        <v>0</v>
      </c>
      <c r="AQ89" s="23">
        <v>2.1739130434782608E-2</v>
      </c>
      <c r="AR89" s="23">
        <v>2.3255813953488372E-2</v>
      </c>
      <c r="AS89" s="23">
        <v>8.9552238805970144E-2</v>
      </c>
      <c r="AT89" s="23">
        <v>6.25E-2</v>
      </c>
      <c r="AU89" s="23">
        <v>5.232558139534884E-2</v>
      </c>
      <c r="AW89" s="100">
        <v>1.7441860465116279E-2</v>
      </c>
      <c r="BC89" s="23">
        <v>0.66666666666666663</v>
      </c>
      <c r="BD89" s="23">
        <v>0.5</v>
      </c>
      <c r="BE89" s="23">
        <v>0.5</v>
      </c>
      <c r="BG89" s="23">
        <v>0.5714285714285714</v>
      </c>
      <c r="BI89" s="100">
        <v>23.255813953488371</v>
      </c>
      <c r="BL89" s="23">
        <v>0.4</v>
      </c>
      <c r="BM89" s="23">
        <v>0</v>
      </c>
      <c r="BN89" s="23">
        <v>0.6</v>
      </c>
      <c r="BQ89" s="100">
        <v>7</v>
      </c>
      <c r="BU89" s="23">
        <v>0.63076923076923075</v>
      </c>
      <c r="BV89" s="23">
        <v>0.58064516129032262</v>
      </c>
      <c r="BW89" s="23">
        <v>0.57731958762886593</v>
      </c>
      <c r="BX89" s="23">
        <v>0.48571428571428571</v>
      </c>
      <c r="BY89" s="23">
        <v>0.77777777777777779</v>
      </c>
      <c r="BZ89" s="23">
        <v>0</v>
      </c>
      <c r="CF89" s="23">
        <v>0.63043478260869568</v>
      </c>
      <c r="CG89" s="23">
        <v>0.51162790697674421</v>
      </c>
      <c r="CH89" s="23">
        <v>0.55223880597014929</v>
      </c>
      <c r="CI89" s="23">
        <v>0.625</v>
      </c>
      <c r="CP89" s="23">
        <v>0.18181818181818182</v>
      </c>
      <c r="CQ89" s="23">
        <v>0.25</v>
      </c>
      <c r="CR89" s="23">
        <v>0.26923076923076922</v>
      </c>
      <c r="CS89" s="23">
        <v>0.16666666666666666</v>
      </c>
    </row>
    <row r="90" spans="3:97" x14ac:dyDescent="0.25">
      <c r="C90" s="21">
        <v>90.909090909090907</v>
      </c>
      <c r="D90" s="21">
        <v>35.087719298245617</v>
      </c>
      <c r="E90" s="21">
        <v>72.289156626506028</v>
      </c>
      <c r="F90" s="21">
        <v>56.81818181818182</v>
      </c>
      <c r="K90" s="23">
        <v>0</v>
      </c>
      <c r="L90" s="23">
        <v>0</v>
      </c>
      <c r="M90" s="23">
        <v>16</v>
      </c>
      <c r="N90" s="23">
        <v>0</v>
      </c>
      <c r="O90" s="23">
        <v>0</v>
      </c>
      <c r="P90" s="23">
        <v>33.333333333333329</v>
      </c>
      <c r="Q90" s="23">
        <v>16.666666666666664</v>
      </c>
      <c r="R90" s="23">
        <v>33.333333333333329</v>
      </c>
      <c r="V90" s="23">
        <v>0.11600000000000001</v>
      </c>
      <c r="W90" s="23">
        <v>0.22800000000000001</v>
      </c>
      <c r="X90" s="23">
        <v>0.40799999999999997</v>
      </c>
      <c r="Y90" s="23">
        <v>0.17599999999999999</v>
      </c>
      <c r="Z90" s="23">
        <v>8.0000000000000002E-3</v>
      </c>
      <c r="AA90" s="23">
        <v>6.4000000000000001E-2</v>
      </c>
      <c r="AE90" s="23">
        <v>4.5454545454545456E-2</v>
      </c>
      <c r="AF90" s="23">
        <v>5.2631578947368418E-2</v>
      </c>
      <c r="AG90" s="23">
        <v>8.4337349397590355E-2</v>
      </c>
      <c r="AH90" s="23">
        <v>5.6818181818181816E-2</v>
      </c>
      <c r="AO90" s="23">
        <v>4.7619047619047616E-2</v>
      </c>
      <c r="AP90" s="23">
        <v>1.9230769230769232E-2</v>
      </c>
      <c r="AQ90" s="23">
        <v>2.9411764705882353E-2</v>
      </c>
      <c r="AR90" s="23">
        <v>4.6875E-2</v>
      </c>
      <c r="AU90" s="23">
        <v>3.4146341463414637E-2</v>
      </c>
      <c r="AW90" s="100">
        <v>4.3902439024390241E-2</v>
      </c>
      <c r="BA90" s="23">
        <v>1</v>
      </c>
      <c r="BB90" s="23">
        <v>1</v>
      </c>
      <c r="BC90" s="23">
        <v>0.75</v>
      </c>
      <c r="BD90" s="23">
        <v>0.75</v>
      </c>
      <c r="BG90" s="23">
        <v>0.8</v>
      </c>
      <c r="BI90" s="100">
        <v>39.024390243902438</v>
      </c>
      <c r="BL90" s="23">
        <v>0.23076923076923078</v>
      </c>
      <c r="BM90" s="23">
        <v>0</v>
      </c>
      <c r="BN90" s="23">
        <v>0.76923076923076927</v>
      </c>
      <c r="BQ90" s="100">
        <v>10</v>
      </c>
      <c r="BU90" s="23">
        <v>0.62068965517241381</v>
      </c>
      <c r="BV90" s="23">
        <v>0.52631578947368418</v>
      </c>
      <c r="BW90" s="23">
        <v>0.79411764705882348</v>
      </c>
      <c r="BX90" s="23">
        <v>0.54545454545454541</v>
      </c>
      <c r="BY90" s="23">
        <v>1</v>
      </c>
      <c r="BZ90" s="23">
        <v>6.25E-2</v>
      </c>
      <c r="CD90" s="23">
        <v>0.5714285714285714</v>
      </c>
      <c r="CE90" s="23">
        <v>0.73076923076923073</v>
      </c>
      <c r="CF90" s="23">
        <v>0.67647058823529416</v>
      </c>
      <c r="CG90" s="23">
        <v>0.640625</v>
      </c>
      <c r="CN90" s="23">
        <v>0.13333333333333333</v>
      </c>
      <c r="CO90" s="23">
        <v>9.0909090909090912E-2</v>
      </c>
      <c r="CP90" s="23">
        <v>9.5238095238095233E-2</v>
      </c>
      <c r="CQ90" s="23">
        <v>0.25</v>
      </c>
    </row>
    <row r="91" spans="3:97" x14ac:dyDescent="0.25">
      <c r="C91" s="21">
        <v>16.393442622950818</v>
      </c>
      <c r="D91" s="21">
        <v>70.175438596491233</v>
      </c>
      <c r="E91" s="21">
        <v>117.64705882352941</v>
      </c>
      <c r="F91" s="21">
        <v>28.571428571428573</v>
      </c>
      <c r="H91" s="21">
        <v>0</v>
      </c>
      <c r="K91" s="23">
        <v>0</v>
      </c>
      <c r="L91" s="23">
        <v>7.6923076923076925</v>
      </c>
      <c r="M91" s="23">
        <v>6.5217391304347823</v>
      </c>
      <c r="N91" s="23">
        <v>0</v>
      </c>
      <c r="O91" s="23">
        <v>0</v>
      </c>
      <c r="P91" s="23">
        <v>19.047619047619047</v>
      </c>
      <c r="Q91" s="23">
        <v>27.27272727272727</v>
      </c>
      <c r="R91" s="23">
        <v>25</v>
      </c>
      <c r="V91" s="23">
        <v>0.14399999999999999</v>
      </c>
      <c r="W91" s="23">
        <v>0.22800000000000001</v>
      </c>
      <c r="X91" s="23">
        <v>0.40799999999999997</v>
      </c>
      <c r="Y91" s="23">
        <v>0.156</v>
      </c>
      <c r="Z91" s="23">
        <v>2.4E-2</v>
      </c>
      <c r="AA91" s="23">
        <v>0.04</v>
      </c>
      <c r="AE91" s="23">
        <v>1.6393442622950821E-2</v>
      </c>
      <c r="AF91" s="23">
        <v>7.0175438596491224E-2</v>
      </c>
      <c r="AG91" s="23">
        <v>5.8823529411764705E-2</v>
      </c>
      <c r="AH91" s="23">
        <v>2.8571428571428571E-2</v>
      </c>
      <c r="AJ91" s="23">
        <v>2.1739130434782608E-2</v>
      </c>
      <c r="AO91" s="23">
        <v>1.7543859649122806E-2</v>
      </c>
      <c r="AP91" s="23">
        <v>5.8823529411764705E-2</v>
      </c>
      <c r="AQ91" s="23">
        <v>5.128205128205128E-2</v>
      </c>
      <c r="AR91" s="23">
        <v>7.407407407407407E-2</v>
      </c>
      <c r="AT91" s="23">
        <v>6.6666666666666666E-2</v>
      </c>
      <c r="AU91" s="23">
        <v>4.9019607843137254E-2</v>
      </c>
      <c r="AW91" s="100">
        <v>2.9411764705882353E-2</v>
      </c>
      <c r="BB91" s="23">
        <v>0.33333333333333331</v>
      </c>
      <c r="BC91" s="23">
        <v>0.75</v>
      </c>
      <c r="BF91" s="23">
        <v>1</v>
      </c>
      <c r="BG91" s="23">
        <v>0.625</v>
      </c>
      <c r="BI91" s="100">
        <v>24.509803921568629</v>
      </c>
      <c r="BL91" s="23">
        <v>0</v>
      </c>
      <c r="BM91" s="23">
        <v>0</v>
      </c>
      <c r="BN91" s="23">
        <v>1</v>
      </c>
      <c r="BQ91" s="100">
        <v>8</v>
      </c>
      <c r="BU91" s="23">
        <v>0.55555555555555558</v>
      </c>
      <c r="BV91" s="23">
        <v>0.42105263157894735</v>
      </c>
      <c r="BW91" s="23">
        <v>0.65686274509803921</v>
      </c>
      <c r="BX91" s="23">
        <v>0.58974358974358976</v>
      </c>
      <c r="BY91" s="23">
        <v>0.66666666666666663</v>
      </c>
      <c r="BZ91" s="23">
        <v>0</v>
      </c>
      <c r="CD91" s="23">
        <v>0.50877192982456143</v>
      </c>
      <c r="CE91" s="23">
        <v>0.5490196078431373</v>
      </c>
      <c r="CF91" s="23">
        <v>0.66666666666666663</v>
      </c>
      <c r="CG91" s="23">
        <v>0.77777777777777779</v>
      </c>
      <c r="CI91" s="23">
        <v>0.46666666666666667</v>
      </c>
      <c r="CN91" s="23">
        <v>2.8571428571428571E-2</v>
      </c>
      <c r="CO91" s="23">
        <v>0.19047619047619047</v>
      </c>
      <c r="CP91" s="23">
        <v>0.25</v>
      </c>
      <c r="CQ91" s="23">
        <v>0.5</v>
      </c>
      <c r="CS91" s="23">
        <v>0.4</v>
      </c>
    </row>
    <row r="92" spans="3:97" x14ac:dyDescent="0.25">
      <c r="C92" s="21">
        <v>32.786885245901637</v>
      </c>
      <c r="D92" s="21">
        <v>95.238095238095241</v>
      </c>
      <c r="E92" s="21">
        <v>78.125</v>
      </c>
      <c r="H92" s="21">
        <v>24.390243902439025</v>
      </c>
      <c r="K92" s="23">
        <v>0</v>
      </c>
      <c r="L92" s="23">
        <v>0</v>
      </c>
      <c r="M92" s="23">
        <v>12.820512820512819</v>
      </c>
      <c r="N92" s="23">
        <v>0</v>
      </c>
      <c r="O92" s="23">
        <v>0</v>
      </c>
      <c r="P92" s="23">
        <v>15.384615384615385</v>
      </c>
      <c r="Q92" s="23">
        <v>27.27272727272727</v>
      </c>
      <c r="R92" s="23">
        <v>25</v>
      </c>
      <c r="V92" s="23">
        <v>0.124</v>
      </c>
      <c r="W92" s="23">
        <v>0.24</v>
      </c>
      <c r="X92" s="23">
        <v>0.38800000000000001</v>
      </c>
      <c r="Y92" s="23">
        <v>0.188</v>
      </c>
      <c r="Z92" s="23">
        <v>1.6E-2</v>
      </c>
      <c r="AA92" s="23">
        <v>4.3999999999999997E-2</v>
      </c>
      <c r="AE92" s="23">
        <v>4.9180327868852458E-2</v>
      </c>
      <c r="AF92" s="23">
        <v>4.7619047619047616E-2</v>
      </c>
      <c r="AG92" s="23">
        <v>6.25E-2</v>
      </c>
      <c r="AJ92" s="23">
        <v>0</v>
      </c>
      <c r="AO92" s="23">
        <v>0</v>
      </c>
      <c r="AP92" s="23">
        <v>6.6666666666666666E-2</v>
      </c>
      <c r="AQ92" s="23">
        <v>1.8518518518518517E-2</v>
      </c>
      <c r="AT92" s="23">
        <v>0.30434782608695654</v>
      </c>
      <c r="AU92" s="23">
        <v>6.25E-2</v>
      </c>
      <c r="AW92" s="100">
        <v>2.8846153846153848E-2</v>
      </c>
      <c r="BA92" s="23">
        <v>1</v>
      </c>
      <c r="BB92" s="23">
        <v>0.5</v>
      </c>
      <c r="BC92" s="23">
        <v>0</v>
      </c>
      <c r="BG92" s="23">
        <v>0.5</v>
      </c>
      <c r="BI92" s="100">
        <v>14.423076923076923</v>
      </c>
      <c r="BL92" s="23">
        <v>0</v>
      </c>
      <c r="BM92" s="23">
        <v>0</v>
      </c>
      <c r="BN92" s="23">
        <v>1</v>
      </c>
      <c r="BQ92" s="100">
        <v>6</v>
      </c>
      <c r="BU92" s="23">
        <v>0.64516129032258063</v>
      </c>
      <c r="BV92" s="23">
        <v>0.51666666666666672</v>
      </c>
      <c r="BW92" s="23">
        <v>0.74226804123711343</v>
      </c>
      <c r="BX92" s="23">
        <v>0.65957446808510634</v>
      </c>
      <c r="BY92" s="23">
        <v>0.75</v>
      </c>
      <c r="BZ92" s="23">
        <v>0.18181818181818182</v>
      </c>
      <c r="CD92" s="23">
        <v>0.6071428571428571</v>
      </c>
      <c r="CE92" s="23">
        <v>0.72</v>
      </c>
      <c r="CF92" s="23">
        <v>0.66666666666666663</v>
      </c>
      <c r="CI92" s="23">
        <v>0.56521739130434778</v>
      </c>
      <c r="CN92" s="23">
        <v>0</v>
      </c>
      <c r="CO92" s="23">
        <v>0.19230769230769232</v>
      </c>
      <c r="CP92" s="23">
        <v>0.36363636363636365</v>
      </c>
      <c r="CS92" s="23">
        <v>0.6428571428571429</v>
      </c>
    </row>
    <row r="93" spans="3:97" x14ac:dyDescent="0.25">
      <c r="C93" s="21">
        <v>0</v>
      </c>
      <c r="D93" s="21">
        <v>66.666666666666671</v>
      </c>
      <c r="F93" s="21">
        <v>0</v>
      </c>
      <c r="G93" s="21">
        <v>0</v>
      </c>
      <c r="H93" s="21">
        <v>0</v>
      </c>
      <c r="K93" s="23">
        <v>0</v>
      </c>
      <c r="L93" s="23">
        <v>0</v>
      </c>
      <c r="M93" s="23">
        <v>0</v>
      </c>
      <c r="N93" s="23">
        <v>0</v>
      </c>
      <c r="O93" s="23">
        <v>0</v>
      </c>
      <c r="P93" s="23">
        <v>30</v>
      </c>
      <c r="Q93" s="23">
        <v>0</v>
      </c>
      <c r="R93" s="23">
        <v>16.666666666666664</v>
      </c>
      <c r="V93" s="23">
        <v>0.20399999999999999</v>
      </c>
      <c r="W93" s="23">
        <v>0.28799999999999998</v>
      </c>
      <c r="X93" s="23">
        <v>0.34399999999999997</v>
      </c>
      <c r="Y93" s="23">
        <v>9.1999999999999998E-2</v>
      </c>
      <c r="Z93" s="23">
        <v>2.8000000000000001E-2</v>
      </c>
      <c r="AA93" s="23">
        <v>4.3999999999999997E-2</v>
      </c>
      <c r="AE93" s="23">
        <v>4.2553191489361701E-2</v>
      </c>
      <c r="AF93" s="23">
        <v>0.16666666666666666</v>
      </c>
      <c r="AH93" s="23">
        <v>0</v>
      </c>
      <c r="AI93" s="23">
        <v>3.8461538461538464E-2</v>
      </c>
      <c r="AJ93" s="23">
        <v>0</v>
      </c>
      <c r="AO93" s="23">
        <v>0</v>
      </c>
      <c r="AP93" s="23">
        <v>0.08</v>
      </c>
      <c r="AR93" s="23">
        <v>4.7619047619047616E-2</v>
      </c>
      <c r="AS93" s="23">
        <v>9.375E-2</v>
      </c>
      <c r="AT93" s="23">
        <v>0.1</v>
      </c>
      <c r="AU93" s="23">
        <v>4.2553191489361701E-2</v>
      </c>
      <c r="AW93" s="100">
        <v>1.5957446808510637E-2</v>
      </c>
      <c r="BA93" s="23">
        <v>0</v>
      </c>
      <c r="BB93" s="23">
        <v>0.75</v>
      </c>
      <c r="BE93" s="23">
        <v>0</v>
      </c>
      <c r="BG93" s="23">
        <v>0.375</v>
      </c>
      <c r="BI93" s="100">
        <v>15.957446808510639</v>
      </c>
      <c r="BL93" s="23">
        <v>0</v>
      </c>
      <c r="BM93" s="23">
        <v>0</v>
      </c>
      <c r="BN93" s="23">
        <v>1</v>
      </c>
      <c r="BQ93" s="100">
        <v>8</v>
      </c>
      <c r="BU93" s="23">
        <v>0.60784313725490191</v>
      </c>
      <c r="BV93" s="23">
        <v>0.3888888888888889</v>
      </c>
      <c r="BW93" s="23">
        <v>0.7558139534883721</v>
      </c>
      <c r="BX93" s="23">
        <v>0.65217391304347827</v>
      </c>
      <c r="BY93" s="23">
        <v>0.8571428571428571</v>
      </c>
      <c r="BZ93" s="23">
        <v>0.18181818181818182</v>
      </c>
      <c r="CD93" s="23">
        <v>0.5444444444444444</v>
      </c>
      <c r="CE93" s="23">
        <v>0.8</v>
      </c>
      <c r="CG93" s="23">
        <v>0.80952380952380953</v>
      </c>
      <c r="CH93" s="23">
        <v>0.53125</v>
      </c>
      <c r="CI93" s="23">
        <v>0.55000000000000004</v>
      </c>
      <c r="CN93" s="23">
        <v>3.1746031746031744E-2</v>
      </c>
      <c r="CO93" s="23">
        <v>0.5</v>
      </c>
      <c r="CQ93" s="23">
        <v>0.2</v>
      </c>
      <c r="CR93" s="23">
        <v>0.55555555555555558</v>
      </c>
      <c r="CS93" s="23">
        <v>0.25</v>
      </c>
    </row>
    <row r="94" spans="3:97" x14ac:dyDescent="0.25">
      <c r="C94" s="21">
        <v>0</v>
      </c>
      <c r="E94" s="21">
        <v>80</v>
      </c>
      <c r="F94" s="21">
        <v>80.645161290322577</v>
      </c>
      <c r="G94" s="21">
        <v>13.513513513513514</v>
      </c>
      <c r="H94" s="21">
        <v>18.867924528301888</v>
      </c>
      <c r="K94" s="23">
        <v>0</v>
      </c>
      <c r="L94" s="23">
        <v>20</v>
      </c>
      <c r="M94" s="23">
        <v>18.421052631578945</v>
      </c>
      <c r="N94" s="23">
        <v>0</v>
      </c>
      <c r="O94" s="23">
        <v>0</v>
      </c>
      <c r="P94" s="23">
        <v>12.5</v>
      </c>
      <c r="Q94" s="23">
        <v>0</v>
      </c>
      <c r="R94" s="23">
        <v>50</v>
      </c>
      <c r="V94" s="23">
        <v>0.3</v>
      </c>
      <c r="W94" s="23">
        <v>0.124</v>
      </c>
      <c r="X94" s="23">
        <v>0.35199999999999998</v>
      </c>
      <c r="Y94" s="23">
        <v>0.13200000000000001</v>
      </c>
      <c r="Z94" s="23">
        <v>4.8000000000000001E-2</v>
      </c>
      <c r="AA94" s="23">
        <v>4.3999999999999997E-2</v>
      </c>
      <c r="AE94" s="23">
        <v>0</v>
      </c>
      <c r="AG94" s="23">
        <v>0.04</v>
      </c>
      <c r="AH94" s="23">
        <v>0.11290322580645161</v>
      </c>
      <c r="AI94" s="23">
        <v>2.7027027027027029E-2</v>
      </c>
      <c r="AJ94" s="23">
        <v>0</v>
      </c>
      <c r="AO94" s="23">
        <v>0</v>
      </c>
      <c r="AQ94" s="23">
        <v>6.9767441860465115E-2</v>
      </c>
      <c r="AR94" s="23">
        <v>6.6666666666666666E-2</v>
      </c>
      <c r="AS94" s="23">
        <v>6.9767441860465115E-2</v>
      </c>
      <c r="AT94" s="23">
        <v>4.5454545454545456E-2</v>
      </c>
      <c r="AU94" s="23">
        <v>6.097560975609756E-2</v>
      </c>
      <c r="AW94" s="100">
        <v>4.878048780487805E-2</v>
      </c>
      <c r="BC94" s="23">
        <v>0</v>
      </c>
      <c r="BD94" s="23">
        <v>0.5714285714285714</v>
      </c>
      <c r="BE94" s="23">
        <v>0</v>
      </c>
      <c r="BG94" s="23">
        <v>0.44444444444444442</v>
      </c>
      <c r="BI94" s="100">
        <v>24.390243902439025</v>
      </c>
      <c r="BL94" s="23">
        <v>0.42857142857142855</v>
      </c>
      <c r="BM94" s="23">
        <v>0</v>
      </c>
      <c r="BN94" s="23">
        <v>0.5714285714285714</v>
      </c>
      <c r="BQ94" s="100">
        <v>9</v>
      </c>
      <c r="BU94" s="23">
        <v>0.68</v>
      </c>
      <c r="BV94" s="23">
        <v>0.41935483870967744</v>
      </c>
      <c r="BW94" s="23">
        <v>0.75</v>
      </c>
      <c r="BX94" s="23">
        <v>0.45454545454545453</v>
      </c>
      <c r="BY94" s="23">
        <v>0.66666666666666663</v>
      </c>
      <c r="BZ94" s="23">
        <v>0.18181818181818182</v>
      </c>
      <c r="CD94" s="23">
        <v>0.18181818181818182</v>
      </c>
      <c r="CF94" s="23">
        <v>0.72093023255813948</v>
      </c>
      <c r="CG94" s="23">
        <v>0.62222222222222223</v>
      </c>
      <c r="CH94" s="23">
        <v>0.65116279069767447</v>
      </c>
      <c r="CI94" s="23">
        <v>0.59090909090909094</v>
      </c>
      <c r="CN94" s="23">
        <v>0</v>
      </c>
      <c r="CP94" s="23">
        <v>0.45454545454545453</v>
      </c>
      <c r="CQ94" s="23">
        <v>0.35</v>
      </c>
      <c r="CR94" s="23">
        <v>0.30769230769230771</v>
      </c>
      <c r="CS94" s="23">
        <v>0.22222222222222221</v>
      </c>
    </row>
    <row r="95" spans="3:97" x14ac:dyDescent="0.25">
      <c r="C95" s="21">
        <v>62.5</v>
      </c>
      <c r="D95" s="21">
        <v>52.631578947368418</v>
      </c>
      <c r="E95" s="21">
        <v>79.365079365079367</v>
      </c>
      <c r="F95" s="21">
        <v>32.258064516129032</v>
      </c>
      <c r="G95" s="21">
        <v>0</v>
      </c>
      <c r="H95" s="21">
        <v>0</v>
      </c>
      <c r="K95" s="23">
        <v>0</v>
      </c>
      <c r="L95" s="23">
        <v>14.285714285714285</v>
      </c>
      <c r="M95" s="23">
        <v>8.695652173913043</v>
      </c>
      <c r="N95" s="23">
        <v>0</v>
      </c>
      <c r="O95" s="23">
        <v>0</v>
      </c>
      <c r="P95" s="23">
        <v>25</v>
      </c>
      <c r="Q95" s="23">
        <v>12.5</v>
      </c>
      <c r="R95" s="23">
        <v>20</v>
      </c>
      <c r="V95" s="23">
        <v>0.18</v>
      </c>
      <c r="W95" s="23">
        <v>0.152</v>
      </c>
      <c r="X95" s="23">
        <v>0.44</v>
      </c>
      <c r="Y95" s="23">
        <v>0.12</v>
      </c>
      <c r="Z95" s="23">
        <v>3.5999999999999997E-2</v>
      </c>
      <c r="AA95" s="23">
        <v>7.1999999999999995E-2</v>
      </c>
      <c r="AE95" s="23">
        <v>0</v>
      </c>
      <c r="AF95" s="23">
        <v>0.19298245614035087</v>
      </c>
      <c r="AG95" s="23">
        <v>0</v>
      </c>
      <c r="AH95" s="23">
        <v>6.4516129032258063E-2</v>
      </c>
      <c r="AI95" s="23">
        <v>7.3170731707317069E-2</v>
      </c>
      <c r="AJ95" s="23">
        <v>0</v>
      </c>
      <c r="AO95" s="23">
        <v>6.25E-2</v>
      </c>
      <c r="AP95" s="23">
        <v>0</v>
      </c>
      <c r="AQ95" s="23">
        <v>3.5714285714285712E-2</v>
      </c>
      <c r="AR95" s="23">
        <v>0.13636363636363635</v>
      </c>
      <c r="AS95" s="23">
        <v>8.6956521739130432E-2</v>
      </c>
      <c r="AT95" s="23">
        <v>0</v>
      </c>
      <c r="AU95" s="23">
        <v>5.8823529411764705E-2</v>
      </c>
      <c r="AW95" s="100">
        <v>4.2780748663101602E-2</v>
      </c>
      <c r="BB95" s="23">
        <v>0.66666666666666663</v>
      </c>
      <c r="BD95" s="23">
        <v>1</v>
      </c>
      <c r="BE95" s="23">
        <v>0</v>
      </c>
      <c r="BG95" s="23">
        <v>0.55555555555555558</v>
      </c>
      <c r="BI95" s="100">
        <v>26.737967914438503</v>
      </c>
      <c r="BL95" s="23">
        <v>0.14285714285714285</v>
      </c>
      <c r="BM95" s="23">
        <v>0.2857142857142857</v>
      </c>
      <c r="BN95" s="23">
        <v>0.5714285714285714</v>
      </c>
      <c r="BQ95" s="100">
        <v>9</v>
      </c>
      <c r="BU95" s="23">
        <v>0.62222222222222223</v>
      </c>
      <c r="BV95" s="23">
        <v>0.57894736842105265</v>
      </c>
      <c r="BW95" s="23">
        <v>0.65454545454545454</v>
      </c>
      <c r="BX95" s="23">
        <v>0.66666666666666663</v>
      </c>
      <c r="BY95" s="23">
        <v>0.33333333333333331</v>
      </c>
      <c r="BZ95" s="23">
        <v>5.5555555555555552E-2</v>
      </c>
      <c r="CD95" s="23">
        <v>0.625</v>
      </c>
      <c r="CE95" s="23">
        <v>0.6428571428571429</v>
      </c>
      <c r="CF95" s="23">
        <v>0.6607142857142857</v>
      </c>
      <c r="CG95" s="23">
        <v>0.59090909090909094</v>
      </c>
      <c r="CH95" s="23">
        <v>0.56521739130434778</v>
      </c>
      <c r="CI95" s="23">
        <v>0.66666666666666663</v>
      </c>
      <c r="CN95" s="23">
        <v>0.16666666666666666</v>
      </c>
      <c r="CO95" s="23">
        <v>0</v>
      </c>
      <c r="CP95" s="23">
        <v>0.3125</v>
      </c>
      <c r="CQ95" s="23">
        <v>0.53333333333333333</v>
      </c>
      <c r="CR95" s="23">
        <v>0.27272727272727271</v>
      </c>
      <c r="CS95" s="23">
        <v>1</v>
      </c>
    </row>
    <row r="96" spans="3:97" x14ac:dyDescent="0.25">
      <c r="C96" s="21">
        <v>0</v>
      </c>
      <c r="D96" s="21">
        <v>17.543859649122808</v>
      </c>
      <c r="E96" s="21">
        <v>32.258064516129032</v>
      </c>
      <c r="F96" s="21">
        <v>103.8961038961039</v>
      </c>
      <c r="G96" s="21">
        <v>23.255813953488371</v>
      </c>
      <c r="K96" s="23">
        <v>0</v>
      </c>
      <c r="L96" s="23">
        <v>30</v>
      </c>
      <c r="M96" s="23">
        <v>7.0175438596491224</v>
      </c>
      <c r="N96" s="23">
        <v>0</v>
      </c>
      <c r="O96" s="23">
        <v>0</v>
      </c>
      <c r="P96" s="23">
        <v>16.666666666666664</v>
      </c>
      <c r="Q96" s="23">
        <v>33.333333333333329</v>
      </c>
      <c r="R96" s="23">
        <v>0</v>
      </c>
      <c r="V96" s="23">
        <v>0.19600000000000001</v>
      </c>
      <c r="W96" s="23">
        <v>0.108</v>
      </c>
      <c r="X96" s="23">
        <v>0.45600000000000002</v>
      </c>
      <c r="Y96" s="23">
        <v>0.11600000000000001</v>
      </c>
      <c r="Z96" s="23">
        <v>5.1999999999999998E-2</v>
      </c>
      <c r="AA96" s="23">
        <v>7.1999999999999995E-2</v>
      </c>
      <c r="AE96" s="23">
        <v>9.0909090909090912E-2</v>
      </c>
      <c r="AF96" s="23">
        <v>8.771929824561403E-2</v>
      </c>
      <c r="AG96" s="23">
        <v>9.6774193548387094E-2</v>
      </c>
      <c r="AH96" s="23">
        <v>5.1948051948051951E-2</v>
      </c>
      <c r="AI96" s="23">
        <v>4.6511627906976744E-2</v>
      </c>
      <c r="AO96" s="23">
        <v>0</v>
      </c>
      <c r="AP96" s="23">
        <v>0</v>
      </c>
      <c r="AQ96" s="23">
        <v>4.3478260869565216E-2</v>
      </c>
      <c r="AR96" s="23">
        <v>0.10344827586206896</v>
      </c>
      <c r="AS96" s="23">
        <v>4.7619047619047616E-2</v>
      </c>
      <c r="AU96" s="23">
        <v>4.9180327868852458E-2</v>
      </c>
      <c r="AW96" s="100">
        <v>1.6393442622950821E-2</v>
      </c>
      <c r="BA96" s="23">
        <v>0</v>
      </c>
      <c r="BB96" s="23">
        <v>0.75</v>
      </c>
      <c r="BC96" s="23">
        <v>0.75</v>
      </c>
      <c r="BD96" s="23">
        <v>0.8</v>
      </c>
      <c r="BE96" s="23">
        <v>0.5</v>
      </c>
      <c r="BG96" s="23">
        <v>0.6875</v>
      </c>
      <c r="BI96" s="100">
        <v>60.10928961748634</v>
      </c>
      <c r="BL96" s="23">
        <v>0.33333333333333331</v>
      </c>
      <c r="BM96" s="23">
        <v>0.1111111111111111</v>
      </c>
      <c r="BN96" s="23">
        <v>0.55555555555555558</v>
      </c>
      <c r="BQ96" s="100">
        <v>16</v>
      </c>
      <c r="BU96" s="23">
        <v>0.69387755102040816</v>
      </c>
      <c r="BV96" s="23">
        <v>0.44444444444444442</v>
      </c>
      <c r="BW96" s="23">
        <v>0.79824561403508776</v>
      </c>
      <c r="BX96" s="23">
        <v>0.68965517241379315</v>
      </c>
      <c r="BY96" s="23">
        <v>0.76923076923076927</v>
      </c>
      <c r="BZ96" s="23">
        <v>0.16666666666666666</v>
      </c>
      <c r="CD96" s="23">
        <v>0.4</v>
      </c>
      <c r="CE96" s="23">
        <v>0.79166666666666663</v>
      </c>
      <c r="CF96" s="23">
        <v>0.78260869565217395</v>
      </c>
      <c r="CG96" s="23">
        <v>0.67241379310344829</v>
      </c>
      <c r="CH96" s="23">
        <v>0.76190476190476186</v>
      </c>
      <c r="CN96" s="23">
        <v>0</v>
      </c>
      <c r="CO96" s="23">
        <v>8.3333333333333329E-2</v>
      </c>
      <c r="CP96" s="23">
        <v>0.25</v>
      </c>
      <c r="CQ96" s="23">
        <v>0.53846153846153844</v>
      </c>
      <c r="CR96" s="23">
        <v>0.22222222222222221</v>
      </c>
    </row>
    <row r="97" spans="3:97" x14ac:dyDescent="0.25">
      <c r="C97" s="21">
        <v>50</v>
      </c>
      <c r="D97" s="21">
        <v>17.543859649122808</v>
      </c>
      <c r="E97" s="21">
        <v>41.666666666666664</v>
      </c>
      <c r="F97" s="21">
        <v>80</v>
      </c>
      <c r="H97" s="21">
        <v>0</v>
      </c>
      <c r="K97" s="23">
        <v>0</v>
      </c>
      <c r="L97" s="23">
        <v>0</v>
      </c>
      <c r="M97" s="23">
        <v>9.67741935483871</v>
      </c>
      <c r="N97" s="23">
        <v>0</v>
      </c>
      <c r="O97" s="23">
        <v>0</v>
      </c>
      <c r="P97" s="23">
        <v>25</v>
      </c>
      <c r="Q97" s="23">
        <v>28.571428571428569</v>
      </c>
      <c r="R97" s="23">
        <v>33.333333333333329</v>
      </c>
      <c r="V97" s="23">
        <v>0.184</v>
      </c>
      <c r="W97" s="23">
        <v>0.248</v>
      </c>
      <c r="X97" s="23">
        <v>0.34399999999999997</v>
      </c>
      <c r="Y97" s="23">
        <v>0.14799999999999999</v>
      </c>
      <c r="Z97" s="23">
        <v>0.02</v>
      </c>
      <c r="AA97" s="23">
        <v>5.6000000000000001E-2</v>
      </c>
      <c r="AE97" s="23">
        <v>8.3333333333333329E-2</v>
      </c>
      <c r="AF97" s="23">
        <v>5.2631578947368418E-2</v>
      </c>
      <c r="AG97" s="23">
        <v>6.9444444444444448E-2</v>
      </c>
      <c r="AH97" s="23">
        <v>0.04</v>
      </c>
      <c r="AJ97" s="23">
        <v>0</v>
      </c>
      <c r="AO97" s="23">
        <v>1.8518518518518517E-2</v>
      </c>
      <c r="AP97" s="23">
        <v>5.7692307692307696E-2</v>
      </c>
      <c r="AQ97" s="23">
        <v>8.6206896551724144E-2</v>
      </c>
      <c r="AR97" s="23">
        <v>6.25E-2</v>
      </c>
      <c r="AT97" s="23">
        <v>0</v>
      </c>
      <c r="AU97" s="23">
        <v>5.2631578947368418E-2</v>
      </c>
      <c r="AW97" s="100">
        <v>2.1052631578947368E-2</v>
      </c>
      <c r="BA97" s="23">
        <v>0.4</v>
      </c>
      <c r="BB97" s="23">
        <v>0.33333333333333331</v>
      </c>
      <c r="BC97" s="23">
        <v>0.5</v>
      </c>
      <c r="BD97" s="23">
        <v>1</v>
      </c>
      <c r="BG97" s="23">
        <v>0.46153846153846156</v>
      </c>
      <c r="BI97" s="100">
        <v>31.578947368421051</v>
      </c>
      <c r="BL97" s="23">
        <v>0.2</v>
      </c>
      <c r="BM97" s="23">
        <v>0.2</v>
      </c>
      <c r="BN97" s="23">
        <v>0.6</v>
      </c>
      <c r="BQ97" s="100">
        <v>13</v>
      </c>
      <c r="BU97" s="23">
        <v>0.63043478260869568</v>
      </c>
      <c r="BV97" s="23">
        <v>0.40322580645161288</v>
      </c>
      <c r="BW97" s="23">
        <v>0.81395348837209303</v>
      </c>
      <c r="BX97" s="23">
        <v>0.7567567567567568</v>
      </c>
      <c r="BY97" s="23">
        <v>0.6</v>
      </c>
      <c r="BZ97" s="23">
        <v>0.35714285714285715</v>
      </c>
      <c r="CD97" s="23">
        <v>0.37037037037037035</v>
      </c>
      <c r="CE97" s="23">
        <v>0.76923076923076927</v>
      </c>
      <c r="CF97" s="23">
        <v>0.81034482758620685</v>
      </c>
      <c r="CG97" s="23">
        <v>0.75</v>
      </c>
      <c r="CI97" s="23">
        <v>0.7</v>
      </c>
      <c r="CN97" s="23">
        <v>4.4444444444444446E-2</v>
      </c>
      <c r="CO97" s="23">
        <v>0.33333333333333331</v>
      </c>
      <c r="CP97" s="23">
        <v>0.23809523809523808</v>
      </c>
      <c r="CQ97" s="23">
        <v>0.25</v>
      </c>
      <c r="CS97" s="23">
        <v>0.5</v>
      </c>
    </row>
    <row r="98" spans="3:97" x14ac:dyDescent="0.25">
      <c r="C98" s="21">
        <v>15.625</v>
      </c>
      <c r="D98" s="21">
        <v>17.543859649122808</v>
      </c>
      <c r="E98" s="21">
        <v>125</v>
      </c>
      <c r="F98" s="21">
        <v>45.454545454545453</v>
      </c>
      <c r="G98" s="21">
        <v>38.46153846153846</v>
      </c>
      <c r="H98" s="21">
        <v>0</v>
      </c>
      <c r="K98" s="23">
        <v>0</v>
      </c>
      <c r="L98" s="23">
        <v>0</v>
      </c>
      <c r="M98" s="23">
        <v>12.820512820512819</v>
      </c>
      <c r="N98" s="23">
        <v>16.666666666666664</v>
      </c>
      <c r="O98" s="23">
        <v>0</v>
      </c>
      <c r="P98" s="23">
        <v>41.666666666666671</v>
      </c>
      <c r="Q98" s="23">
        <v>28.571428571428569</v>
      </c>
      <c r="R98" s="23">
        <v>0</v>
      </c>
      <c r="V98" s="23">
        <v>0.188</v>
      </c>
      <c r="W98" s="23">
        <v>0.26800000000000002</v>
      </c>
      <c r="X98" s="23">
        <v>0.34399999999999997</v>
      </c>
      <c r="Y98" s="23">
        <v>0.124</v>
      </c>
      <c r="Z98" s="23">
        <v>0.04</v>
      </c>
      <c r="AA98" s="23">
        <v>3.5999999999999997E-2</v>
      </c>
      <c r="AE98" s="23">
        <v>3.125E-2</v>
      </c>
      <c r="AF98" s="23">
        <v>5.2631578947368418E-2</v>
      </c>
      <c r="AG98" s="23">
        <v>0.25</v>
      </c>
      <c r="AH98" s="23">
        <v>9.0909090909090912E-2</v>
      </c>
      <c r="AI98" s="23">
        <v>0</v>
      </c>
      <c r="AJ98" s="23">
        <v>0</v>
      </c>
      <c r="AO98" s="23">
        <v>1.6393442622950821E-2</v>
      </c>
      <c r="AP98" s="23">
        <v>3.8461538461538464E-2</v>
      </c>
      <c r="AQ98" s="23">
        <v>0</v>
      </c>
      <c r="AR98" s="23">
        <v>0.125</v>
      </c>
      <c r="AS98" s="23">
        <v>0.13157894736842105</v>
      </c>
      <c r="AT98" s="23">
        <v>9.0909090909090912E-2</v>
      </c>
      <c r="AU98" s="23">
        <v>6.1855670103092786E-2</v>
      </c>
      <c r="AW98" s="100">
        <v>3.608247422680412E-2</v>
      </c>
      <c r="BA98" s="23">
        <v>0.5</v>
      </c>
      <c r="BB98" s="23">
        <v>0.8</v>
      </c>
      <c r="BC98" s="23">
        <v>1</v>
      </c>
      <c r="BG98" s="23">
        <v>0.75</v>
      </c>
      <c r="BI98" s="100">
        <v>30.927835051546392</v>
      </c>
      <c r="BL98" s="23">
        <v>0.125</v>
      </c>
      <c r="BM98" s="23">
        <v>0</v>
      </c>
      <c r="BN98" s="23">
        <v>0.875</v>
      </c>
      <c r="BQ98" s="100">
        <v>8</v>
      </c>
      <c r="BU98" s="23">
        <v>0.48936170212765956</v>
      </c>
      <c r="BV98" s="23">
        <v>0.5074626865671642</v>
      </c>
      <c r="BW98" s="23">
        <v>0.72093023255813948</v>
      </c>
      <c r="BX98" s="23">
        <v>0.74193548387096775</v>
      </c>
      <c r="BY98" s="23">
        <v>0.8</v>
      </c>
      <c r="BZ98" s="23">
        <v>0.1111111111111111</v>
      </c>
      <c r="CD98" s="23">
        <v>0.57377049180327866</v>
      </c>
      <c r="CE98" s="23">
        <v>0.80769230769230771</v>
      </c>
      <c r="CF98" s="23">
        <v>0.8</v>
      </c>
      <c r="CG98" s="23">
        <v>0.625</v>
      </c>
      <c r="CH98" s="23">
        <v>0.63157894736842102</v>
      </c>
      <c r="CI98" s="23">
        <v>0.54545454545454541</v>
      </c>
      <c r="CN98" s="23">
        <v>2.2727272727272728E-2</v>
      </c>
      <c r="CO98" s="23">
        <v>0.125</v>
      </c>
      <c r="CP98" s="23">
        <v>0</v>
      </c>
      <c r="CQ98" s="23">
        <v>0.42857142857142855</v>
      </c>
      <c r="CR98" s="23">
        <v>0.3888888888888889</v>
      </c>
      <c r="CS98" s="23">
        <v>0.44444444444444442</v>
      </c>
    </row>
    <row r="99" spans="3:97" x14ac:dyDescent="0.25">
      <c r="C99" s="21">
        <v>21.276595744680851</v>
      </c>
      <c r="E99" s="21">
        <v>119.04761904761905</v>
      </c>
      <c r="F99" s="21">
        <v>64.516129032258064</v>
      </c>
      <c r="G99" s="21">
        <v>19.23076923076923</v>
      </c>
      <c r="H99" s="21">
        <v>0</v>
      </c>
      <c r="K99" s="23">
        <v>0</v>
      </c>
      <c r="L99" s="23">
        <v>0</v>
      </c>
      <c r="M99" s="23">
        <v>8.3333333333333321</v>
      </c>
      <c r="N99" s="23">
        <v>0</v>
      </c>
      <c r="O99" s="23">
        <v>0</v>
      </c>
      <c r="P99" s="23">
        <v>10</v>
      </c>
      <c r="Q99" s="23">
        <v>37.5</v>
      </c>
      <c r="R99" s="23">
        <v>75</v>
      </c>
      <c r="V99" s="23">
        <v>0.25600000000000001</v>
      </c>
      <c r="W99" s="23">
        <v>0.192</v>
      </c>
      <c r="X99" s="23">
        <v>0.30399999999999999</v>
      </c>
      <c r="Y99" s="23">
        <v>0.156</v>
      </c>
      <c r="Z99" s="23">
        <v>4.8000000000000001E-2</v>
      </c>
      <c r="AA99" s="23">
        <v>4.3999999999999997E-2</v>
      </c>
      <c r="AE99" s="23">
        <v>2.1276595744680851E-2</v>
      </c>
      <c r="AG99" s="23">
        <v>9.5238095238095233E-2</v>
      </c>
      <c r="AH99" s="23">
        <v>3.2258064516129031E-2</v>
      </c>
      <c r="AI99" s="23">
        <v>5.7692307692307696E-2</v>
      </c>
      <c r="AJ99" s="23">
        <v>2.1276595744680851E-2</v>
      </c>
      <c r="AO99" s="23">
        <v>0</v>
      </c>
      <c r="AQ99" s="23">
        <v>3.2258064516129031E-2</v>
      </c>
      <c r="AR99" s="23">
        <v>0.13333333333333333</v>
      </c>
      <c r="AS99" s="23">
        <v>8.8235294117647065E-2</v>
      </c>
      <c r="AT99" s="23">
        <v>0.1</v>
      </c>
      <c r="AU99" s="23">
        <v>6.8571428571428575E-2</v>
      </c>
      <c r="AW99" s="100">
        <v>1.7142857142857144E-2</v>
      </c>
      <c r="BA99" s="23">
        <v>1</v>
      </c>
      <c r="BC99" s="23">
        <v>1</v>
      </c>
      <c r="BD99" s="23">
        <v>1</v>
      </c>
      <c r="BE99" s="23">
        <v>1</v>
      </c>
      <c r="BF99" s="23">
        <v>1</v>
      </c>
      <c r="BG99" s="23">
        <v>1</v>
      </c>
      <c r="BI99" s="100">
        <v>51.428571428571431</v>
      </c>
      <c r="BL99" s="23">
        <v>0.44444444444444442</v>
      </c>
      <c r="BM99" s="23">
        <v>5.5555555555555552E-2</v>
      </c>
      <c r="BN99" s="23">
        <v>0.5</v>
      </c>
      <c r="BQ99" s="100">
        <v>9</v>
      </c>
      <c r="BU99" s="23">
        <v>0.625</v>
      </c>
      <c r="BV99" s="23">
        <v>0.41666666666666669</v>
      </c>
      <c r="BW99" s="23">
        <v>0.67105263157894735</v>
      </c>
      <c r="BX99" s="23">
        <v>0.58974358974358976</v>
      </c>
      <c r="BY99" s="23">
        <v>0.75</v>
      </c>
      <c r="BZ99" s="23">
        <v>0</v>
      </c>
      <c r="CD99" s="23">
        <v>0.48888888888888887</v>
      </c>
      <c r="CF99" s="23">
        <v>0.58064516129032262</v>
      </c>
      <c r="CG99" s="23">
        <v>0.71111111111111114</v>
      </c>
      <c r="CH99" s="23">
        <v>0.5</v>
      </c>
      <c r="CI99" s="23">
        <v>0.7</v>
      </c>
      <c r="CN99" s="23">
        <v>2.6315789473684209E-2</v>
      </c>
      <c r="CP99" s="23">
        <v>0.3</v>
      </c>
      <c r="CQ99" s="23">
        <v>0.2857142857142857</v>
      </c>
      <c r="CR99" s="23">
        <v>0.58333333333333337</v>
      </c>
      <c r="CS99" s="23">
        <v>0.2857142857142857</v>
      </c>
    </row>
    <row r="100" spans="3:97" x14ac:dyDescent="0.25">
      <c r="C100" s="21">
        <v>54.545454545454547</v>
      </c>
      <c r="E100" s="21">
        <v>58.823529411764703</v>
      </c>
      <c r="F100" s="21">
        <v>112.90322580645162</v>
      </c>
      <c r="G100" s="21">
        <v>0</v>
      </c>
      <c r="H100" s="21">
        <v>0</v>
      </c>
      <c r="K100" s="23">
        <v>0</v>
      </c>
      <c r="L100" s="23">
        <v>0</v>
      </c>
      <c r="M100" s="23">
        <v>5</v>
      </c>
      <c r="N100" s="23">
        <v>0</v>
      </c>
      <c r="O100" s="23">
        <v>0</v>
      </c>
      <c r="P100" s="23">
        <v>5</v>
      </c>
      <c r="Q100" s="23">
        <v>16.666666666666664</v>
      </c>
      <c r="R100" s="23">
        <v>0</v>
      </c>
      <c r="V100" s="23">
        <v>0.26800000000000002</v>
      </c>
      <c r="W100" s="23">
        <v>0.19600000000000001</v>
      </c>
      <c r="X100" s="23">
        <v>0.33600000000000002</v>
      </c>
      <c r="Y100" s="23">
        <v>0.152</v>
      </c>
      <c r="Z100" s="23">
        <v>1.2E-2</v>
      </c>
      <c r="AA100" s="23">
        <v>3.5999999999999997E-2</v>
      </c>
      <c r="AE100" s="23">
        <v>5.4545454545454543E-2</v>
      </c>
      <c r="AG100" s="23">
        <v>0</v>
      </c>
      <c r="AH100" s="23">
        <v>4.8387096774193547E-2</v>
      </c>
      <c r="AI100" s="23">
        <v>5.7692307692307696E-2</v>
      </c>
      <c r="AJ100" s="23">
        <v>0</v>
      </c>
      <c r="AO100" s="23">
        <v>1.9230769230769232E-2</v>
      </c>
      <c r="AQ100" s="23">
        <v>0</v>
      </c>
      <c r="AR100" s="23">
        <v>4.878048780487805E-2</v>
      </c>
      <c r="AS100" s="23">
        <v>0.12903225806451613</v>
      </c>
      <c r="AT100" s="23">
        <v>0</v>
      </c>
      <c r="AU100" s="23">
        <v>4.0229885057471264E-2</v>
      </c>
      <c r="AW100" s="100">
        <v>2.2988505747126436E-2</v>
      </c>
      <c r="BA100" s="23">
        <v>1</v>
      </c>
      <c r="BD100" s="23">
        <v>0</v>
      </c>
      <c r="BE100" s="23">
        <v>0</v>
      </c>
      <c r="BG100" s="23">
        <v>0.4</v>
      </c>
      <c r="BI100" s="100">
        <v>11.494252873563218</v>
      </c>
      <c r="BL100" s="23">
        <v>0</v>
      </c>
      <c r="BM100" s="23">
        <v>0</v>
      </c>
      <c r="BN100" s="23">
        <v>1</v>
      </c>
      <c r="BQ100" s="100">
        <v>5</v>
      </c>
      <c r="BU100" s="23">
        <v>0.73134328358208955</v>
      </c>
      <c r="BV100" s="23">
        <v>0.5714285714285714</v>
      </c>
      <c r="BW100" s="23">
        <v>0.79761904761904767</v>
      </c>
      <c r="BX100" s="23">
        <v>0.60526315789473684</v>
      </c>
      <c r="BY100" s="23">
        <v>0.33333333333333331</v>
      </c>
      <c r="BZ100" s="23">
        <v>0.22222222222222221</v>
      </c>
      <c r="CD100" s="23">
        <v>0.67307692307692313</v>
      </c>
      <c r="CF100" s="23">
        <v>0.63636363636363635</v>
      </c>
      <c r="CG100" s="23">
        <v>0.6097560975609756</v>
      </c>
      <c r="CH100" s="23">
        <v>0.87096774193548387</v>
      </c>
      <c r="CI100" s="23">
        <v>0.6470588235294118</v>
      </c>
      <c r="CN100" s="23">
        <v>2.7777777777777776E-2</v>
      </c>
      <c r="CP100" s="23">
        <v>8.3333333333333329E-2</v>
      </c>
      <c r="CQ100" s="23">
        <v>0.2</v>
      </c>
      <c r="CR100" s="23">
        <v>0.5714285714285714</v>
      </c>
      <c r="CS100" s="23">
        <v>0.33333333333333331</v>
      </c>
    </row>
    <row r="101" spans="3:97" x14ac:dyDescent="0.25">
      <c r="D101" s="21">
        <v>62.5</v>
      </c>
      <c r="E101" s="21">
        <v>42.25352112676056</v>
      </c>
      <c r="F101" s="21">
        <v>16.129032258064516</v>
      </c>
      <c r="G101" s="21">
        <v>19.23076923076923</v>
      </c>
      <c r="H101" s="21">
        <v>58.823529411764703</v>
      </c>
      <c r="K101" s="23">
        <v>0</v>
      </c>
      <c r="L101" s="23">
        <v>11.111111111111111</v>
      </c>
      <c r="M101" s="23">
        <v>9.0909090909090917</v>
      </c>
      <c r="N101" s="23">
        <v>0</v>
      </c>
      <c r="O101" s="23">
        <v>0</v>
      </c>
      <c r="P101" s="23">
        <v>4.3478260869565215</v>
      </c>
      <c r="Q101" s="23">
        <v>0</v>
      </c>
      <c r="R101" s="23">
        <v>0</v>
      </c>
      <c r="V101" s="23">
        <v>0.22</v>
      </c>
      <c r="W101" s="23">
        <v>0.108</v>
      </c>
      <c r="X101" s="23">
        <v>0.41599999999999998</v>
      </c>
      <c r="Y101" s="23">
        <v>0.16400000000000001</v>
      </c>
      <c r="Z101" s="23">
        <v>0.06</v>
      </c>
      <c r="AA101" s="23">
        <v>3.2000000000000001E-2</v>
      </c>
      <c r="AF101" s="23">
        <v>6.25E-2</v>
      </c>
      <c r="AG101" s="23">
        <v>7.0422535211267609E-2</v>
      </c>
      <c r="AH101" s="23">
        <v>0</v>
      </c>
      <c r="AI101" s="23">
        <v>0</v>
      </c>
      <c r="AJ101" s="23">
        <v>0</v>
      </c>
      <c r="AP101" s="23">
        <v>2.3255813953488372E-2</v>
      </c>
      <c r="AQ101" s="23">
        <v>9.8360655737704916E-2</v>
      </c>
      <c r="AR101" s="23">
        <v>4.0816326530612242E-2</v>
      </c>
      <c r="AS101" s="23">
        <v>0.10714285714285714</v>
      </c>
      <c r="AT101" s="23">
        <v>0</v>
      </c>
      <c r="AU101" s="23">
        <v>6.4171122994652413E-2</v>
      </c>
      <c r="AW101" s="100">
        <v>1.06951871657754E-2</v>
      </c>
      <c r="BB101" s="23">
        <v>1</v>
      </c>
      <c r="BC101" s="23">
        <v>0.66666666666666663</v>
      </c>
      <c r="BD101" s="23">
        <v>0</v>
      </c>
      <c r="BG101" s="23">
        <v>0.66666666666666663</v>
      </c>
      <c r="BI101" s="100">
        <v>21.390374331550802</v>
      </c>
      <c r="BL101" s="23">
        <v>0</v>
      </c>
      <c r="BM101" s="23">
        <v>0.14285714285714285</v>
      </c>
      <c r="BN101" s="23">
        <v>0.8571428571428571</v>
      </c>
      <c r="BQ101" s="100">
        <v>6</v>
      </c>
      <c r="BU101" s="23">
        <v>0.6</v>
      </c>
      <c r="BV101" s="23">
        <v>0.48148148148148145</v>
      </c>
      <c r="BW101" s="23">
        <v>0.70192307692307687</v>
      </c>
      <c r="BX101" s="23">
        <v>0.51219512195121952</v>
      </c>
      <c r="BY101" s="23">
        <v>0.73333333333333328</v>
      </c>
      <c r="BZ101" s="23">
        <v>0.25</v>
      </c>
      <c r="CE101" s="23">
        <v>0.65116279069767447</v>
      </c>
      <c r="CF101" s="23">
        <v>0.62295081967213117</v>
      </c>
      <c r="CG101" s="23">
        <v>0.7142857142857143</v>
      </c>
      <c r="CH101" s="23">
        <v>0.5</v>
      </c>
      <c r="CI101" s="23">
        <v>0.5</v>
      </c>
      <c r="CO101" s="23">
        <v>0.2</v>
      </c>
      <c r="CP101" s="23">
        <v>0.375</v>
      </c>
      <c r="CQ101" s="23">
        <v>0.3125</v>
      </c>
      <c r="CR101" s="23">
        <v>0.4</v>
      </c>
    </row>
    <row r="102" spans="3:97" x14ac:dyDescent="0.25">
      <c r="C102" s="21">
        <v>0</v>
      </c>
      <c r="D102" s="21">
        <v>45.454545454545453</v>
      </c>
      <c r="E102" s="21">
        <v>48.387096774193552</v>
      </c>
      <c r="F102" s="21">
        <v>43.478260869565219</v>
      </c>
      <c r="H102" s="21">
        <v>0</v>
      </c>
      <c r="K102" s="23">
        <v>0</v>
      </c>
      <c r="L102" s="23">
        <v>28.571428571428569</v>
      </c>
      <c r="M102" s="23">
        <v>9.5238095238095237</v>
      </c>
      <c r="N102" s="23">
        <v>0</v>
      </c>
      <c r="O102" s="23">
        <v>0</v>
      </c>
      <c r="P102" s="23">
        <v>12</v>
      </c>
      <c r="Q102" s="23">
        <v>7.6923076923076925</v>
      </c>
      <c r="R102" s="23">
        <v>33.333333333333329</v>
      </c>
      <c r="V102" s="23">
        <v>0.104</v>
      </c>
      <c r="W102" s="23">
        <v>0.252</v>
      </c>
      <c r="X102" s="23">
        <v>0.42799999999999999</v>
      </c>
      <c r="Y102" s="23">
        <v>0.11600000000000001</v>
      </c>
      <c r="Z102" s="23">
        <v>3.2000000000000001E-2</v>
      </c>
      <c r="AA102" s="23">
        <v>6.8000000000000005E-2</v>
      </c>
      <c r="AE102" s="23">
        <v>1.4925373134328358E-2</v>
      </c>
      <c r="AF102" s="23">
        <v>9.0909090909090912E-2</v>
      </c>
      <c r="AG102" s="23">
        <v>8.0645161290322578E-2</v>
      </c>
      <c r="AH102" s="23">
        <v>0.10869565217391304</v>
      </c>
      <c r="AJ102" s="23">
        <v>0</v>
      </c>
      <c r="AO102" s="23">
        <v>0</v>
      </c>
      <c r="AP102" s="23">
        <v>5.3571428571428568E-2</v>
      </c>
      <c r="AQ102" s="23">
        <v>3.7735849056603772E-2</v>
      </c>
      <c r="AR102" s="23">
        <v>7.6923076923076927E-2</v>
      </c>
      <c r="AT102" s="23">
        <v>0.16666666666666666</v>
      </c>
      <c r="AU102" s="23">
        <v>3.864734299516908E-2</v>
      </c>
      <c r="AW102" s="100">
        <v>2.4154589371980676E-2</v>
      </c>
      <c r="BA102" s="23">
        <v>0.5</v>
      </c>
      <c r="BB102" s="23">
        <v>1</v>
      </c>
      <c r="BC102" s="23">
        <v>0.75</v>
      </c>
      <c r="BD102" s="23">
        <v>0.75</v>
      </c>
      <c r="BG102" s="23">
        <v>0.76923076923076927</v>
      </c>
      <c r="BI102" s="100">
        <v>48.309178743961354</v>
      </c>
      <c r="BL102" s="23">
        <v>5.8823529411764705E-2</v>
      </c>
      <c r="BM102" s="23">
        <v>0.29411764705882354</v>
      </c>
      <c r="BN102" s="23">
        <v>0.6470588235294118</v>
      </c>
      <c r="BQ102" s="100">
        <v>13</v>
      </c>
      <c r="BU102" s="23">
        <v>0.61538461538461542</v>
      </c>
      <c r="BV102" s="23">
        <v>0.41269841269841268</v>
      </c>
      <c r="BW102" s="23">
        <v>0.71962616822429903</v>
      </c>
      <c r="BX102" s="23">
        <v>0.58620689655172409</v>
      </c>
      <c r="BY102" s="23">
        <v>0.625</v>
      </c>
      <c r="BZ102" s="23">
        <v>0</v>
      </c>
      <c r="CD102" s="23">
        <v>0.43939393939393939</v>
      </c>
      <c r="CE102" s="23">
        <v>0.7321428571428571</v>
      </c>
      <c r="CF102" s="23">
        <v>0.62264150943396224</v>
      </c>
      <c r="CG102" s="23">
        <v>0.69230769230769229</v>
      </c>
      <c r="CI102" s="23">
        <v>0.66666666666666663</v>
      </c>
      <c r="CN102" s="23">
        <v>0</v>
      </c>
      <c r="CO102" s="23">
        <v>0.23076923076923078</v>
      </c>
      <c r="CP102" s="23">
        <v>0.27272727272727271</v>
      </c>
      <c r="CQ102" s="23">
        <v>0.33333333333333331</v>
      </c>
      <c r="CS102" s="23">
        <v>0.5</v>
      </c>
    </row>
    <row r="103" spans="3:97" x14ac:dyDescent="0.25">
      <c r="C103" s="21">
        <v>16.666666666666668</v>
      </c>
      <c r="D103" s="21">
        <v>87.719298245614041</v>
      </c>
      <c r="E103" s="21">
        <v>43.478260869565219</v>
      </c>
      <c r="G103" s="21">
        <v>47.61904761904762</v>
      </c>
      <c r="H103" s="21">
        <v>0</v>
      </c>
      <c r="K103" s="23">
        <v>0</v>
      </c>
      <c r="L103" s="23">
        <v>28.571428571428569</v>
      </c>
      <c r="M103" s="23">
        <v>8.5714285714285712</v>
      </c>
      <c r="N103" s="23">
        <v>0</v>
      </c>
      <c r="O103" s="23">
        <v>0</v>
      </c>
      <c r="P103" s="23">
        <v>26.666666666666668</v>
      </c>
      <c r="Q103" s="23">
        <v>50</v>
      </c>
      <c r="R103" s="23">
        <v>0</v>
      </c>
      <c r="V103" s="23">
        <v>0.23599999999999999</v>
      </c>
      <c r="W103" s="23">
        <v>0.27200000000000002</v>
      </c>
      <c r="X103" s="23">
        <v>0.316</v>
      </c>
      <c r="Y103" s="23">
        <v>0.11600000000000001</v>
      </c>
      <c r="Z103" s="23">
        <v>1.6E-2</v>
      </c>
      <c r="AA103" s="23">
        <v>4.3999999999999997E-2</v>
      </c>
      <c r="AE103" s="23">
        <v>6.6666666666666666E-2</v>
      </c>
      <c r="AF103" s="23">
        <v>8.771929824561403E-2</v>
      </c>
      <c r="AG103" s="23">
        <v>4.3478260869565216E-2</v>
      </c>
      <c r="AI103" s="23">
        <v>2.3809523809523808E-2</v>
      </c>
      <c r="AJ103" s="23">
        <v>0</v>
      </c>
      <c r="AO103" s="23">
        <v>3.5714285714285712E-2</v>
      </c>
      <c r="AP103" s="23">
        <v>5.8823529411764705E-2</v>
      </c>
      <c r="AQ103" s="23">
        <v>5.2631578947368418E-2</v>
      </c>
      <c r="AS103" s="23">
        <v>9.375E-2</v>
      </c>
      <c r="AT103" s="23">
        <v>0</v>
      </c>
      <c r="AU103" s="23">
        <v>0.05</v>
      </c>
      <c r="AW103" s="100">
        <v>5.5555555555555552E-2</v>
      </c>
      <c r="BA103" s="23">
        <v>1</v>
      </c>
      <c r="BB103" s="23">
        <v>0.33333333333333331</v>
      </c>
      <c r="BE103" s="23">
        <v>0</v>
      </c>
      <c r="BG103" s="23">
        <v>0.5</v>
      </c>
      <c r="BI103" s="100">
        <v>27.777777777777779</v>
      </c>
      <c r="BL103" s="23">
        <v>0</v>
      </c>
      <c r="BM103" s="23">
        <v>0.1</v>
      </c>
      <c r="BN103" s="23">
        <v>0.9</v>
      </c>
      <c r="BQ103" s="100">
        <v>10</v>
      </c>
      <c r="BU103" s="23">
        <v>0.6271186440677966</v>
      </c>
      <c r="BV103" s="23">
        <v>0.5</v>
      </c>
      <c r="BW103" s="23">
        <v>0.79746835443037978</v>
      </c>
      <c r="BX103" s="23">
        <v>0.72413793103448276</v>
      </c>
      <c r="BY103" s="23">
        <v>0.5</v>
      </c>
      <c r="BZ103" s="23">
        <v>0.27272727272727271</v>
      </c>
      <c r="CD103" s="23">
        <v>0.5178571428571429</v>
      </c>
      <c r="CE103" s="23">
        <v>0.76470588235294112</v>
      </c>
      <c r="CF103" s="23">
        <v>0.73684210526315785</v>
      </c>
      <c r="CH103" s="23">
        <v>0.78125</v>
      </c>
      <c r="CI103" s="23">
        <v>0.59090909090909094</v>
      </c>
      <c r="CN103" s="23">
        <v>6.8181818181818177E-2</v>
      </c>
      <c r="CO103" s="23">
        <v>0.27777777777777779</v>
      </c>
      <c r="CP103" s="23">
        <v>0.2857142857142857</v>
      </c>
      <c r="CR103" s="23">
        <v>0.4</v>
      </c>
      <c r="CS103" s="23">
        <v>0.16666666666666666</v>
      </c>
    </row>
    <row r="104" spans="3:97" x14ac:dyDescent="0.25">
      <c r="C104" s="21">
        <v>49.180327868852459</v>
      </c>
      <c r="D104" s="21">
        <v>35.087719298245617</v>
      </c>
      <c r="E104" s="21">
        <v>71.428571428571431</v>
      </c>
      <c r="F104" s="21">
        <v>0</v>
      </c>
      <c r="G104" s="21">
        <v>0</v>
      </c>
      <c r="H104" s="21">
        <v>0</v>
      </c>
      <c r="K104" s="23">
        <v>0</v>
      </c>
      <c r="L104" s="23">
        <v>8.3333333333333321</v>
      </c>
      <c r="M104" s="23">
        <v>5.5555555555555554</v>
      </c>
      <c r="N104" s="23">
        <v>25</v>
      </c>
      <c r="O104" s="23">
        <v>0</v>
      </c>
      <c r="P104" s="23">
        <v>35</v>
      </c>
      <c r="Q104" s="23">
        <v>60</v>
      </c>
      <c r="R104" s="23">
        <v>25</v>
      </c>
      <c r="V104" s="23">
        <v>0.19600000000000001</v>
      </c>
      <c r="W104" s="23">
        <v>0.23200000000000001</v>
      </c>
      <c r="X104" s="23">
        <v>0.33600000000000002</v>
      </c>
      <c r="Y104" s="23">
        <v>0.152</v>
      </c>
      <c r="Z104" s="23">
        <v>4.3999999999999997E-2</v>
      </c>
      <c r="AA104" s="23">
        <v>0.04</v>
      </c>
      <c r="AE104" s="23">
        <v>6.5573770491803282E-2</v>
      </c>
      <c r="AF104" s="23">
        <v>5.2631578947368418E-2</v>
      </c>
      <c r="AG104" s="23">
        <v>7.1428571428571425E-2</v>
      </c>
      <c r="AH104" s="23">
        <v>0</v>
      </c>
      <c r="AI104" s="23">
        <v>2.4390243902439025E-2</v>
      </c>
      <c r="AJ104" s="23">
        <v>0</v>
      </c>
      <c r="AO104" s="23">
        <v>0</v>
      </c>
      <c r="AP104" s="23">
        <v>1.9230769230769232E-2</v>
      </c>
      <c r="AQ104" s="23">
        <v>0.08</v>
      </c>
      <c r="AR104" s="23">
        <v>0.15384615384615385</v>
      </c>
      <c r="AS104" s="23">
        <v>0.13043478260869565</v>
      </c>
      <c r="AT104" s="23">
        <v>0.17391304347826086</v>
      </c>
      <c r="AU104" s="23">
        <v>6.2827225130890049E-2</v>
      </c>
      <c r="AW104" s="100">
        <v>3.6649214659685861E-2</v>
      </c>
      <c r="BA104" s="23">
        <v>0.33333333333333331</v>
      </c>
      <c r="BB104" s="23">
        <v>0.33333333333333331</v>
      </c>
      <c r="BC104" s="23">
        <v>0.66666666666666663</v>
      </c>
      <c r="BE104" s="23">
        <v>1</v>
      </c>
      <c r="BG104" s="23">
        <v>0.5</v>
      </c>
      <c r="BI104" s="100">
        <v>26.178010471204189</v>
      </c>
      <c r="BL104" s="23">
        <v>0</v>
      </c>
      <c r="BM104" s="23">
        <v>0.22222222222222221</v>
      </c>
      <c r="BN104" s="23">
        <v>0.77777777777777779</v>
      </c>
      <c r="BQ104" s="100">
        <v>10</v>
      </c>
      <c r="BU104" s="23">
        <v>0.69387755102040816</v>
      </c>
      <c r="BV104" s="23">
        <v>0.46551724137931033</v>
      </c>
      <c r="BW104" s="23">
        <v>0.77380952380952384</v>
      </c>
      <c r="BX104" s="23">
        <v>0.57894736842105265</v>
      </c>
      <c r="BY104" s="23">
        <v>0.72727272727272729</v>
      </c>
      <c r="BZ104" s="23">
        <v>0.2</v>
      </c>
      <c r="CD104" s="23">
        <v>0.45454545454545453</v>
      </c>
      <c r="CE104" s="23">
        <v>0.69230769230769229</v>
      </c>
      <c r="CF104" s="23">
        <v>0.68</v>
      </c>
      <c r="CG104" s="23">
        <v>0.61538461538461542</v>
      </c>
      <c r="CH104" s="23">
        <v>0.69565217391304346</v>
      </c>
      <c r="CI104" s="23">
        <v>0.86956521739130432</v>
      </c>
      <c r="CN104" s="23">
        <v>2.4390243902439025E-2</v>
      </c>
      <c r="CO104" s="23">
        <v>0.15789473684210525</v>
      </c>
      <c r="CP104" s="23">
        <v>0.5714285714285714</v>
      </c>
      <c r="CQ104" s="23">
        <v>1</v>
      </c>
      <c r="CR104" s="23">
        <v>0.5714285714285714</v>
      </c>
      <c r="CS104" s="23">
        <v>0.45454545454545453</v>
      </c>
    </row>
    <row r="105" spans="3:97" x14ac:dyDescent="0.25">
      <c r="C105" s="21">
        <v>16.666666666666668</v>
      </c>
      <c r="F105" s="21">
        <v>44.117647058823529</v>
      </c>
      <c r="G105" s="21">
        <v>26.666666666666668</v>
      </c>
      <c r="H105" s="21">
        <v>42.553191489361701</v>
      </c>
      <c r="K105" s="23">
        <v>0</v>
      </c>
      <c r="L105" s="23">
        <v>0</v>
      </c>
      <c r="M105" s="23">
        <v>10.810810810810811</v>
      </c>
      <c r="N105" s="23">
        <v>0</v>
      </c>
      <c r="O105" s="23">
        <v>0</v>
      </c>
      <c r="P105" s="23">
        <v>26.086956521739129</v>
      </c>
      <c r="Q105" s="23">
        <v>0</v>
      </c>
      <c r="R105" s="23">
        <v>0</v>
      </c>
      <c r="V105" s="23">
        <v>0.24399999999999999</v>
      </c>
      <c r="W105" s="23">
        <v>0.216</v>
      </c>
      <c r="X105" s="23">
        <v>0.28799999999999998</v>
      </c>
      <c r="Y105" s="23">
        <v>0.17599999999999999</v>
      </c>
      <c r="Z105" s="23">
        <v>2.4E-2</v>
      </c>
      <c r="AA105" s="23">
        <v>5.1999999999999998E-2</v>
      </c>
      <c r="AE105" s="23">
        <v>1.6666666666666666E-2</v>
      </c>
      <c r="AH105" s="23">
        <v>0.13235294117647059</v>
      </c>
      <c r="AI105" s="23">
        <v>0.04</v>
      </c>
      <c r="AJ105" s="23">
        <v>0</v>
      </c>
      <c r="AO105" s="23">
        <v>3.3898305084745763E-2</v>
      </c>
      <c r="AR105" s="23">
        <v>7.1428571428571425E-2</v>
      </c>
      <c r="AS105" s="23">
        <v>0.06</v>
      </c>
      <c r="AT105" s="23">
        <v>0.04</v>
      </c>
      <c r="AU105" s="23">
        <v>5.113636363636364E-2</v>
      </c>
      <c r="AW105" s="100">
        <v>3.9772727272727272E-2</v>
      </c>
      <c r="BA105" s="23">
        <v>0</v>
      </c>
      <c r="BD105" s="23">
        <v>0.83333333333333337</v>
      </c>
      <c r="BE105" s="23">
        <v>0</v>
      </c>
      <c r="BG105" s="23">
        <v>0.625</v>
      </c>
      <c r="BI105" s="100">
        <v>28.40909090909091</v>
      </c>
      <c r="BL105" s="23">
        <v>0.5</v>
      </c>
      <c r="BM105" s="23">
        <v>0</v>
      </c>
      <c r="BN105" s="23">
        <v>0.5</v>
      </c>
      <c r="BQ105" s="100">
        <v>8</v>
      </c>
      <c r="BU105" s="23">
        <v>0.62295081967213117</v>
      </c>
      <c r="BV105" s="23">
        <v>0.48148148148148145</v>
      </c>
      <c r="BW105" s="23">
        <v>0.69444444444444442</v>
      </c>
      <c r="BX105" s="23">
        <v>0.63636363636363635</v>
      </c>
      <c r="BY105" s="23">
        <v>0.66666666666666663</v>
      </c>
      <c r="BZ105" s="23">
        <v>7.6923076923076927E-2</v>
      </c>
      <c r="CD105" s="23">
        <v>0.49152542372881358</v>
      </c>
      <c r="CG105" s="23">
        <v>0.76190476190476186</v>
      </c>
      <c r="CH105" s="23">
        <v>0.57999999999999996</v>
      </c>
      <c r="CI105" s="23">
        <v>0.72</v>
      </c>
      <c r="CN105" s="23">
        <v>8.6956521739130432E-2</v>
      </c>
      <c r="CQ105" s="23">
        <v>0.55555555555555558</v>
      </c>
      <c r="CR105" s="23">
        <v>0.33333333333333331</v>
      </c>
      <c r="CS105" s="23">
        <v>0.3</v>
      </c>
    </row>
    <row r="106" spans="3:97" x14ac:dyDescent="0.25">
      <c r="D106" s="21">
        <v>0</v>
      </c>
      <c r="E106" s="21">
        <v>51.020408163265309</v>
      </c>
      <c r="F106" s="21">
        <v>45.454545454545453</v>
      </c>
      <c r="G106" s="21">
        <v>38.46153846153846</v>
      </c>
      <c r="H106" s="21">
        <v>45.454545454545453</v>
      </c>
      <c r="K106" s="23">
        <v>0</v>
      </c>
      <c r="L106" s="23">
        <v>12.5</v>
      </c>
      <c r="M106" s="23">
        <v>4.3478260869565215</v>
      </c>
      <c r="N106" s="23">
        <v>33.333333333333329</v>
      </c>
      <c r="O106" s="23">
        <v>0</v>
      </c>
      <c r="P106" s="23">
        <v>10</v>
      </c>
      <c r="Q106" s="23">
        <v>0</v>
      </c>
      <c r="R106" s="23">
        <v>14.285714285714285</v>
      </c>
      <c r="V106" s="23">
        <v>0.24</v>
      </c>
      <c r="W106" s="23">
        <v>9.6000000000000002E-2</v>
      </c>
      <c r="X106" s="23">
        <v>0.46800000000000003</v>
      </c>
      <c r="Y106" s="23">
        <v>0.13200000000000001</v>
      </c>
      <c r="Z106" s="23">
        <v>1.6E-2</v>
      </c>
      <c r="AA106" s="23">
        <v>4.8000000000000001E-2</v>
      </c>
      <c r="AF106" s="23">
        <v>0</v>
      </c>
      <c r="AG106" s="23">
        <v>7.1428571428571425E-2</v>
      </c>
      <c r="AH106" s="23">
        <v>6.0606060606060608E-2</v>
      </c>
      <c r="AI106" s="23">
        <v>1.9230769230769232E-2</v>
      </c>
      <c r="AJ106" s="23">
        <v>0</v>
      </c>
      <c r="AP106" s="23">
        <v>0.1</v>
      </c>
      <c r="AQ106" s="23">
        <v>1.2658227848101266E-2</v>
      </c>
      <c r="AR106" s="23">
        <v>2.1739130434782608E-2</v>
      </c>
      <c r="AS106" s="23">
        <v>3.125E-2</v>
      </c>
      <c r="AT106" s="23">
        <v>9.0909090909090912E-2</v>
      </c>
      <c r="AU106" s="23">
        <v>2.8089887640449437E-2</v>
      </c>
      <c r="AW106" s="100">
        <v>2.247191011235955E-2</v>
      </c>
      <c r="BC106" s="23">
        <v>0.8</v>
      </c>
      <c r="BD106" s="23">
        <v>1</v>
      </c>
      <c r="BE106" s="23">
        <v>1</v>
      </c>
      <c r="BG106" s="23">
        <v>0.8571428571428571</v>
      </c>
      <c r="BI106" s="100">
        <v>33.707865168539328</v>
      </c>
      <c r="BL106" s="23">
        <v>0.5</v>
      </c>
      <c r="BM106" s="23">
        <v>0.2</v>
      </c>
      <c r="BN106" s="23">
        <v>0.3</v>
      </c>
      <c r="BQ106" s="100">
        <v>7</v>
      </c>
      <c r="BU106" s="23">
        <v>0.6166666666666667</v>
      </c>
      <c r="BV106" s="23">
        <v>0.70833333333333337</v>
      </c>
      <c r="BW106" s="23">
        <v>0.72649572649572647</v>
      </c>
      <c r="BX106" s="23">
        <v>0.5757575757575758</v>
      </c>
      <c r="BY106" s="23">
        <v>0.5</v>
      </c>
      <c r="BZ106" s="23">
        <v>0.16666666666666666</v>
      </c>
      <c r="CE106" s="23">
        <v>0.7</v>
      </c>
      <c r="CF106" s="23">
        <v>0.70886075949367089</v>
      </c>
      <c r="CG106" s="23">
        <v>0.65217391304347827</v>
      </c>
      <c r="CH106" s="23">
        <v>0.65625</v>
      </c>
      <c r="CI106" s="23">
        <v>0.81818181818181823</v>
      </c>
      <c r="CO106" s="23">
        <v>0.2</v>
      </c>
      <c r="CP106" s="23">
        <v>0.11764705882352941</v>
      </c>
      <c r="CQ106" s="23">
        <v>0.125</v>
      </c>
      <c r="CR106" s="23">
        <v>0.42857142857142855</v>
      </c>
      <c r="CS106" s="23">
        <v>0.33333333333333331</v>
      </c>
    </row>
    <row r="107" spans="3:97" x14ac:dyDescent="0.25">
      <c r="C107" s="21">
        <v>0</v>
      </c>
      <c r="D107" s="21">
        <v>49.019607843137258</v>
      </c>
      <c r="E107" s="21">
        <v>32.258064516129032</v>
      </c>
      <c r="F107" s="21">
        <v>58.823529411764703</v>
      </c>
      <c r="K107" s="23">
        <v>0</v>
      </c>
      <c r="L107" s="23">
        <v>0</v>
      </c>
      <c r="M107" s="23">
        <v>13.043478260869565</v>
      </c>
      <c r="N107" s="23">
        <v>25</v>
      </c>
      <c r="O107" s="23">
        <v>0</v>
      </c>
      <c r="P107" s="23">
        <v>24</v>
      </c>
      <c r="Q107" s="23">
        <v>22.222222222222221</v>
      </c>
      <c r="R107" s="23">
        <v>50</v>
      </c>
      <c r="V107" s="23">
        <v>8.7999999999999995E-2</v>
      </c>
      <c r="W107" s="23">
        <v>0.20799999999999999</v>
      </c>
      <c r="X107" s="23">
        <v>0.46800000000000003</v>
      </c>
      <c r="Y107" s="23">
        <v>0.14000000000000001</v>
      </c>
      <c r="Z107" s="23">
        <v>1.6E-2</v>
      </c>
      <c r="AA107" s="23">
        <v>0.08</v>
      </c>
      <c r="AE107" s="23">
        <v>5.7142857142857141E-2</v>
      </c>
      <c r="AF107" s="23">
        <v>7.8431372549019607E-2</v>
      </c>
      <c r="AG107" s="23">
        <v>9.6774193548387094E-2</v>
      </c>
      <c r="AH107" s="23">
        <v>7.8431372549019607E-2</v>
      </c>
      <c r="AO107" s="23">
        <v>0</v>
      </c>
      <c r="AP107" s="23">
        <v>0</v>
      </c>
      <c r="AQ107" s="23">
        <v>8.3333333333333329E-2</v>
      </c>
      <c r="AR107" s="23">
        <v>0</v>
      </c>
      <c r="AU107" s="23">
        <v>1.9230769230769232E-2</v>
      </c>
      <c r="AW107" s="100">
        <v>2.8846153846153848E-2</v>
      </c>
      <c r="BA107" s="23">
        <v>1</v>
      </c>
      <c r="BB107" s="23">
        <v>0.5714285714285714</v>
      </c>
      <c r="BC107" s="23">
        <v>0.6</v>
      </c>
      <c r="BD107" s="23">
        <v>0.25</v>
      </c>
      <c r="BG107" s="23">
        <v>0.55555555555555558</v>
      </c>
      <c r="BI107" s="100">
        <v>48.07692307692308</v>
      </c>
      <c r="BL107" s="23">
        <v>0.22222222222222221</v>
      </c>
      <c r="BM107" s="23">
        <v>0</v>
      </c>
      <c r="BN107" s="23">
        <v>0.77777777777777779</v>
      </c>
      <c r="BQ107" s="100">
        <v>18</v>
      </c>
      <c r="BU107" s="23">
        <v>0.54545454545454541</v>
      </c>
      <c r="BV107" s="23">
        <v>0.44230769230769229</v>
      </c>
      <c r="BW107" s="23">
        <v>0.70940170940170943</v>
      </c>
      <c r="BX107" s="23">
        <v>0.5714285714285714</v>
      </c>
      <c r="BY107" s="23">
        <v>0.75</v>
      </c>
      <c r="BZ107" s="23">
        <v>0.1</v>
      </c>
      <c r="CD107" s="23">
        <v>0.39393939393939392</v>
      </c>
      <c r="CE107" s="23">
        <v>0.65217391304347827</v>
      </c>
      <c r="CF107" s="23">
        <v>0.70833333333333337</v>
      </c>
      <c r="CG107" s="23">
        <v>0.62857142857142856</v>
      </c>
      <c r="CN107" s="23">
        <v>0</v>
      </c>
      <c r="CO107" s="23">
        <v>0</v>
      </c>
      <c r="CP107" s="23">
        <v>0.3125</v>
      </c>
      <c r="CQ107" s="23">
        <v>0.14285714285714285</v>
      </c>
    </row>
    <row r="108" spans="3:97" x14ac:dyDescent="0.25">
      <c r="C108" s="21">
        <v>20.408163265306122</v>
      </c>
      <c r="D108" s="21">
        <v>35.087719298245617</v>
      </c>
      <c r="E108" s="21">
        <v>79.365079365079367</v>
      </c>
      <c r="F108" s="21">
        <v>17.857142857142858</v>
      </c>
      <c r="H108" s="21">
        <v>0</v>
      </c>
      <c r="K108" s="23">
        <v>0</v>
      </c>
      <c r="L108" s="23">
        <v>20</v>
      </c>
      <c r="M108" s="23">
        <v>7.8947368421052628</v>
      </c>
      <c r="N108" s="23">
        <v>0</v>
      </c>
      <c r="O108" s="23">
        <v>0</v>
      </c>
      <c r="P108" s="23">
        <v>17.647058823529413</v>
      </c>
      <c r="Q108" s="23">
        <v>11.111111111111111</v>
      </c>
      <c r="R108" s="23">
        <v>14.285714285714285</v>
      </c>
      <c r="V108" s="23">
        <v>0.13600000000000001</v>
      </c>
      <c r="W108" s="23">
        <v>0.25600000000000001</v>
      </c>
      <c r="X108" s="23">
        <v>0.372</v>
      </c>
      <c r="Y108" s="23">
        <v>0.152</v>
      </c>
      <c r="Z108" s="23">
        <v>2.8000000000000001E-2</v>
      </c>
      <c r="AA108" s="23">
        <v>5.6000000000000001E-2</v>
      </c>
      <c r="AE108" s="23">
        <v>4.0816326530612242E-2</v>
      </c>
      <c r="AF108" s="23">
        <v>1.7543859649122806E-2</v>
      </c>
      <c r="AG108" s="23">
        <v>0.1111111111111111</v>
      </c>
      <c r="AH108" s="23">
        <v>7.1428571428571425E-2</v>
      </c>
      <c r="AJ108" s="23">
        <v>0</v>
      </c>
      <c r="AO108" s="23">
        <v>2.1276595744680851E-2</v>
      </c>
      <c r="AP108" s="23">
        <v>5.5555555555555552E-2</v>
      </c>
      <c r="AQ108" s="23">
        <v>5.7692307692307696E-2</v>
      </c>
      <c r="AR108" s="23">
        <v>7.6923076923076927E-2</v>
      </c>
      <c r="AT108" s="23">
        <v>0</v>
      </c>
      <c r="AU108" s="23">
        <v>4.9504950495049507E-2</v>
      </c>
      <c r="AW108" s="100">
        <v>3.4653465346534656E-2</v>
      </c>
      <c r="BA108" s="23">
        <v>1</v>
      </c>
      <c r="BB108" s="23">
        <v>1</v>
      </c>
      <c r="BC108" s="23">
        <v>1</v>
      </c>
      <c r="BD108" s="23">
        <v>0.5</v>
      </c>
      <c r="BG108" s="23">
        <v>0.81818181818181823</v>
      </c>
      <c r="BI108" s="100">
        <v>44.554455445544555</v>
      </c>
      <c r="BL108" s="23">
        <v>0.29411764705882354</v>
      </c>
      <c r="BM108" s="23">
        <v>0.29411764705882354</v>
      </c>
      <c r="BN108" s="23">
        <v>0.41176470588235292</v>
      </c>
      <c r="BQ108" s="100">
        <v>11</v>
      </c>
      <c r="BU108" s="23">
        <v>0.5</v>
      </c>
      <c r="BV108" s="23">
        <v>0.5625</v>
      </c>
      <c r="BW108" s="23">
        <v>0.70967741935483875</v>
      </c>
      <c r="BX108" s="23">
        <v>0.57894736842105265</v>
      </c>
      <c r="BY108" s="23">
        <v>0.42857142857142855</v>
      </c>
      <c r="BZ108" s="23">
        <v>7.1428571428571425E-2</v>
      </c>
      <c r="CD108" s="23">
        <v>0.63829787234042556</v>
      </c>
      <c r="CE108" s="23">
        <v>0.61111111111111116</v>
      </c>
      <c r="CF108" s="23">
        <v>0.71153846153846156</v>
      </c>
      <c r="CG108" s="23">
        <v>0.5641025641025641</v>
      </c>
      <c r="CI108" s="23">
        <v>0.5</v>
      </c>
      <c r="CN108" s="23">
        <v>0.12121212121212122</v>
      </c>
      <c r="CO108" s="23">
        <v>0.19354838709677419</v>
      </c>
      <c r="CP108" s="23">
        <v>0.26666666666666666</v>
      </c>
      <c r="CQ108" s="23">
        <v>0.54545454545454541</v>
      </c>
      <c r="CS108" s="23">
        <v>0</v>
      </c>
    </row>
    <row r="109" spans="3:97" x14ac:dyDescent="0.25">
      <c r="C109" s="21">
        <v>81.632653061224488</v>
      </c>
      <c r="D109" s="21">
        <v>17.543859649122808</v>
      </c>
      <c r="E109" s="21">
        <v>90.909090909090907</v>
      </c>
      <c r="H109" s="21">
        <v>0</v>
      </c>
      <c r="K109" s="23">
        <v>0</v>
      </c>
      <c r="L109" s="23">
        <v>12.5</v>
      </c>
      <c r="M109" s="23">
        <v>14.814814814814813</v>
      </c>
      <c r="N109" s="23">
        <v>0</v>
      </c>
      <c r="O109" s="23">
        <v>0</v>
      </c>
      <c r="P109" s="23">
        <v>18.518518518518519</v>
      </c>
      <c r="Q109" s="23">
        <v>50</v>
      </c>
      <c r="R109" s="23">
        <v>100</v>
      </c>
      <c r="V109" s="23">
        <v>0.13200000000000001</v>
      </c>
      <c r="W109" s="23">
        <v>0.34399999999999997</v>
      </c>
      <c r="X109" s="23">
        <v>0.32</v>
      </c>
      <c r="Y109" s="23">
        <v>0.12</v>
      </c>
      <c r="Z109" s="23">
        <v>1.6E-2</v>
      </c>
      <c r="AA109" s="23">
        <v>6.8000000000000005E-2</v>
      </c>
      <c r="AE109" s="23">
        <v>6.1224489795918366E-2</v>
      </c>
      <c r="AF109" s="23">
        <v>8.771929824561403E-2</v>
      </c>
      <c r="AG109" s="23">
        <v>0.18181818181818182</v>
      </c>
      <c r="AJ109" s="23">
        <v>0</v>
      </c>
      <c r="AO109" s="23">
        <v>2.197802197802198E-2</v>
      </c>
      <c r="AP109" s="23">
        <v>0</v>
      </c>
      <c r="AQ109" s="23">
        <v>0.04</v>
      </c>
      <c r="AT109" s="23">
        <v>5.8823529411764705E-2</v>
      </c>
      <c r="AU109" s="23">
        <v>2.5000000000000001E-2</v>
      </c>
      <c r="AW109" s="100">
        <v>0.05</v>
      </c>
      <c r="BA109" s="23">
        <v>0.5</v>
      </c>
      <c r="BB109" s="23">
        <v>1</v>
      </c>
      <c r="BC109" s="23">
        <v>0.5</v>
      </c>
      <c r="BG109" s="23">
        <v>0.5714285714285714</v>
      </c>
      <c r="BI109" s="100">
        <v>20</v>
      </c>
      <c r="BL109" s="23">
        <v>0</v>
      </c>
      <c r="BM109" s="23">
        <v>0.14285714285714285</v>
      </c>
      <c r="BN109" s="23">
        <v>0.8571428571428571</v>
      </c>
      <c r="BQ109" s="100">
        <v>7</v>
      </c>
      <c r="BU109" s="23">
        <v>0.63636363636363635</v>
      </c>
      <c r="BV109" s="23">
        <v>0.47674418604651164</v>
      </c>
      <c r="BW109" s="23">
        <v>0.67500000000000004</v>
      </c>
      <c r="BX109" s="23">
        <v>0.6333333333333333</v>
      </c>
      <c r="BY109" s="23">
        <v>0.5</v>
      </c>
      <c r="BZ109" s="23">
        <v>0.11764705882352941</v>
      </c>
      <c r="CD109" s="23">
        <v>0.5714285714285714</v>
      </c>
      <c r="CE109" s="23">
        <v>0.62</v>
      </c>
      <c r="CF109" s="23">
        <v>0.64</v>
      </c>
      <c r="CI109" s="23">
        <v>0.5</v>
      </c>
      <c r="CN109" s="23">
        <v>5.0847457627118647E-2</v>
      </c>
      <c r="CO109" s="23">
        <v>0</v>
      </c>
      <c r="CP109" s="23">
        <v>0.125</v>
      </c>
      <c r="CS109" s="23">
        <v>0.23529411764705882</v>
      </c>
    </row>
    <row r="110" spans="3:97" x14ac:dyDescent="0.25">
      <c r="C110" s="21">
        <v>49.180327868852459</v>
      </c>
      <c r="D110" s="21">
        <v>0</v>
      </c>
      <c r="F110" s="21">
        <v>71.428571428571431</v>
      </c>
      <c r="G110" s="21">
        <v>9.615384615384615</v>
      </c>
      <c r="H110" s="21">
        <v>19.23076923076923</v>
      </c>
      <c r="K110" s="23">
        <v>0</v>
      </c>
      <c r="L110" s="23">
        <v>18.181818181818183</v>
      </c>
      <c r="M110" s="23">
        <v>3.4482758620689653</v>
      </c>
      <c r="N110" s="23">
        <v>0</v>
      </c>
      <c r="O110" s="23">
        <v>0</v>
      </c>
      <c r="P110" s="23">
        <v>25</v>
      </c>
      <c r="Q110" s="23">
        <v>9.0909090909090917</v>
      </c>
      <c r="R110" s="23">
        <v>50</v>
      </c>
      <c r="V110" s="23">
        <v>0.308</v>
      </c>
      <c r="W110" s="23">
        <v>0.216</v>
      </c>
      <c r="X110" s="23">
        <v>0.316</v>
      </c>
      <c r="Y110" s="23">
        <v>0.11600000000000001</v>
      </c>
      <c r="Z110" s="23">
        <v>2.8000000000000001E-2</v>
      </c>
      <c r="AA110" s="23">
        <v>1.6E-2</v>
      </c>
      <c r="AE110" s="23">
        <v>3.2786885245901641E-2</v>
      </c>
      <c r="AF110" s="23">
        <v>0</v>
      </c>
      <c r="AH110" s="23">
        <v>0</v>
      </c>
      <c r="AI110" s="23">
        <v>1.9230769230769232E-2</v>
      </c>
      <c r="AJ110" s="23">
        <v>0</v>
      </c>
      <c r="AO110" s="23">
        <v>1.7543859649122806E-2</v>
      </c>
      <c r="AP110" s="23">
        <v>0</v>
      </c>
      <c r="AR110" s="23">
        <v>4.7619047619047616E-2</v>
      </c>
      <c r="AS110" s="23">
        <v>5.0847457627118647E-2</v>
      </c>
      <c r="AT110" s="23">
        <v>7.1428571428571425E-2</v>
      </c>
      <c r="AU110" s="23">
        <v>4.142011834319527E-2</v>
      </c>
      <c r="AW110" s="100">
        <v>2.9585798816568046E-2</v>
      </c>
      <c r="BA110" s="23">
        <v>1</v>
      </c>
      <c r="BE110" s="23">
        <v>0</v>
      </c>
      <c r="BG110" s="23">
        <v>0.5</v>
      </c>
      <c r="BI110" s="100">
        <v>11.834319526627219</v>
      </c>
      <c r="BL110" s="23">
        <v>0</v>
      </c>
      <c r="BM110" s="23">
        <v>0.66666666666666663</v>
      </c>
      <c r="BN110" s="23">
        <v>0.33333333333333331</v>
      </c>
      <c r="BQ110" s="100">
        <v>4</v>
      </c>
      <c r="BU110" s="23">
        <v>0.61038961038961037</v>
      </c>
      <c r="BV110" s="23">
        <v>0.53703703703703709</v>
      </c>
      <c r="BW110" s="23">
        <v>0.73417721518987344</v>
      </c>
      <c r="BX110" s="23">
        <v>0.48275862068965519</v>
      </c>
      <c r="BY110" s="23">
        <v>0.5714285714285714</v>
      </c>
      <c r="BZ110" s="23">
        <v>0</v>
      </c>
      <c r="CD110" s="23">
        <v>0.66666666666666663</v>
      </c>
      <c r="CE110" s="23">
        <v>1</v>
      </c>
      <c r="CG110" s="23">
        <v>0.61904761904761907</v>
      </c>
      <c r="CH110" s="23">
        <v>0.61016949152542377</v>
      </c>
      <c r="CI110" s="23">
        <v>0.5</v>
      </c>
      <c r="CN110" s="23">
        <v>2.7027027027027029E-2</v>
      </c>
      <c r="CQ110" s="23">
        <v>0.14285714285714285</v>
      </c>
      <c r="CR110" s="23">
        <v>0.21052631578947367</v>
      </c>
      <c r="CS110" s="23">
        <v>0.3125</v>
      </c>
    </row>
    <row r="111" spans="3:97" x14ac:dyDescent="0.25">
      <c r="E111" s="21">
        <v>57.971014492753625</v>
      </c>
      <c r="F111" s="21">
        <v>69.306930693069305</v>
      </c>
      <c r="G111" s="21">
        <v>0</v>
      </c>
      <c r="H111" s="21">
        <v>0</v>
      </c>
      <c r="K111" s="23">
        <v>0</v>
      </c>
      <c r="L111" s="23">
        <v>12.5</v>
      </c>
      <c r="M111" s="23">
        <v>15</v>
      </c>
      <c r="N111" s="23">
        <v>0</v>
      </c>
      <c r="O111" s="23">
        <v>0</v>
      </c>
      <c r="P111" s="23">
        <v>18.75</v>
      </c>
      <c r="Q111" s="23">
        <v>0</v>
      </c>
      <c r="R111" s="23">
        <v>40</v>
      </c>
      <c r="V111" s="23">
        <v>0.252</v>
      </c>
      <c r="W111" s="23">
        <v>0.128</v>
      </c>
      <c r="X111" s="23">
        <v>0.38400000000000001</v>
      </c>
      <c r="Y111" s="23">
        <v>0.14000000000000001</v>
      </c>
      <c r="Z111" s="23">
        <v>4.8000000000000001E-2</v>
      </c>
      <c r="AA111" s="23">
        <v>4.8000000000000001E-2</v>
      </c>
      <c r="AG111" s="23">
        <v>0.10144927536231885</v>
      </c>
      <c r="AH111" s="23">
        <v>2.9702970297029702E-2</v>
      </c>
      <c r="AI111" s="23">
        <v>3.7735849056603772E-2</v>
      </c>
      <c r="AJ111" s="23">
        <v>0</v>
      </c>
      <c r="AQ111" s="23">
        <v>5.3571428571428568E-2</v>
      </c>
      <c r="AR111" s="23">
        <v>0.11428571428571428</v>
      </c>
      <c r="AS111" s="23">
        <v>8.3333333333333329E-2</v>
      </c>
      <c r="AT111" s="23">
        <v>0</v>
      </c>
      <c r="AU111" s="23">
        <v>0.08</v>
      </c>
      <c r="AW111" s="100">
        <v>0.04</v>
      </c>
      <c r="BC111" s="23">
        <v>1</v>
      </c>
      <c r="BD111" s="23">
        <v>0.66666666666666663</v>
      </c>
      <c r="BE111" s="23">
        <v>1</v>
      </c>
      <c r="BG111" s="23">
        <v>0.88888888888888884</v>
      </c>
      <c r="BI111" s="100">
        <v>45.714285714285715</v>
      </c>
      <c r="BL111" s="23">
        <v>0.2857142857142857</v>
      </c>
      <c r="BM111" s="23">
        <v>0</v>
      </c>
      <c r="BN111" s="23">
        <v>0.7142857142857143</v>
      </c>
      <c r="BQ111" s="100">
        <v>9</v>
      </c>
      <c r="BU111" s="23">
        <v>0.60317460317460314</v>
      </c>
      <c r="BV111" s="23">
        <v>0.625</v>
      </c>
      <c r="BW111" s="23">
        <v>0.75</v>
      </c>
      <c r="BX111" s="23">
        <v>0.77142857142857146</v>
      </c>
      <c r="BY111" s="23">
        <v>0.75</v>
      </c>
      <c r="BZ111" s="23">
        <v>8.3333333333333329E-2</v>
      </c>
      <c r="CF111" s="23">
        <v>0.75</v>
      </c>
      <c r="CG111" s="23">
        <v>0.75714285714285712</v>
      </c>
      <c r="CH111" s="23">
        <v>0.66666666666666663</v>
      </c>
      <c r="CI111" s="23">
        <v>0.69230769230769229</v>
      </c>
      <c r="CP111" s="23">
        <v>0.38461538461538464</v>
      </c>
      <c r="CQ111" s="23">
        <v>0.46153846153846156</v>
      </c>
      <c r="CR111" s="23">
        <v>0.3125</v>
      </c>
      <c r="CS111" s="23">
        <v>0</v>
      </c>
    </row>
    <row r="112" spans="3:97" x14ac:dyDescent="0.25">
      <c r="D112" s="21">
        <v>19.23076923076923</v>
      </c>
      <c r="E112" s="21">
        <v>19.607843137254903</v>
      </c>
      <c r="F112" s="21">
        <v>96.774193548387103</v>
      </c>
      <c r="G112" s="21">
        <v>19.23076923076923</v>
      </c>
      <c r="H112" s="21">
        <v>30.303030303030305</v>
      </c>
      <c r="K112" s="23">
        <v>0</v>
      </c>
      <c r="L112" s="23">
        <v>0</v>
      </c>
      <c r="M112" s="23">
        <v>5</v>
      </c>
      <c r="N112" s="23">
        <v>20</v>
      </c>
      <c r="O112" s="23">
        <v>0</v>
      </c>
      <c r="P112" s="23">
        <v>20.833333333333336</v>
      </c>
      <c r="Q112" s="23">
        <v>12.5</v>
      </c>
      <c r="R112" s="23">
        <v>0</v>
      </c>
      <c r="V112" s="23">
        <v>0.21199999999999999</v>
      </c>
      <c r="W112" s="23">
        <v>0.17599999999999999</v>
      </c>
      <c r="X112" s="23">
        <v>0.39600000000000002</v>
      </c>
      <c r="Y112" s="23">
        <v>0.13200000000000001</v>
      </c>
      <c r="Z112" s="23">
        <v>3.2000000000000001E-2</v>
      </c>
      <c r="AA112" s="23">
        <v>5.1999999999999998E-2</v>
      </c>
      <c r="AF112" s="23">
        <v>3.8461538461538464E-2</v>
      </c>
      <c r="AG112" s="23">
        <v>5.8823529411764705E-2</v>
      </c>
      <c r="AH112" s="23">
        <v>9.6774193548387094E-2</v>
      </c>
      <c r="AI112" s="23">
        <v>3.8461538461538464E-2</v>
      </c>
      <c r="AJ112" s="23">
        <v>0</v>
      </c>
      <c r="AP112" s="23">
        <v>8.1632653061224483E-2</v>
      </c>
      <c r="AQ112" s="23">
        <v>0</v>
      </c>
      <c r="AR112" s="23">
        <v>6.6666666666666666E-2</v>
      </c>
      <c r="AS112" s="23">
        <v>8.8235294117647065E-2</v>
      </c>
      <c r="AT112" s="23">
        <v>7.1428571428571425E-2</v>
      </c>
      <c r="AU112" s="23">
        <v>5.9782608695652176E-2</v>
      </c>
      <c r="AW112" s="100">
        <v>3.2608695652173912E-2</v>
      </c>
      <c r="BB112" s="23">
        <v>0</v>
      </c>
      <c r="BC112" s="23">
        <v>1</v>
      </c>
      <c r="BD112" s="23">
        <v>0.75</v>
      </c>
      <c r="BE112" s="23">
        <v>1</v>
      </c>
      <c r="BG112" s="23">
        <v>0.77777777777777779</v>
      </c>
      <c r="BI112" s="100">
        <v>38.043478260869563</v>
      </c>
      <c r="BL112" s="23">
        <v>0.66666666666666663</v>
      </c>
      <c r="BM112" s="23">
        <v>0</v>
      </c>
      <c r="BN112" s="23">
        <v>0.33333333333333331</v>
      </c>
      <c r="BQ112" s="100">
        <v>9</v>
      </c>
      <c r="BU112" s="23">
        <v>0.58490566037735847</v>
      </c>
      <c r="BV112" s="23">
        <v>0.56818181818181823</v>
      </c>
      <c r="BW112" s="23">
        <v>0.75757575757575757</v>
      </c>
      <c r="BX112" s="23">
        <v>0.63636363636363635</v>
      </c>
      <c r="BY112" s="23">
        <v>0.625</v>
      </c>
      <c r="BZ112" s="23">
        <v>0.23076923076923078</v>
      </c>
      <c r="CE112" s="23">
        <v>0.73469387755102045</v>
      </c>
      <c r="CF112" s="23">
        <v>0.73809523809523814</v>
      </c>
      <c r="CG112" s="23">
        <v>0.62222222222222223</v>
      </c>
      <c r="CH112" s="23">
        <v>0.67647058823529416</v>
      </c>
      <c r="CI112" s="23">
        <v>0.5714285714285714</v>
      </c>
      <c r="CO112" s="23">
        <v>0.15384615384615385</v>
      </c>
      <c r="CP112" s="23">
        <v>0</v>
      </c>
      <c r="CQ112" s="23">
        <v>0.26666666666666666</v>
      </c>
      <c r="CR112" s="23">
        <v>0.2857142857142857</v>
      </c>
      <c r="CS112" s="23">
        <v>0.42857142857142855</v>
      </c>
    </row>
    <row r="113" spans="4:95" x14ac:dyDescent="0.25">
      <c r="D113" s="21">
        <v>65.217391304347828</v>
      </c>
      <c r="E113" s="21">
        <v>20.618556701030929</v>
      </c>
      <c r="F113" s="21">
        <v>81.967213114754102</v>
      </c>
      <c r="K113" s="23">
        <v>0</v>
      </c>
      <c r="L113" s="23">
        <v>18.75</v>
      </c>
      <c r="M113" s="23">
        <v>6.25</v>
      </c>
      <c r="N113" s="23">
        <v>20</v>
      </c>
      <c r="O113" s="23">
        <v>0</v>
      </c>
      <c r="P113" s="23">
        <v>21.875</v>
      </c>
      <c r="Q113" s="23">
        <v>45.454545454545453</v>
      </c>
      <c r="R113" s="23">
        <v>50</v>
      </c>
      <c r="V113" s="23">
        <v>0.108</v>
      </c>
      <c r="W113" s="23">
        <v>0.16800000000000001</v>
      </c>
      <c r="X113" s="23">
        <v>0.44800000000000001</v>
      </c>
      <c r="Y113" s="23">
        <v>0.14799999999999999</v>
      </c>
      <c r="Z113" s="23">
        <v>0.04</v>
      </c>
      <c r="AA113" s="23">
        <v>8.7999999999999995E-2</v>
      </c>
      <c r="AF113" s="23">
        <v>8.6956521739130432E-2</v>
      </c>
      <c r="AG113" s="23">
        <v>8.247422680412371E-2</v>
      </c>
      <c r="AH113" s="23">
        <v>9.8360655737704916E-2</v>
      </c>
      <c r="AP113" s="23">
        <v>4.8192771084337352E-2</v>
      </c>
      <c r="AQ113" s="23">
        <v>5.4054054054054057E-2</v>
      </c>
      <c r="AR113" s="23">
        <v>0.13636363636363635</v>
      </c>
      <c r="AU113" s="23">
        <v>6.965174129353234E-2</v>
      </c>
      <c r="AW113" s="100">
        <v>4.4776119402985072E-2</v>
      </c>
      <c r="BB113" s="23">
        <v>0.42857142857142855</v>
      </c>
      <c r="BC113" s="23">
        <v>0.33333333333333331</v>
      </c>
      <c r="BD113" s="23">
        <v>0.33333333333333331</v>
      </c>
      <c r="BG113" s="23">
        <v>0.375</v>
      </c>
      <c r="BI113" s="100">
        <v>29.850746268656717</v>
      </c>
      <c r="BL113" s="23">
        <v>0.44444444444444442</v>
      </c>
      <c r="BM113" s="23">
        <v>0</v>
      </c>
      <c r="BN113" s="23">
        <v>0.55555555555555558</v>
      </c>
      <c r="BQ113" s="100">
        <v>16</v>
      </c>
      <c r="BU113" s="23">
        <v>0.55555555555555558</v>
      </c>
      <c r="BV113" s="23">
        <v>0.59523809523809523</v>
      </c>
      <c r="BW113" s="23">
        <v>0.6517857142857143</v>
      </c>
      <c r="BX113" s="23">
        <v>0.67567567567567566</v>
      </c>
      <c r="BY113" s="23">
        <v>0.7</v>
      </c>
      <c r="BZ113" s="23">
        <v>0.18181818181818182</v>
      </c>
      <c r="CE113" s="23">
        <v>0.6506024096385542</v>
      </c>
      <c r="CF113" s="23">
        <v>0.67567567567567566</v>
      </c>
      <c r="CG113" s="23">
        <v>0.59090909090909094</v>
      </c>
      <c r="CO113" s="23">
        <v>0.14705882352941177</v>
      </c>
      <c r="CP113" s="23">
        <v>0.23809523809523808</v>
      </c>
      <c r="CQ113" s="23">
        <v>0.42105263157894735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98</xdr:col>
                    <xdr:colOff>247650</xdr:colOff>
                    <xdr:row>13</xdr:row>
                    <xdr:rowOff>180975</xdr:rowOff>
                  </from>
                  <to>
                    <xdr:col>99</xdr:col>
                    <xdr:colOff>1343025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L108"/>
  <sheetViews>
    <sheetView showGridLines="0" zoomScale="85" zoomScaleNormal="85" workbookViewId="0">
      <selection activeCell="F33" sqref="F33"/>
    </sheetView>
  </sheetViews>
  <sheetFormatPr defaultRowHeight="15" x14ac:dyDescent="0.25"/>
  <cols>
    <col min="1" max="1" width="19.42578125" customWidth="1"/>
    <col min="2" max="2" width="13.140625" bestFit="1" customWidth="1"/>
    <col min="3" max="3" width="13.140625" customWidth="1"/>
    <col min="7" max="7" width="4" customWidth="1"/>
    <col min="8" max="8" width="13.140625" bestFit="1" customWidth="1"/>
    <col min="9" max="9" width="13.140625" customWidth="1"/>
    <col min="13" max="13" width="4.85546875" customWidth="1"/>
    <col min="14" max="15" width="13.140625" style="114" customWidth="1"/>
    <col min="16" max="18" width="9.140625" style="114"/>
    <col min="19" max="19" width="4" style="114" customWidth="1"/>
    <col min="20" max="21" width="13.140625" style="114" customWidth="1"/>
    <col min="22" max="23" width="9.140625" style="114"/>
    <col min="24" max="25" width="13.140625" style="114" customWidth="1"/>
    <col min="26" max="28" width="9.140625" style="114"/>
    <col min="29" max="29" width="4.85546875" style="114" customWidth="1"/>
    <col min="30" max="31" width="13.140625" style="114" customWidth="1"/>
    <col min="32" max="33" width="9.140625" style="114"/>
    <col min="34" max="35" width="13.140625" style="114" customWidth="1"/>
    <col min="36" max="38" width="9.140625" style="114"/>
  </cols>
  <sheetData>
    <row r="1" spans="1:38" x14ac:dyDescent="0.25">
      <c r="B1" s="238" t="s">
        <v>126</v>
      </c>
      <c r="C1" s="238"/>
      <c r="D1" s="238"/>
      <c r="E1" s="238"/>
      <c r="F1" s="238"/>
      <c r="H1" s="238" t="s">
        <v>138</v>
      </c>
      <c r="I1" s="238"/>
      <c r="J1" s="238"/>
      <c r="K1" s="238"/>
      <c r="L1" s="238"/>
      <c r="N1" s="238" t="s">
        <v>139</v>
      </c>
      <c r="O1" s="238"/>
      <c r="P1" s="238"/>
      <c r="Q1" s="238"/>
      <c r="R1" s="238"/>
      <c r="T1" s="238" t="s">
        <v>138</v>
      </c>
      <c r="U1" s="238"/>
      <c r="V1" s="238"/>
      <c r="W1" s="238"/>
      <c r="X1" s="238"/>
      <c r="Y1" s="238"/>
      <c r="Z1" s="238"/>
      <c r="AA1" s="238"/>
      <c r="AB1" s="238"/>
      <c r="AD1" s="238" t="s">
        <v>141</v>
      </c>
      <c r="AE1" s="238"/>
      <c r="AF1" s="238"/>
      <c r="AG1" s="238"/>
      <c r="AH1" s="238"/>
      <c r="AI1" s="238"/>
      <c r="AJ1" s="238"/>
      <c r="AK1" s="238"/>
      <c r="AL1" s="238"/>
    </row>
    <row r="2" spans="1:38" x14ac:dyDescent="0.25">
      <c r="B2" s="239" t="s">
        <v>135</v>
      </c>
      <c r="C2" s="239"/>
      <c r="D2" s="239"/>
      <c r="E2" s="239"/>
      <c r="F2" s="239"/>
      <c r="H2" s="239" t="s">
        <v>135</v>
      </c>
      <c r="I2" s="239"/>
      <c r="J2" s="239"/>
      <c r="K2" s="239"/>
      <c r="L2" s="239"/>
      <c r="N2" s="239" t="s">
        <v>135</v>
      </c>
      <c r="O2" s="239"/>
      <c r="P2" s="239"/>
      <c r="Q2" s="239"/>
      <c r="R2" s="239"/>
      <c r="T2" s="239" t="s">
        <v>134</v>
      </c>
      <c r="U2" s="239"/>
      <c r="V2" s="239"/>
      <c r="W2" s="239"/>
      <c r="X2" s="227"/>
      <c r="Y2" s="239" t="s">
        <v>133</v>
      </c>
      <c r="Z2" s="239"/>
      <c r="AA2" s="239"/>
      <c r="AB2" s="239"/>
      <c r="AD2" s="239" t="s">
        <v>134</v>
      </c>
      <c r="AE2" s="239"/>
      <c r="AF2" s="239"/>
      <c r="AG2" s="239"/>
      <c r="AH2" s="227"/>
      <c r="AI2" s="239" t="s">
        <v>133</v>
      </c>
      <c r="AJ2" s="239"/>
      <c r="AK2" s="239"/>
      <c r="AL2" s="239"/>
    </row>
    <row r="3" spans="1:38" s="23" customFormat="1" x14ac:dyDescent="0.25">
      <c r="A3" s="69"/>
      <c r="B3" s="70">
        <v>0</v>
      </c>
      <c r="C3" s="70">
        <v>0.25</v>
      </c>
      <c r="D3" s="71">
        <v>0.5</v>
      </c>
      <c r="E3" s="71">
        <v>0.75</v>
      </c>
      <c r="F3" s="71">
        <v>1</v>
      </c>
      <c r="H3" s="70">
        <v>0</v>
      </c>
      <c r="I3" s="70">
        <v>0.25</v>
      </c>
      <c r="J3" s="71">
        <v>0.5</v>
      </c>
      <c r="K3" s="71">
        <v>0.75</v>
      </c>
      <c r="L3" s="71">
        <v>1</v>
      </c>
      <c r="N3" s="70">
        <v>0</v>
      </c>
      <c r="O3" s="70">
        <v>0.25</v>
      </c>
      <c r="P3" s="71">
        <v>0.5</v>
      </c>
      <c r="Q3" s="71">
        <v>0.75</v>
      </c>
      <c r="R3" s="71">
        <v>1</v>
      </c>
      <c r="T3" s="70">
        <v>-0.4</v>
      </c>
      <c r="U3" s="71">
        <v>-0.3</v>
      </c>
      <c r="V3" s="71">
        <v>-0.2</v>
      </c>
      <c r="W3" s="71">
        <v>-0.1</v>
      </c>
      <c r="X3" s="70">
        <v>0</v>
      </c>
      <c r="Y3" s="70">
        <v>0.1</v>
      </c>
      <c r="Z3" s="71">
        <v>0.2</v>
      </c>
      <c r="AA3" s="71">
        <v>0.3</v>
      </c>
      <c r="AB3" s="71">
        <v>0.4</v>
      </c>
      <c r="AD3" s="70">
        <v>-0.4</v>
      </c>
      <c r="AE3" s="71">
        <v>-0.3</v>
      </c>
      <c r="AF3" s="71">
        <v>-0.2</v>
      </c>
      <c r="AG3" s="71">
        <v>-0.1</v>
      </c>
      <c r="AH3" s="70">
        <v>0</v>
      </c>
      <c r="AI3" s="70">
        <v>0.1</v>
      </c>
      <c r="AJ3" s="71">
        <v>0.2</v>
      </c>
      <c r="AK3" s="71">
        <v>0.3</v>
      </c>
      <c r="AL3" s="71">
        <v>0.4</v>
      </c>
    </row>
    <row r="4" spans="1:38" x14ac:dyDescent="0.25">
      <c r="A4" s="51" t="s">
        <v>67</v>
      </c>
      <c r="B4" s="64">
        <f>AVERAGE(B9:B1008)</f>
        <v>6.663965242429043E-2</v>
      </c>
      <c r="C4" s="64">
        <f>AVERAGE(C9:C1008)</f>
        <v>5.1093075032694717E-2</v>
      </c>
      <c r="D4" s="64">
        <f>AVERAGE(D9:D1008)</f>
        <v>3.4173980170237227E-2</v>
      </c>
      <c r="E4" s="64">
        <f>AVERAGE(E9:E1008)</f>
        <v>1.7012905164962778E-2</v>
      </c>
      <c r="F4" s="64">
        <f>AVERAGE(F9:F1008)</f>
        <v>2.6162907399645185E-4</v>
      </c>
      <c r="H4" s="64">
        <f>AVERAGE(H9:H1008)</f>
        <v>3.4074744553376828E-2</v>
      </c>
      <c r="I4" s="64">
        <f>AVERAGE(I9:I1008)</f>
        <v>3.0714683990332316E-2</v>
      </c>
      <c r="J4" s="64">
        <f>AVERAGE(J9:J1008)</f>
        <v>2.7823331200849948E-2</v>
      </c>
      <c r="K4" s="64">
        <f>AVERAGE(K9:K1008)</f>
        <v>2.5133922871108175E-2</v>
      </c>
      <c r="L4" s="64">
        <f>AVERAGE(L9:L1008)</f>
        <v>2.2545271520932351E-2</v>
      </c>
      <c r="N4" s="64">
        <f>AVERAGE(N9:N1008)</f>
        <v>0.61743456461838808</v>
      </c>
      <c r="O4" s="64">
        <f>AVERAGE(O9:O1008)</f>
        <v>0.54664432789432782</v>
      </c>
      <c r="P4" s="64">
        <f>AVERAGE(P9:P1008)</f>
        <v>0.47903012836836367</v>
      </c>
      <c r="Q4" s="64">
        <f>AVERAGE(Q9:Q1008)</f>
        <v>0.39695434222640097</v>
      </c>
      <c r="R4" s="64">
        <f>AVERAGE(R9:R1008)</f>
        <v>0.33261638945849464</v>
      </c>
      <c r="T4" s="64">
        <f t="shared" ref="T4:AB4" si="0">AVERAGE(T9:T1008)</f>
        <v>4.7777974739978746E-2</v>
      </c>
      <c r="U4" s="64">
        <f t="shared" si="0"/>
        <v>4.4763961317205253E-2</v>
      </c>
      <c r="V4" s="64">
        <f t="shared" si="0"/>
        <v>4.2100396455672373E-2</v>
      </c>
      <c r="W4" s="64">
        <f t="shared" si="0"/>
        <v>3.7521431218528627E-2</v>
      </c>
      <c r="X4" s="64">
        <f t="shared" si="0"/>
        <v>3.4074744553376828E-2</v>
      </c>
      <c r="Y4" s="64">
        <f t="shared" si="0"/>
        <v>3.389896497110436E-2</v>
      </c>
      <c r="Z4" s="64">
        <f t="shared" si="0"/>
        <v>3.3526922558144837E-2</v>
      </c>
      <c r="AA4" s="64">
        <f t="shared" si="0"/>
        <v>3.2887139390881927E-2</v>
      </c>
      <c r="AB4" s="64">
        <f t="shared" si="0"/>
        <v>3.2435245330493169E-2</v>
      </c>
      <c r="AD4" s="228">
        <f t="shared" ref="AD4:AL4" si="1">AVERAGE(AD9:AD1008)</f>
        <v>38.264764959702823</v>
      </c>
      <c r="AE4" s="228">
        <f t="shared" si="1"/>
        <v>35.889118178123113</v>
      </c>
      <c r="AF4" s="228">
        <f t="shared" si="1"/>
        <v>33.280521986460826</v>
      </c>
      <c r="AG4" s="228">
        <f t="shared" si="1"/>
        <v>30.353942422572526</v>
      </c>
      <c r="AH4" s="228">
        <f t="shared" si="1"/>
        <v>28.800263458144659</v>
      </c>
      <c r="AI4" s="228">
        <f t="shared" si="1"/>
        <v>28.712810368977252</v>
      </c>
      <c r="AJ4" s="228">
        <f t="shared" si="1"/>
        <v>28.486296985633086</v>
      </c>
      <c r="AK4" s="228">
        <f t="shared" si="1"/>
        <v>28.313046034871753</v>
      </c>
      <c r="AL4" s="228">
        <f t="shared" si="1"/>
        <v>27.685998632343694</v>
      </c>
    </row>
    <row r="5" spans="1:38" ht="15.75" customHeight="1" x14ac:dyDescent="0.25">
      <c r="A5" s="23" t="s">
        <v>38</v>
      </c>
      <c r="B5" s="65">
        <f>_xlfn.PERCENTILE.INC(B9:B1002,alpha/2)</f>
        <v>3.9287785079242368E-2</v>
      </c>
      <c r="C5" s="65">
        <f>_xlfn.PERCENTILE.INC(C9:C1002,alpha/2)</f>
        <v>2.9583235947177749E-2</v>
      </c>
      <c r="D5" s="65">
        <f>_xlfn.PERCENTILE.INC(D9:D1002,alpha/2)</f>
        <v>1.4879133606032232E-2</v>
      </c>
      <c r="E5" s="65">
        <f>_xlfn.PERCENTILE.INC(E9:E1002,alpha/2)</f>
        <v>0</v>
      </c>
      <c r="F5" s="65">
        <f>_xlfn.PERCENTILE.INC(F9:F1002,alpha/2)</f>
        <v>0</v>
      </c>
      <c r="H5" s="65">
        <f>_xlfn.PERCENTILE.INC(H9:H1002,alpha/2)</f>
        <v>1.2955612701252237E-2</v>
      </c>
      <c r="I5" s="65">
        <f>_xlfn.PERCENTILE.INC(I9:I1002,alpha/2)</f>
        <v>1.1198931489629164E-2</v>
      </c>
      <c r="J5" s="65">
        <f>_xlfn.PERCENTILE.INC(J9:J1002,alpha/2)</f>
        <v>1.0834753481812306E-2</v>
      </c>
      <c r="K5" s="65">
        <f>_xlfn.PERCENTILE.INC(K9:K1002,alpha/2)</f>
        <v>7.7711901624945099E-3</v>
      </c>
      <c r="L5" s="65">
        <f>_xlfn.PERCENTILE.INC(L9:L1002,alpha/2)</f>
        <v>5.6786256337391415E-3</v>
      </c>
      <c r="N5" s="65">
        <f>_xlfn.PERCENTILE.INC(N9:N1002,alpha/2)</f>
        <v>0.23541666666666666</v>
      </c>
      <c r="O5" s="65">
        <f>_xlfn.PERCENTILE.INC(O9:O1002,alpha/2)</f>
        <v>0.15416666666666667</v>
      </c>
      <c r="P5" s="65">
        <f>_xlfn.PERCENTILE.INC(P9:P1002,alpha/2)</f>
        <v>5.2777777777777785E-2</v>
      </c>
      <c r="Q5" s="65">
        <f>_xlfn.PERCENTILE.INC(Q9:Q1002,alpha/2)</f>
        <v>0</v>
      </c>
      <c r="R5" s="65">
        <f>_xlfn.PERCENTILE.INC(R9:R1002,alpha/2)</f>
        <v>0</v>
      </c>
      <c r="T5" s="65">
        <f t="shared" ref="T5:AB5" si="2">_xlfn.PERCENTILE.INC(T9:T1002,alpha/2)</f>
        <v>1.2230659883285949E-2</v>
      </c>
      <c r="U5" s="65">
        <f t="shared" si="2"/>
        <v>1.7696658545074836E-2</v>
      </c>
      <c r="V5" s="65">
        <f t="shared" si="2"/>
        <v>1.6662551313312138E-2</v>
      </c>
      <c r="W5" s="65">
        <f t="shared" si="2"/>
        <v>1.6564332844574779E-2</v>
      </c>
      <c r="X5" s="65">
        <f t="shared" si="2"/>
        <v>1.2955612701252237E-2</v>
      </c>
      <c r="Y5" s="65">
        <f t="shared" si="2"/>
        <v>1.484252354788069E-2</v>
      </c>
      <c r="Z5" s="65">
        <f t="shared" si="2"/>
        <v>1.4992115341293084E-2</v>
      </c>
      <c r="AA5" s="65">
        <f t="shared" si="2"/>
        <v>1.1360774818401937E-2</v>
      </c>
      <c r="AB5" s="65">
        <f t="shared" si="2"/>
        <v>1.2816261360845002E-2</v>
      </c>
      <c r="AD5" s="229">
        <f t="shared" ref="AD5:AL5" si="3">_xlfn.PERCENTILE.INC(AD9:AD1002,alpha/2)</f>
        <v>9.9782449489510192</v>
      </c>
      <c r="AE5" s="229">
        <f t="shared" si="3"/>
        <v>11.797772363383224</v>
      </c>
      <c r="AF5" s="229">
        <f t="shared" si="3"/>
        <v>11.327447833065811</v>
      </c>
      <c r="AG5" s="229">
        <f t="shared" si="3"/>
        <v>10.834753481812305</v>
      </c>
      <c r="AH5" s="229">
        <f t="shared" si="3"/>
        <v>5.7107386716325266</v>
      </c>
      <c r="AI5" s="229">
        <f t="shared" si="3"/>
        <v>5.6623931623931627</v>
      </c>
      <c r="AJ5" s="229">
        <f t="shared" si="3"/>
        <v>10.074361707527537</v>
      </c>
      <c r="AK5" s="229">
        <f t="shared" si="3"/>
        <v>7.8621046408513164</v>
      </c>
      <c r="AL5" s="229">
        <f t="shared" si="3"/>
        <v>7.7965435978004711</v>
      </c>
    </row>
    <row r="6" spans="1:38" s="114" customFormat="1" ht="15.75" customHeight="1" x14ac:dyDescent="0.25">
      <c r="A6" s="23" t="s">
        <v>39</v>
      </c>
      <c r="B6" s="65">
        <f>_xlfn.PERCENTILE.INC(B9:B1002,1-alpha/2)</f>
        <v>0.10112903225806451</v>
      </c>
      <c r="C6" s="65">
        <f>_xlfn.PERCENTILE.INC(C9:C1002,1-alpha/2)</f>
        <v>7.6622949840169652E-2</v>
      </c>
      <c r="D6" s="65">
        <f>_xlfn.PERCENTILE.INC(D9:D1002,1-alpha/2)</f>
        <v>5.7393980848153191E-2</v>
      </c>
      <c r="E6" s="65">
        <f>_xlfn.PERCENTILE.INC(E9:E1002,1-alpha/2)</f>
        <v>3.1935483870967736E-2</v>
      </c>
      <c r="F6" s="65">
        <f>_xlfn.PERCENTILE.INC(F9:F1002,1-alpha/2)</f>
        <v>5.1096263622210656E-3</v>
      </c>
      <c r="H6" s="65">
        <f>_xlfn.PERCENTILE.INC(H9:H1002,1-alpha/2)</f>
        <v>6.389029749830967E-2</v>
      </c>
      <c r="I6" s="65">
        <f>_xlfn.PERCENTILE.INC(I9:I1002,1-alpha/2)</f>
        <v>5.7435147972232349E-2</v>
      </c>
      <c r="J6" s="65">
        <f>_xlfn.PERCENTILE.INC(J9:J1002,1-alpha/2)</f>
        <v>5.0628063725490169E-2</v>
      </c>
      <c r="K6" s="65">
        <f>_xlfn.PERCENTILE.INC(K9:K1002,1-alpha/2)</f>
        <v>4.7324517352973973E-2</v>
      </c>
      <c r="L6" s="65">
        <f>_xlfn.PERCENTILE.INC(L9:L1002,1-alpha/2)</f>
        <v>4.358932102834541E-2</v>
      </c>
      <c r="N6" s="65">
        <f>_xlfn.PERCENTILE.INC(N9:N1002,1-alpha/2)</f>
        <v>1</v>
      </c>
      <c r="O6" s="65">
        <f>_xlfn.PERCENTILE.INC(O9:O1002,1-alpha/2)</f>
        <v>0.8571428571428571</v>
      </c>
      <c r="P6" s="65">
        <f>_xlfn.PERCENTILE.INC(P9:P1002,1-alpha/2)</f>
        <v>0.75</v>
      </c>
      <c r="Q6" s="65">
        <f>_xlfn.PERCENTILE.INC(Q9:Q1002,1-alpha/2)</f>
        <v>0.73920454545454528</v>
      </c>
      <c r="R6" s="65">
        <f>_xlfn.PERCENTILE.INC(R9:R1002,1-alpha/2)</f>
        <v>0.69166666666666621</v>
      </c>
      <c r="T6" s="65">
        <f t="shared" ref="T6:AB6" si="4">_xlfn.PERCENTILE.INC(T9:T1002,1-alpha/2)</f>
        <v>8.7748377684994203E-2</v>
      </c>
      <c r="U6" s="65">
        <f t="shared" si="4"/>
        <v>7.6496750426787247E-2</v>
      </c>
      <c r="V6" s="65">
        <f t="shared" si="4"/>
        <v>7.274316939890707E-2</v>
      </c>
      <c r="W6" s="65">
        <f t="shared" si="4"/>
        <v>6.687249842005473E-2</v>
      </c>
      <c r="X6" s="65">
        <f t="shared" si="4"/>
        <v>6.389029749830967E-2</v>
      </c>
      <c r="Y6" s="65">
        <f t="shared" si="4"/>
        <v>6.2483660130718932E-2</v>
      </c>
      <c r="Z6" s="65">
        <f t="shared" si="4"/>
        <v>6.0162151067323463E-2</v>
      </c>
      <c r="AA6" s="65">
        <f t="shared" si="4"/>
        <v>5.9917815739335349E-2</v>
      </c>
      <c r="AB6" s="65">
        <f t="shared" si="4"/>
        <v>6.2075581395348807E-2</v>
      </c>
      <c r="AD6" s="229">
        <f t="shared" ref="AD6:AL6" si="5">_xlfn.PERCENTILE.INC(AD9:AD1002,1-alpha/2)</f>
        <v>73.305555555555543</v>
      </c>
      <c r="AE6" s="229">
        <f t="shared" si="5"/>
        <v>74.822761194029852</v>
      </c>
      <c r="AF6" s="229">
        <f t="shared" si="5"/>
        <v>64.15719696969694</v>
      </c>
      <c r="AG6" s="229">
        <f t="shared" si="5"/>
        <v>55.122950819672127</v>
      </c>
      <c r="AH6" s="229">
        <f t="shared" si="5"/>
        <v>55.956284153005441</v>
      </c>
      <c r="AI6" s="229">
        <f t="shared" si="5"/>
        <v>54.070243104254324</v>
      </c>
      <c r="AJ6" s="229">
        <f t="shared" si="5"/>
        <v>56.39106676170109</v>
      </c>
      <c r="AK6" s="229">
        <f t="shared" si="5"/>
        <v>53.774154589371975</v>
      </c>
      <c r="AL6" s="229">
        <f t="shared" si="5"/>
        <v>52.387151310228219</v>
      </c>
    </row>
    <row r="7" spans="1:38" x14ac:dyDescent="0.25">
      <c r="A7" s="23" t="s">
        <v>44</v>
      </c>
      <c r="B7" s="130">
        <f>B4-B5</f>
        <v>2.7351867345048061E-2</v>
      </c>
      <c r="C7" s="130">
        <f>C4-C5</f>
        <v>2.1509839085516968E-2</v>
      </c>
      <c r="D7" s="130">
        <f>D4-D5</f>
        <v>1.9294846564204993E-2</v>
      </c>
      <c r="E7" s="130">
        <f>E4-E5</f>
        <v>1.7012905164962778E-2</v>
      </c>
      <c r="F7" s="130">
        <f>F4-F5</f>
        <v>2.6162907399645185E-4</v>
      </c>
      <c r="G7" s="6"/>
      <c r="H7" s="130">
        <f>H4-H5</f>
        <v>2.1119131852124592E-2</v>
      </c>
      <c r="I7" s="130">
        <f>I4-I5</f>
        <v>1.951575250070315E-2</v>
      </c>
      <c r="J7" s="130">
        <f>J4-J5</f>
        <v>1.698857771903764E-2</v>
      </c>
      <c r="K7" s="130">
        <f>K4-K5</f>
        <v>1.7362732708613667E-2</v>
      </c>
      <c r="L7" s="130">
        <f>L4-L5</f>
        <v>1.6866645887193211E-2</v>
      </c>
      <c r="M7" s="6"/>
      <c r="N7" s="130">
        <f>N4-N5</f>
        <v>0.38201789795172142</v>
      </c>
      <c r="O7" s="130">
        <f>O4-O5</f>
        <v>0.39247766122766115</v>
      </c>
      <c r="P7" s="130">
        <f>P4-P5</f>
        <v>0.42625235059058586</v>
      </c>
      <c r="Q7" s="130">
        <f>Q4-Q5</f>
        <v>0.39695434222640097</v>
      </c>
      <c r="R7" s="130">
        <f>R4-R5</f>
        <v>0.33261638945849464</v>
      </c>
      <c r="S7" s="6"/>
      <c r="T7" s="130">
        <f t="shared" ref="T7:AB7" si="6">T4-T5</f>
        <v>3.5547314856692797E-2</v>
      </c>
      <c r="U7" s="130">
        <f t="shared" si="6"/>
        <v>2.7067302772130417E-2</v>
      </c>
      <c r="V7" s="130">
        <f t="shared" si="6"/>
        <v>2.5437845142360235E-2</v>
      </c>
      <c r="W7" s="130">
        <f t="shared" si="6"/>
        <v>2.0957098373953847E-2</v>
      </c>
      <c r="X7" s="130">
        <f t="shared" si="6"/>
        <v>2.1119131852124592E-2</v>
      </c>
      <c r="Y7" s="130">
        <f t="shared" si="6"/>
        <v>1.9056441423223672E-2</v>
      </c>
      <c r="Z7" s="130">
        <f t="shared" si="6"/>
        <v>1.8534807216851752E-2</v>
      </c>
      <c r="AA7" s="130">
        <f t="shared" si="6"/>
        <v>2.152636457247999E-2</v>
      </c>
      <c r="AB7" s="130">
        <f t="shared" si="6"/>
        <v>1.9618983969648167E-2</v>
      </c>
      <c r="AC7" s="6"/>
      <c r="AD7" s="230">
        <f t="shared" ref="AD7:AL7" si="7">AD4-AD5</f>
        <v>28.286520010751804</v>
      </c>
      <c r="AE7" s="230">
        <f t="shared" si="7"/>
        <v>24.091345814739888</v>
      </c>
      <c r="AF7" s="230">
        <f t="shared" si="7"/>
        <v>21.953074153395015</v>
      </c>
      <c r="AG7" s="230">
        <f t="shared" si="7"/>
        <v>19.519188940760223</v>
      </c>
      <c r="AH7" s="230">
        <f t="shared" si="7"/>
        <v>23.089524786512133</v>
      </c>
      <c r="AI7" s="230">
        <f t="shared" si="7"/>
        <v>23.05041720658409</v>
      </c>
      <c r="AJ7" s="230">
        <f t="shared" si="7"/>
        <v>18.411935278105549</v>
      </c>
      <c r="AK7" s="230">
        <f t="shared" si="7"/>
        <v>20.450941394020436</v>
      </c>
      <c r="AL7" s="230">
        <f t="shared" si="7"/>
        <v>19.889455034543222</v>
      </c>
    </row>
    <row r="8" spans="1:38" s="114" customFormat="1" x14ac:dyDescent="0.25">
      <c r="A8" s="69" t="s">
        <v>45</v>
      </c>
      <c r="B8" s="66">
        <f>B6-B4</f>
        <v>3.4489379833774078E-2</v>
      </c>
      <c r="C8" s="66">
        <f>C6-C4</f>
        <v>2.5529874807474935E-2</v>
      </c>
      <c r="D8" s="66">
        <f>D6-D4</f>
        <v>2.3220000677915964E-2</v>
      </c>
      <c r="E8" s="66">
        <f>E6-E4</f>
        <v>1.4922578706004958E-2</v>
      </c>
      <c r="F8" s="66">
        <f>F6-F4</f>
        <v>4.847997288224614E-3</v>
      </c>
      <c r="G8" s="27"/>
      <c r="H8" s="66">
        <f>H6-H4</f>
        <v>2.9815552944932842E-2</v>
      </c>
      <c r="I8" s="66">
        <f>I6-I4</f>
        <v>2.6720463981900033E-2</v>
      </c>
      <c r="J8" s="66">
        <f>J6-J4</f>
        <v>2.2804732524640221E-2</v>
      </c>
      <c r="K8" s="66">
        <f>K6-K4</f>
        <v>2.2190594481865798E-2</v>
      </c>
      <c r="L8" s="66">
        <f>L6-L4</f>
        <v>2.1044049507413058E-2</v>
      </c>
      <c r="M8" s="27"/>
      <c r="N8" s="66">
        <f>N6-N4</f>
        <v>0.38256543538161192</v>
      </c>
      <c r="O8" s="66">
        <f>O6-O4</f>
        <v>0.31049852924852928</v>
      </c>
      <c r="P8" s="66">
        <f>P6-P4</f>
        <v>0.27096987163163633</v>
      </c>
      <c r="Q8" s="66">
        <f>Q6-Q4</f>
        <v>0.34225020322814431</v>
      </c>
      <c r="R8" s="66">
        <f>R6-R4</f>
        <v>0.35905027720817156</v>
      </c>
      <c r="S8" s="27"/>
      <c r="T8" s="66">
        <f t="shared" ref="T8:AB8" si="8">T6-T4</f>
        <v>3.9970402945015457E-2</v>
      </c>
      <c r="U8" s="66">
        <f t="shared" si="8"/>
        <v>3.1732789109581994E-2</v>
      </c>
      <c r="V8" s="66">
        <f t="shared" si="8"/>
        <v>3.0642772943234697E-2</v>
      </c>
      <c r="W8" s="66">
        <f t="shared" si="8"/>
        <v>2.9351067201526103E-2</v>
      </c>
      <c r="X8" s="66">
        <f t="shared" si="8"/>
        <v>2.9815552944932842E-2</v>
      </c>
      <c r="Y8" s="66">
        <f t="shared" si="8"/>
        <v>2.8584695159614572E-2</v>
      </c>
      <c r="Z8" s="66">
        <f t="shared" si="8"/>
        <v>2.6635228509178627E-2</v>
      </c>
      <c r="AA8" s="66">
        <f t="shared" si="8"/>
        <v>2.7030676348453422E-2</v>
      </c>
      <c r="AB8" s="66">
        <f t="shared" si="8"/>
        <v>2.9640336064855638E-2</v>
      </c>
      <c r="AC8" s="27"/>
      <c r="AD8" s="231">
        <f t="shared" ref="AD8:AL8" si="9">AD6-AD4</f>
        <v>35.040790595852719</v>
      </c>
      <c r="AE8" s="231">
        <f t="shared" si="9"/>
        <v>38.933643015906739</v>
      </c>
      <c r="AF8" s="231">
        <f t="shared" si="9"/>
        <v>30.876674983236114</v>
      </c>
      <c r="AG8" s="231">
        <f t="shared" si="9"/>
        <v>24.769008397099601</v>
      </c>
      <c r="AH8" s="231">
        <f t="shared" si="9"/>
        <v>27.156020694860782</v>
      </c>
      <c r="AI8" s="231">
        <f t="shared" si="9"/>
        <v>25.357432735277072</v>
      </c>
      <c r="AJ8" s="231">
        <f t="shared" si="9"/>
        <v>27.904769776068004</v>
      </c>
      <c r="AK8" s="231">
        <f t="shared" si="9"/>
        <v>25.461108554500221</v>
      </c>
      <c r="AL8" s="231">
        <f t="shared" si="9"/>
        <v>24.701152677884526</v>
      </c>
    </row>
    <row r="9" spans="1:38" x14ac:dyDescent="0.25">
      <c r="B9" s="72">
        <v>7.8125E-2</v>
      </c>
      <c r="C9" s="72">
        <v>4.1884816753926704E-2</v>
      </c>
      <c r="D9" s="72">
        <v>3.125E-2</v>
      </c>
      <c r="E9" s="72">
        <v>2.0833333333333332E-2</v>
      </c>
      <c r="F9" s="72">
        <v>0</v>
      </c>
      <c r="H9" s="72">
        <v>2.0833333333333332E-2</v>
      </c>
      <c r="I9" s="72">
        <v>1.5706806282722512E-2</v>
      </c>
      <c r="J9" s="72">
        <v>1.5625E-2</v>
      </c>
      <c r="K9" s="72">
        <v>1.5625E-2</v>
      </c>
      <c r="L9" s="72">
        <v>1.5625E-2</v>
      </c>
      <c r="N9" s="72">
        <v>0.625</v>
      </c>
      <c r="O9" s="72">
        <v>0.55555555555555558</v>
      </c>
      <c r="P9" s="72">
        <v>0.625</v>
      </c>
      <c r="Q9" s="72">
        <v>0.625</v>
      </c>
      <c r="R9" s="72">
        <v>0.55555555555555558</v>
      </c>
      <c r="T9" s="72">
        <v>2.6455026455026454E-2</v>
      </c>
      <c r="U9" s="72">
        <v>2.6041666666666668E-2</v>
      </c>
      <c r="V9" s="72">
        <v>2.5906735751295335E-2</v>
      </c>
      <c r="W9" s="72">
        <v>2.0408163265306121E-2</v>
      </c>
      <c r="X9" s="72">
        <v>2.0833333333333332E-2</v>
      </c>
      <c r="Y9" s="72">
        <v>2.0942408376963352E-2</v>
      </c>
      <c r="Z9" s="72">
        <v>2.072538860103627E-2</v>
      </c>
      <c r="AA9" s="72">
        <v>2.072538860103627E-2</v>
      </c>
      <c r="AB9" s="72">
        <v>2.0833333333333332E-2</v>
      </c>
      <c r="AD9" s="232">
        <v>26.455026455026456</v>
      </c>
      <c r="AE9" s="232">
        <v>26.041666666666668</v>
      </c>
      <c r="AF9" s="232">
        <v>25.906735751295336</v>
      </c>
      <c r="AG9" s="232">
        <v>25.510204081632654</v>
      </c>
      <c r="AH9" s="232">
        <v>26.041666666666668</v>
      </c>
      <c r="AI9" s="232">
        <v>31.413612565445025</v>
      </c>
      <c r="AJ9" s="232">
        <v>31.088082901554404</v>
      </c>
      <c r="AK9" s="232">
        <v>31.088082901554404</v>
      </c>
      <c r="AL9" s="232">
        <v>31.25</v>
      </c>
    </row>
    <row r="10" spans="1:38" x14ac:dyDescent="0.25">
      <c r="B10" s="72">
        <v>7.3298429319371722E-2</v>
      </c>
      <c r="C10" s="72">
        <v>5.7591623036649213E-2</v>
      </c>
      <c r="D10" s="72">
        <v>4.1666666666666664E-2</v>
      </c>
      <c r="E10" s="72">
        <v>2.072538860103627E-2</v>
      </c>
      <c r="F10" s="72">
        <v>0</v>
      </c>
      <c r="H10" s="72">
        <v>4.1884816753926704E-2</v>
      </c>
      <c r="I10" s="72">
        <v>3.6649214659685861E-2</v>
      </c>
      <c r="J10" s="72">
        <v>3.6458333333333336E-2</v>
      </c>
      <c r="K10" s="72">
        <v>2.5906735751295335E-2</v>
      </c>
      <c r="L10" s="72">
        <v>1.5544041450777202E-2</v>
      </c>
      <c r="N10" s="72">
        <v>0.63636363636363635</v>
      </c>
      <c r="O10" s="72">
        <v>0.7</v>
      </c>
      <c r="P10" s="72">
        <v>0.7</v>
      </c>
      <c r="Q10" s="72">
        <v>0.5</v>
      </c>
      <c r="R10" s="72">
        <v>0.45454545454545453</v>
      </c>
      <c r="T10" s="72">
        <v>6.25E-2</v>
      </c>
      <c r="U10" s="72">
        <v>7.3684210526315783E-2</v>
      </c>
      <c r="V10" s="72">
        <v>6.2827225130890049E-2</v>
      </c>
      <c r="W10" s="72">
        <v>4.712041884816754E-2</v>
      </c>
      <c r="X10" s="72">
        <v>4.1884816753926704E-2</v>
      </c>
      <c r="Y10" s="72">
        <v>3.6649214659685861E-2</v>
      </c>
      <c r="Z10" s="72">
        <v>3.6458333333333336E-2</v>
      </c>
      <c r="AA10" s="72">
        <v>3.6649214659685861E-2</v>
      </c>
      <c r="AB10" s="72">
        <v>3.6649214659685861E-2</v>
      </c>
      <c r="AD10" s="232">
        <v>36.458333333333336</v>
      </c>
      <c r="AE10" s="232">
        <v>36.842105263157897</v>
      </c>
      <c r="AF10" s="232">
        <v>26.178010471204189</v>
      </c>
      <c r="AG10" s="232">
        <v>31.413612565445025</v>
      </c>
      <c r="AH10" s="232">
        <v>36.64921465968586</v>
      </c>
      <c r="AI10" s="232">
        <v>31.413612565445025</v>
      </c>
      <c r="AJ10" s="232">
        <v>31.25</v>
      </c>
      <c r="AK10" s="232">
        <v>36.64921465968586</v>
      </c>
      <c r="AL10" s="232">
        <v>41.8848167539267</v>
      </c>
    </row>
    <row r="11" spans="1:38" x14ac:dyDescent="0.25">
      <c r="B11" s="72">
        <v>5.6701030927835051E-2</v>
      </c>
      <c r="C11" s="72">
        <v>4.5685279187817257E-2</v>
      </c>
      <c r="D11" s="72">
        <v>3.553299492385787E-2</v>
      </c>
      <c r="E11" s="72">
        <v>1.0101010101010102E-2</v>
      </c>
      <c r="F11" s="72">
        <v>0</v>
      </c>
      <c r="H11" s="72">
        <v>5.1546391752577317E-2</v>
      </c>
      <c r="I11" s="72">
        <v>4.5685279187817257E-2</v>
      </c>
      <c r="J11" s="72">
        <v>3.553299492385787E-2</v>
      </c>
      <c r="K11" s="72">
        <v>3.5353535353535352E-2</v>
      </c>
      <c r="L11" s="72">
        <v>3.0456852791878174E-2</v>
      </c>
      <c r="N11" s="72">
        <v>0.6</v>
      </c>
      <c r="O11" s="72">
        <v>0.7142857142857143</v>
      </c>
      <c r="P11" s="72">
        <v>0.7142857142857143</v>
      </c>
      <c r="Q11" s="72">
        <v>0.5714285714285714</v>
      </c>
      <c r="R11" s="72">
        <v>0.33333333333333331</v>
      </c>
      <c r="T11" s="72">
        <v>4.7619047619047616E-2</v>
      </c>
      <c r="U11" s="72">
        <v>4.2553191489361701E-2</v>
      </c>
      <c r="V11" s="72">
        <v>5.2910052910052907E-2</v>
      </c>
      <c r="W11" s="72">
        <v>4.6875E-2</v>
      </c>
      <c r="X11" s="72">
        <v>5.1546391752577317E-2</v>
      </c>
      <c r="Y11" s="72">
        <v>5.181347150259067E-2</v>
      </c>
      <c r="Z11" s="72">
        <v>5.181347150259067E-2</v>
      </c>
      <c r="AA11" s="72">
        <v>5.1546391752577317E-2</v>
      </c>
      <c r="AB11" s="72">
        <v>5.1546391752577317E-2</v>
      </c>
      <c r="AD11" s="232">
        <v>31.746031746031747</v>
      </c>
      <c r="AE11" s="232">
        <v>31.914893617021278</v>
      </c>
      <c r="AF11" s="232">
        <v>37.037037037037038</v>
      </c>
      <c r="AG11" s="232">
        <v>36.458333333333336</v>
      </c>
      <c r="AH11" s="232">
        <v>30.927835051546392</v>
      </c>
      <c r="AI11" s="232">
        <v>31.088082901554404</v>
      </c>
      <c r="AJ11" s="232">
        <v>31.088082901554404</v>
      </c>
      <c r="AK11" s="232">
        <v>20.618556701030929</v>
      </c>
      <c r="AL11" s="232">
        <v>25.773195876288661</v>
      </c>
    </row>
    <row r="12" spans="1:38" x14ac:dyDescent="0.25">
      <c r="B12" s="72">
        <v>9.0909090909090912E-2</v>
      </c>
      <c r="C12" s="72">
        <v>6.0109289617486336E-2</v>
      </c>
      <c r="D12" s="72">
        <v>3.2608695652173912E-2</v>
      </c>
      <c r="E12" s="72">
        <v>1.6216216216216217E-2</v>
      </c>
      <c r="F12" s="72">
        <v>0</v>
      </c>
      <c r="H12" s="72">
        <v>6.4171122994652413E-2</v>
      </c>
      <c r="I12" s="72">
        <v>6.0109289617486336E-2</v>
      </c>
      <c r="J12" s="72">
        <v>4.8913043478260872E-2</v>
      </c>
      <c r="K12" s="72">
        <v>4.8648648648648651E-2</v>
      </c>
      <c r="L12" s="72">
        <v>4.3243243243243246E-2</v>
      </c>
      <c r="N12" s="72">
        <v>0.66666666666666663</v>
      </c>
      <c r="O12" s="72">
        <v>0.5</v>
      </c>
      <c r="P12" s="72">
        <v>0.53333333333333333</v>
      </c>
      <c r="Q12" s="72">
        <v>0.5714285714285714</v>
      </c>
      <c r="R12" s="72">
        <v>0.5</v>
      </c>
      <c r="T12" s="72">
        <v>9.1891891891891897E-2</v>
      </c>
      <c r="U12" s="72">
        <v>7.0652173913043473E-2</v>
      </c>
      <c r="V12" s="72">
        <v>7.1038251366120214E-2</v>
      </c>
      <c r="W12" s="72">
        <v>6.9148936170212769E-2</v>
      </c>
      <c r="X12" s="72">
        <v>6.4171122994652413E-2</v>
      </c>
      <c r="Y12" s="72">
        <v>6.3829787234042548E-2</v>
      </c>
      <c r="Z12" s="72">
        <v>5.2356020942408377E-2</v>
      </c>
      <c r="AA12" s="72">
        <v>4.712041884816754E-2</v>
      </c>
      <c r="AB12" s="72">
        <v>5.2356020942408377E-2</v>
      </c>
      <c r="AD12" s="232">
        <v>48.648648648648646</v>
      </c>
      <c r="AE12" s="232">
        <v>48.913043478260867</v>
      </c>
      <c r="AF12" s="232">
        <v>43.715846994535518</v>
      </c>
      <c r="AG12" s="232">
        <v>53.191489361702125</v>
      </c>
      <c r="AH12" s="232">
        <v>42.780748663101605</v>
      </c>
      <c r="AI12" s="232">
        <v>37.234042553191486</v>
      </c>
      <c r="AJ12" s="232">
        <v>31.413612565445025</v>
      </c>
      <c r="AK12" s="232">
        <v>31.413612565445025</v>
      </c>
      <c r="AL12" s="232">
        <v>31.413612565445025</v>
      </c>
    </row>
    <row r="13" spans="1:38" x14ac:dyDescent="0.25">
      <c r="B13" s="72">
        <v>5.6410256410256411E-2</v>
      </c>
      <c r="C13" s="72">
        <v>4.0816326530612242E-2</v>
      </c>
      <c r="D13" s="72">
        <v>2.0408163265306121E-2</v>
      </c>
      <c r="E13" s="72">
        <v>0</v>
      </c>
      <c r="F13" s="72">
        <v>0</v>
      </c>
      <c r="H13" s="72">
        <v>3.5897435897435895E-2</v>
      </c>
      <c r="I13" s="72">
        <v>4.0816326530612242E-2</v>
      </c>
      <c r="J13" s="72">
        <v>4.0816326530612242E-2</v>
      </c>
      <c r="K13" s="72">
        <v>4.1025641025641026E-2</v>
      </c>
      <c r="L13" s="72">
        <v>3.5897435897435895E-2</v>
      </c>
      <c r="N13" s="72">
        <v>0.7142857142857143</v>
      </c>
      <c r="O13" s="72">
        <v>0.66666666666666663</v>
      </c>
      <c r="P13" s="72">
        <v>0.75</v>
      </c>
      <c r="Q13" s="72">
        <v>0.25</v>
      </c>
      <c r="R13" s="72">
        <v>0.16666666666666666</v>
      </c>
      <c r="T13" s="72">
        <v>3.7234042553191488E-2</v>
      </c>
      <c r="U13" s="72">
        <v>3.6649214659685861E-2</v>
      </c>
      <c r="V13" s="72">
        <v>3.6649214659685861E-2</v>
      </c>
      <c r="W13" s="72">
        <v>3.608247422680412E-2</v>
      </c>
      <c r="X13" s="72">
        <v>3.5897435897435895E-2</v>
      </c>
      <c r="Y13" s="72">
        <v>3.5897435897435895E-2</v>
      </c>
      <c r="Z13" s="72">
        <v>3.0769230769230771E-2</v>
      </c>
      <c r="AA13" s="72">
        <v>3.5714285714285712E-2</v>
      </c>
      <c r="AB13" s="72">
        <v>3.553299492385787E-2</v>
      </c>
      <c r="AD13" s="232">
        <v>26.595744680851062</v>
      </c>
      <c r="AE13" s="232">
        <v>36.64921465968586</v>
      </c>
      <c r="AF13" s="232">
        <v>26.178010471204189</v>
      </c>
      <c r="AG13" s="232">
        <v>25.773195876288661</v>
      </c>
      <c r="AH13" s="232">
        <v>25.641025641025642</v>
      </c>
      <c r="AI13" s="232">
        <v>25.641025641025642</v>
      </c>
      <c r="AJ13" s="232">
        <v>25.641025641025642</v>
      </c>
      <c r="AK13" s="232">
        <v>25.510204081632654</v>
      </c>
      <c r="AL13" s="232">
        <v>25.380710659898476</v>
      </c>
    </row>
    <row r="14" spans="1:38" x14ac:dyDescent="0.25">
      <c r="B14" s="72">
        <v>8.2872928176795577E-2</v>
      </c>
      <c r="C14" s="72">
        <v>6.0773480662983423E-2</v>
      </c>
      <c r="D14" s="72">
        <v>4.4198895027624308E-2</v>
      </c>
      <c r="E14" s="72">
        <v>1.6574585635359115E-2</v>
      </c>
      <c r="F14" s="72">
        <v>0</v>
      </c>
      <c r="H14" s="72">
        <v>2.2099447513812154E-2</v>
      </c>
      <c r="I14" s="72">
        <v>2.2099447513812154E-2</v>
      </c>
      <c r="J14" s="72">
        <v>2.7624309392265192E-2</v>
      </c>
      <c r="K14" s="72">
        <v>2.2099447513812154E-2</v>
      </c>
      <c r="L14" s="72">
        <v>2.2099447513812154E-2</v>
      </c>
      <c r="N14" s="72">
        <v>0.5</v>
      </c>
      <c r="O14" s="72">
        <v>0.5</v>
      </c>
      <c r="P14" s="72">
        <v>0.2857142857142857</v>
      </c>
      <c r="Q14" s="72">
        <v>0.14285714285714285</v>
      </c>
      <c r="R14" s="72">
        <v>0.125</v>
      </c>
      <c r="T14" s="72">
        <v>4.6875E-2</v>
      </c>
      <c r="U14" s="72">
        <v>5.6994818652849742E-2</v>
      </c>
      <c r="V14" s="72">
        <v>4.1884816753926704E-2</v>
      </c>
      <c r="W14" s="72">
        <v>2.7472527472527472E-2</v>
      </c>
      <c r="X14" s="72">
        <v>2.2099447513812154E-2</v>
      </c>
      <c r="Y14" s="72">
        <v>2.2099447513812154E-2</v>
      </c>
      <c r="Z14" s="72">
        <v>2.197802197802198E-2</v>
      </c>
      <c r="AA14" s="72">
        <v>2.2099447513812154E-2</v>
      </c>
      <c r="AB14" s="72">
        <v>1.6574585635359115E-2</v>
      </c>
      <c r="AD14" s="232">
        <v>20.833333333333332</v>
      </c>
      <c r="AE14" s="232">
        <v>15.544041450777202</v>
      </c>
      <c r="AF14" s="232">
        <v>10.471204188481675</v>
      </c>
      <c r="AG14" s="232">
        <v>10.989010989010989</v>
      </c>
      <c r="AH14" s="232">
        <v>16.574585635359117</v>
      </c>
      <c r="AI14" s="232">
        <v>16.574585635359117</v>
      </c>
      <c r="AJ14" s="232">
        <v>16.483516483516482</v>
      </c>
      <c r="AK14" s="232">
        <v>16.574585635359117</v>
      </c>
      <c r="AL14" s="232">
        <v>11.049723756906078</v>
      </c>
    </row>
    <row r="15" spans="1:38" x14ac:dyDescent="0.25">
      <c r="B15" s="72">
        <v>6.3953488372093026E-2</v>
      </c>
      <c r="C15" s="72">
        <v>4.0697674418604654E-2</v>
      </c>
      <c r="D15" s="72">
        <v>2.3121387283236993E-2</v>
      </c>
      <c r="E15" s="72">
        <v>1.1494252873563218E-2</v>
      </c>
      <c r="F15" s="72">
        <v>0</v>
      </c>
      <c r="H15" s="72">
        <v>5.232558139534884E-2</v>
      </c>
      <c r="I15" s="72">
        <v>4.6511627906976744E-2</v>
      </c>
      <c r="J15" s="72">
        <v>4.6242774566473986E-2</v>
      </c>
      <c r="K15" s="72">
        <v>4.5977011494252873E-2</v>
      </c>
      <c r="L15" s="72">
        <v>3.4682080924855488E-2</v>
      </c>
      <c r="N15" s="72">
        <v>0.7142857142857143</v>
      </c>
      <c r="O15" s="72">
        <v>0.7142857142857143</v>
      </c>
      <c r="P15" s="72">
        <v>0.42857142857142855</v>
      </c>
      <c r="Q15" s="72">
        <v>0.33333333333333331</v>
      </c>
      <c r="R15" s="72">
        <v>0.33333333333333331</v>
      </c>
      <c r="T15" s="72">
        <v>4.6242774566473986E-2</v>
      </c>
      <c r="U15" s="72">
        <v>4.5977011494252873E-2</v>
      </c>
      <c r="V15" s="72">
        <v>4.1176470588235294E-2</v>
      </c>
      <c r="W15" s="72">
        <v>5.232558139534884E-2</v>
      </c>
      <c r="X15" s="72">
        <v>5.232558139534884E-2</v>
      </c>
      <c r="Y15" s="72">
        <v>5.7803468208092484E-2</v>
      </c>
      <c r="Z15" s="72">
        <v>5.7471264367816091E-2</v>
      </c>
      <c r="AA15" s="72">
        <v>6.358381502890173E-2</v>
      </c>
      <c r="AB15" s="72">
        <v>6.3953488372093026E-2</v>
      </c>
      <c r="AD15" s="232">
        <v>23.121387283236995</v>
      </c>
      <c r="AE15" s="232">
        <v>22.988505747126435</v>
      </c>
      <c r="AF15" s="232">
        <v>29.411764705882351</v>
      </c>
      <c r="AG15" s="232">
        <v>29.069767441860463</v>
      </c>
      <c r="AH15" s="232">
        <v>29.069767441860463</v>
      </c>
      <c r="AI15" s="232">
        <v>28.901734104046241</v>
      </c>
      <c r="AJ15" s="232">
        <v>28.735632183908045</v>
      </c>
      <c r="AK15" s="232">
        <v>28.901734104046241</v>
      </c>
      <c r="AL15" s="232">
        <v>29.069767441860463</v>
      </c>
    </row>
    <row r="16" spans="1:38" x14ac:dyDescent="0.25">
      <c r="B16" s="72">
        <v>4.2328042328042326E-2</v>
      </c>
      <c r="C16" s="72">
        <v>3.1914893617021274E-2</v>
      </c>
      <c r="D16" s="72">
        <v>2.1164021164021163E-2</v>
      </c>
      <c r="E16" s="72">
        <v>2.1052631578947368E-2</v>
      </c>
      <c r="F16" s="72">
        <v>0</v>
      </c>
      <c r="H16" s="72">
        <v>3.7037037037037035E-2</v>
      </c>
      <c r="I16" s="72">
        <v>2.1276595744680851E-2</v>
      </c>
      <c r="J16" s="72">
        <v>2.6455026455026454E-2</v>
      </c>
      <c r="K16" s="72">
        <v>2.1052631578947368E-2</v>
      </c>
      <c r="L16" s="72">
        <v>1.5625E-2</v>
      </c>
      <c r="N16" s="72">
        <v>0.58823529411764708</v>
      </c>
      <c r="O16" s="72">
        <v>0.5625</v>
      </c>
      <c r="P16" s="72">
        <v>0.52941176470588236</v>
      </c>
      <c r="Q16" s="72">
        <v>0.4375</v>
      </c>
      <c r="R16" s="72">
        <v>0.46666666666666667</v>
      </c>
      <c r="T16" s="72">
        <v>5.4644808743169397E-2</v>
      </c>
      <c r="U16" s="72">
        <v>4.3715846994535519E-2</v>
      </c>
      <c r="V16" s="72">
        <v>5.4054054054054057E-2</v>
      </c>
      <c r="W16" s="72">
        <v>4.8128342245989303E-2</v>
      </c>
      <c r="X16" s="72">
        <v>3.7037037037037035E-2</v>
      </c>
      <c r="Y16" s="72">
        <v>4.2328042328042326E-2</v>
      </c>
      <c r="Z16" s="72">
        <v>4.1884816753926704E-2</v>
      </c>
      <c r="AA16" s="72">
        <v>3.6649214659685861E-2</v>
      </c>
      <c r="AB16" s="72">
        <v>3.1578947368421054E-2</v>
      </c>
      <c r="AD16" s="232">
        <v>54.644808743169399</v>
      </c>
      <c r="AE16" s="232">
        <v>54.644808743169399</v>
      </c>
      <c r="AF16" s="232">
        <v>59.45945945945946</v>
      </c>
      <c r="AG16" s="232">
        <v>58.823529411764703</v>
      </c>
      <c r="AH16" s="232">
        <v>52.910052910052912</v>
      </c>
      <c r="AI16" s="232">
        <v>52.910052910052912</v>
      </c>
      <c r="AJ16" s="232">
        <v>52.356020942408378</v>
      </c>
      <c r="AK16" s="232">
        <v>47.120418848167539</v>
      </c>
      <c r="AL16" s="232">
        <v>47.368421052631582</v>
      </c>
    </row>
    <row r="17" spans="2:38" x14ac:dyDescent="0.25">
      <c r="B17" s="72">
        <v>7.1428571428571425E-2</v>
      </c>
      <c r="C17" s="72">
        <v>5.5248618784530384E-2</v>
      </c>
      <c r="D17" s="72">
        <v>3.3333333333333333E-2</v>
      </c>
      <c r="E17" s="72">
        <v>1.1049723756906077E-2</v>
      </c>
      <c r="F17" s="72">
        <v>0</v>
      </c>
      <c r="H17" s="72">
        <v>2.7472527472527472E-2</v>
      </c>
      <c r="I17" s="72">
        <v>2.2099447513812154E-2</v>
      </c>
      <c r="J17" s="72">
        <v>1.6666666666666666E-2</v>
      </c>
      <c r="K17" s="72">
        <v>1.6574585635359115E-2</v>
      </c>
      <c r="L17" s="72">
        <v>1.6483516483516484E-2</v>
      </c>
      <c r="N17" s="72">
        <v>0.55555555555555558</v>
      </c>
      <c r="O17" s="72">
        <v>0.5</v>
      </c>
      <c r="P17" s="72">
        <v>0.45454545454545453</v>
      </c>
      <c r="Q17" s="72">
        <v>0.5</v>
      </c>
      <c r="R17" s="72">
        <v>0.33333333333333331</v>
      </c>
      <c r="T17" s="72">
        <v>4.8648648648648651E-2</v>
      </c>
      <c r="U17" s="72">
        <v>4.8128342245989303E-2</v>
      </c>
      <c r="V17" s="72">
        <v>4.2780748663101602E-2</v>
      </c>
      <c r="W17" s="72">
        <v>3.2786885245901641E-2</v>
      </c>
      <c r="X17" s="72">
        <v>2.7472527472527472E-2</v>
      </c>
      <c r="Y17" s="72">
        <v>3.2432432432432434E-2</v>
      </c>
      <c r="Z17" s="72">
        <v>3.825136612021858E-2</v>
      </c>
      <c r="AA17" s="72">
        <v>3.825136612021858E-2</v>
      </c>
      <c r="AB17" s="72">
        <v>3.825136612021858E-2</v>
      </c>
      <c r="AD17" s="232">
        <v>32.432432432432435</v>
      </c>
      <c r="AE17" s="232">
        <v>21.390374331550802</v>
      </c>
      <c r="AF17" s="232">
        <v>16.042780748663102</v>
      </c>
      <c r="AG17" s="232">
        <v>27.3224043715847</v>
      </c>
      <c r="AH17" s="232">
        <v>27.472527472527471</v>
      </c>
      <c r="AI17" s="232">
        <v>27.027027027027028</v>
      </c>
      <c r="AJ17" s="232">
        <v>32.786885245901637</v>
      </c>
      <c r="AK17" s="232">
        <v>32.786885245901637</v>
      </c>
      <c r="AL17" s="232">
        <v>27.3224043715847</v>
      </c>
    </row>
    <row r="18" spans="2:38" x14ac:dyDescent="0.25">
      <c r="B18" s="72">
        <v>6.7708333333333329E-2</v>
      </c>
      <c r="C18" s="72">
        <v>5.7291666666666664E-2</v>
      </c>
      <c r="D18" s="72">
        <v>1.5463917525773196E-2</v>
      </c>
      <c r="E18" s="72">
        <v>1.020408163265306E-2</v>
      </c>
      <c r="F18" s="72">
        <v>0</v>
      </c>
      <c r="H18" s="72">
        <v>2.6041666666666668E-2</v>
      </c>
      <c r="I18" s="72">
        <v>2.0833333333333332E-2</v>
      </c>
      <c r="J18" s="72">
        <v>2.0618556701030927E-2</v>
      </c>
      <c r="K18" s="72">
        <v>2.0408163265306121E-2</v>
      </c>
      <c r="L18" s="72">
        <v>2.0408163265306121E-2</v>
      </c>
      <c r="N18" s="72">
        <v>0.63636363636363635</v>
      </c>
      <c r="O18" s="72">
        <v>0.54545454545454541</v>
      </c>
      <c r="P18" s="72">
        <v>0.5</v>
      </c>
      <c r="Q18" s="72">
        <v>0.33333333333333331</v>
      </c>
      <c r="R18" s="72">
        <v>0.33333333333333331</v>
      </c>
      <c r="T18" s="72">
        <v>3.2085561497326207E-2</v>
      </c>
      <c r="U18" s="72">
        <v>2.6315789473684209E-2</v>
      </c>
      <c r="V18" s="72">
        <v>3.6269430051813469E-2</v>
      </c>
      <c r="W18" s="72">
        <v>3.0612244897959183E-2</v>
      </c>
      <c r="X18" s="72">
        <v>2.6041666666666668E-2</v>
      </c>
      <c r="Y18" s="72">
        <v>2.6041666666666668E-2</v>
      </c>
      <c r="Z18" s="72">
        <v>2.564102564102564E-2</v>
      </c>
      <c r="AA18" s="72">
        <v>2.5510204081632654E-2</v>
      </c>
      <c r="AB18" s="72">
        <v>3.0612244897959183E-2</v>
      </c>
      <c r="AD18" s="232">
        <v>53.475935828877006</v>
      </c>
      <c r="AE18" s="232">
        <v>47.368421052631582</v>
      </c>
      <c r="AF18" s="232">
        <v>41.450777202072537</v>
      </c>
      <c r="AG18" s="232">
        <v>30.612244897959183</v>
      </c>
      <c r="AH18" s="232">
        <v>36.458333333333336</v>
      </c>
      <c r="AI18" s="232">
        <v>36.458333333333336</v>
      </c>
      <c r="AJ18" s="232">
        <v>30.76923076923077</v>
      </c>
      <c r="AK18" s="232">
        <v>25.510204081632654</v>
      </c>
      <c r="AL18" s="232">
        <v>25.510204081632654</v>
      </c>
    </row>
    <row r="19" spans="2:38" x14ac:dyDescent="0.25">
      <c r="B19" s="72">
        <v>6.6666666666666666E-2</v>
      </c>
      <c r="C19" s="72">
        <v>6.1452513966480445E-2</v>
      </c>
      <c r="D19" s="72">
        <v>2.7777777777777776E-2</v>
      </c>
      <c r="E19" s="72">
        <v>1.098901098901099E-2</v>
      </c>
      <c r="F19" s="72">
        <v>0</v>
      </c>
      <c r="H19" s="72">
        <v>0.05</v>
      </c>
      <c r="I19" s="72">
        <v>5.027932960893855E-2</v>
      </c>
      <c r="J19" s="72">
        <v>4.4444444444444446E-2</v>
      </c>
      <c r="K19" s="72">
        <v>4.3956043956043959E-2</v>
      </c>
      <c r="L19" s="72">
        <v>3.8674033149171269E-2</v>
      </c>
      <c r="N19" s="72">
        <v>0.6</v>
      </c>
      <c r="O19" s="72">
        <v>0.5</v>
      </c>
      <c r="P19" s="72">
        <v>0.44444444444444442</v>
      </c>
      <c r="Q19" s="72">
        <v>0.2857142857142857</v>
      </c>
      <c r="R19" s="72">
        <v>0.2857142857142857</v>
      </c>
      <c r="T19" s="72">
        <v>6.9767441860465115E-2</v>
      </c>
      <c r="U19" s="72">
        <v>7.5144508670520235E-2</v>
      </c>
      <c r="V19" s="72">
        <v>6.9767441860465115E-2</v>
      </c>
      <c r="W19" s="72">
        <v>5.6818181818181816E-2</v>
      </c>
      <c r="X19" s="72">
        <v>0.05</v>
      </c>
      <c r="Y19" s="72">
        <v>4.4198895027624308E-2</v>
      </c>
      <c r="Z19" s="72">
        <v>4.3715846994535519E-2</v>
      </c>
      <c r="AA19" s="72">
        <v>4.4692737430167599E-2</v>
      </c>
      <c r="AB19" s="72">
        <v>4.4692737430167599E-2</v>
      </c>
      <c r="AD19" s="232">
        <v>40.697674418604649</v>
      </c>
      <c r="AE19" s="232">
        <v>40.462427745664741</v>
      </c>
      <c r="AF19" s="232">
        <v>40.697674418604649</v>
      </c>
      <c r="AG19" s="232">
        <v>39.772727272727273</v>
      </c>
      <c r="AH19" s="232">
        <v>33.333333333333336</v>
      </c>
      <c r="AI19" s="232">
        <v>27.624309392265193</v>
      </c>
      <c r="AJ19" s="232">
        <v>27.3224043715847</v>
      </c>
      <c r="AK19" s="232">
        <v>27.932960893854748</v>
      </c>
      <c r="AL19" s="232">
        <v>27.932960893854748</v>
      </c>
    </row>
    <row r="20" spans="2:38" x14ac:dyDescent="0.25">
      <c r="B20" s="72">
        <v>7.0000000000000007E-2</v>
      </c>
      <c r="C20" s="72">
        <v>3.4482758620689655E-2</v>
      </c>
      <c r="D20" s="72">
        <v>1.9801980198019802E-2</v>
      </c>
      <c r="E20" s="72">
        <v>9.9502487562189053E-3</v>
      </c>
      <c r="F20" s="72">
        <v>0</v>
      </c>
      <c r="H20" s="72">
        <v>3.5000000000000003E-2</v>
      </c>
      <c r="I20" s="72">
        <v>2.9556650246305417E-2</v>
      </c>
      <c r="J20" s="72">
        <v>2.9702970297029702E-2</v>
      </c>
      <c r="K20" s="72">
        <v>2.4875621890547265E-2</v>
      </c>
      <c r="L20" s="72">
        <v>2.4630541871921183E-2</v>
      </c>
      <c r="N20" s="72">
        <v>1</v>
      </c>
      <c r="O20" s="72">
        <v>1</v>
      </c>
      <c r="P20" s="72">
        <v>0.6</v>
      </c>
      <c r="Q20" s="72">
        <v>0.5</v>
      </c>
      <c r="R20" s="72">
        <v>0.22222222222222221</v>
      </c>
      <c r="T20" s="72">
        <v>5.7291666666666664E-2</v>
      </c>
      <c r="U20" s="72">
        <v>4.5918367346938778E-2</v>
      </c>
      <c r="V20" s="72">
        <v>4.6875E-2</v>
      </c>
      <c r="W20" s="72">
        <v>0.04</v>
      </c>
      <c r="X20" s="72">
        <v>3.5000000000000003E-2</v>
      </c>
      <c r="Y20" s="72">
        <v>3.4653465346534656E-2</v>
      </c>
      <c r="Z20" s="72">
        <v>3.9603960396039604E-2</v>
      </c>
      <c r="AA20" s="72">
        <v>3.9215686274509803E-2</v>
      </c>
      <c r="AB20" s="72">
        <v>3.9024390243902439E-2</v>
      </c>
      <c r="AD20" s="232">
        <v>41.666666666666664</v>
      </c>
      <c r="AE20" s="232">
        <v>25.510204081632654</v>
      </c>
      <c r="AF20" s="232">
        <v>31.25</v>
      </c>
      <c r="AG20" s="232">
        <v>25</v>
      </c>
      <c r="AH20" s="232">
        <v>20</v>
      </c>
      <c r="AI20" s="232">
        <v>19.801980198019802</v>
      </c>
      <c r="AJ20" s="232">
        <v>19.801980198019802</v>
      </c>
      <c r="AK20" s="232">
        <v>19.607843137254903</v>
      </c>
      <c r="AL20" s="232">
        <v>19.512195121951219</v>
      </c>
    </row>
    <row r="21" spans="2:38" x14ac:dyDescent="0.25">
      <c r="B21" s="72">
        <v>4.0201005025125629E-2</v>
      </c>
      <c r="C21" s="72">
        <v>3.015075376884422E-2</v>
      </c>
      <c r="D21" s="72">
        <v>1.5228426395939087E-2</v>
      </c>
      <c r="E21" s="72">
        <v>1.020408163265306E-2</v>
      </c>
      <c r="F21" s="72">
        <v>0</v>
      </c>
      <c r="H21" s="72">
        <v>2.5125628140703519E-2</v>
      </c>
      <c r="I21" s="72">
        <v>2.5125628140703519E-2</v>
      </c>
      <c r="J21" s="72">
        <v>2.5380710659898477E-2</v>
      </c>
      <c r="K21" s="72">
        <v>2.5510204081632654E-2</v>
      </c>
      <c r="L21" s="72">
        <v>2.0408163265306121E-2</v>
      </c>
      <c r="N21" s="72">
        <v>0.66666666666666663</v>
      </c>
      <c r="O21" s="72">
        <v>0.66666666666666663</v>
      </c>
      <c r="P21" s="72">
        <v>0.4</v>
      </c>
      <c r="Q21" s="72">
        <v>0.4</v>
      </c>
      <c r="R21" s="72">
        <v>0.33333333333333331</v>
      </c>
      <c r="T21" s="72">
        <v>4.6391752577319589E-2</v>
      </c>
      <c r="U21" s="72">
        <v>4.145077720207254E-2</v>
      </c>
      <c r="V21" s="72">
        <v>3.553299492385787E-2</v>
      </c>
      <c r="W21" s="72">
        <v>3.0303030303030304E-2</v>
      </c>
      <c r="X21" s="72">
        <v>2.5125628140703519E-2</v>
      </c>
      <c r="Y21" s="72">
        <v>2.5000000000000001E-2</v>
      </c>
      <c r="Z21" s="72">
        <v>2.0202020202020204E-2</v>
      </c>
      <c r="AA21" s="72">
        <v>2.0408163265306121E-2</v>
      </c>
      <c r="AB21" s="72">
        <v>2.0408163265306121E-2</v>
      </c>
      <c r="AD21" s="232">
        <v>25.773195876288661</v>
      </c>
      <c r="AE21" s="232">
        <v>15.544041450777202</v>
      </c>
      <c r="AF21" s="232">
        <v>15.228426395939087</v>
      </c>
      <c r="AG21" s="232">
        <v>10.1010101010101</v>
      </c>
      <c r="AH21" s="232">
        <v>10.050251256281408</v>
      </c>
      <c r="AI21" s="232">
        <v>10</v>
      </c>
      <c r="AJ21" s="232">
        <v>10.1010101010101</v>
      </c>
      <c r="AK21" s="232">
        <v>10.204081632653061</v>
      </c>
      <c r="AL21" s="232">
        <v>10.204081632653061</v>
      </c>
    </row>
    <row r="22" spans="2:38" x14ac:dyDescent="0.25">
      <c r="B22" s="72">
        <v>6.5573770491803282E-2</v>
      </c>
      <c r="C22" s="72">
        <v>4.9450549450549448E-2</v>
      </c>
      <c r="D22" s="72">
        <v>3.2786885245901641E-2</v>
      </c>
      <c r="E22" s="72">
        <v>1.6393442622950821E-2</v>
      </c>
      <c r="F22" s="72">
        <v>0</v>
      </c>
      <c r="H22" s="72">
        <v>2.185792349726776E-2</v>
      </c>
      <c r="I22" s="72">
        <v>2.197802197802198E-2</v>
      </c>
      <c r="J22" s="72">
        <v>1.6393442622950821E-2</v>
      </c>
      <c r="K22" s="72">
        <v>1.6393442622950821E-2</v>
      </c>
      <c r="L22" s="72">
        <v>1.0869565217391304E-2</v>
      </c>
      <c r="N22" s="72">
        <v>0.25</v>
      </c>
      <c r="O22" s="72">
        <v>0.25</v>
      </c>
      <c r="P22" s="72">
        <v>0.4</v>
      </c>
      <c r="Q22" s="72">
        <v>0.44444444444444442</v>
      </c>
      <c r="R22" s="72">
        <v>0.5</v>
      </c>
      <c r="T22" s="72">
        <v>2.23463687150838E-2</v>
      </c>
      <c r="U22" s="72">
        <v>2.2099447513812154E-2</v>
      </c>
      <c r="V22" s="72">
        <v>2.185792349726776E-2</v>
      </c>
      <c r="W22" s="72">
        <v>2.197802197802198E-2</v>
      </c>
      <c r="X22" s="72">
        <v>2.185792349726776E-2</v>
      </c>
      <c r="Y22" s="72">
        <v>2.2099447513812154E-2</v>
      </c>
      <c r="Z22" s="72">
        <v>1.6574585635359115E-2</v>
      </c>
      <c r="AA22" s="72">
        <v>1.11731843575419E-2</v>
      </c>
      <c r="AB22" s="72">
        <v>1.11731843575419E-2</v>
      </c>
      <c r="AD22" s="232">
        <v>16.759776536312849</v>
      </c>
      <c r="AE22" s="232">
        <v>16.574585635359117</v>
      </c>
      <c r="AF22" s="232">
        <v>16.393442622950818</v>
      </c>
      <c r="AG22" s="232">
        <v>16.483516483516482</v>
      </c>
      <c r="AH22" s="232">
        <v>16.393442622950818</v>
      </c>
      <c r="AI22" s="232">
        <v>16.574585635359117</v>
      </c>
      <c r="AJ22" s="232">
        <v>16.574585635359117</v>
      </c>
      <c r="AK22" s="232">
        <v>22.346368715083798</v>
      </c>
      <c r="AL22" s="232">
        <v>22.346368715083798</v>
      </c>
    </row>
    <row r="23" spans="2:38" x14ac:dyDescent="0.25">
      <c r="B23" s="72">
        <v>5.0505050505050504E-2</v>
      </c>
      <c r="C23" s="72">
        <v>4.5454545454545456E-2</v>
      </c>
      <c r="D23" s="72">
        <v>3.0769230769230771E-2</v>
      </c>
      <c r="E23" s="72">
        <v>1.5384615384615385E-2</v>
      </c>
      <c r="F23" s="72">
        <v>0</v>
      </c>
      <c r="H23" s="72">
        <v>3.0303030303030304E-2</v>
      </c>
      <c r="I23" s="72">
        <v>3.0303030303030304E-2</v>
      </c>
      <c r="J23" s="72">
        <v>3.0769230769230771E-2</v>
      </c>
      <c r="K23" s="72">
        <v>3.0769230769230771E-2</v>
      </c>
      <c r="L23" s="72">
        <v>3.0769230769230771E-2</v>
      </c>
      <c r="N23" s="72">
        <v>0.5</v>
      </c>
      <c r="O23" s="72">
        <v>0.5</v>
      </c>
      <c r="P23" s="72">
        <v>0.45454545454545453</v>
      </c>
      <c r="Q23" s="72">
        <v>0.5</v>
      </c>
      <c r="R23" s="72">
        <v>0.5</v>
      </c>
      <c r="T23" s="72">
        <v>3.0769230769230771E-2</v>
      </c>
      <c r="U23" s="72">
        <v>3.5353535353535352E-2</v>
      </c>
      <c r="V23" s="72">
        <v>3.0303030303030304E-2</v>
      </c>
      <c r="W23" s="72">
        <v>2.5000000000000001E-2</v>
      </c>
      <c r="X23" s="72">
        <v>3.0303030303030304E-2</v>
      </c>
      <c r="Y23" s="72">
        <v>3.0456852791878174E-2</v>
      </c>
      <c r="Z23" s="72">
        <v>3.5000000000000003E-2</v>
      </c>
      <c r="AA23" s="72">
        <v>3.5175879396984924E-2</v>
      </c>
      <c r="AB23" s="72">
        <v>3.5000000000000003E-2</v>
      </c>
      <c r="AD23" s="232">
        <v>20.512820512820515</v>
      </c>
      <c r="AE23" s="232">
        <v>25.252525252525253</v>
      </c>
      <c r="AF23" s="232">
        <v>20.202020202020201</v>
      </c>
      <c r="AG23" s="232">
        <v>15</v>
      </c>
      <c r="AH23" s="232">
        <v>20.202020202020201</v>
      </c>
      <c r="AI23" s="232">
        <v>25.380710659898476</v>
      </c>
      <c r="AJ23" s="232">
        <v>25</v>
      </c>
      <c r="AK23" s="232">
        <v>25.125628140703519</v>
      </c>
      <c r="AL23" s="232">
        <v>25</v>
      </c>
    </row>
    <row r="24" spans="2:38" x14ac:dyDescent="0.25">
      <c r="B24" s="72">
        <v>4.6511627906976744E-2</v>
      </c>
      <c r="C24" s="72">
        <v>2.9069767441860465E-2</v>
      </c>
      <c r="D24" s="72">
        <v>1.7341040462427744E-2</v>
      </c>
      <c r="E24" s="72">
        <v>1.7341040462427744E-2</v>
      </c>
      <c r="F24" s="72">
        <v>0</v>
      </c>
      <c r="H24" s="72">
        <v>1.1627906976744186E-2</v>
      </c>
      <c r="I24" s="72">
        <v>1.1627906976744186E-2</v>
      </c>
      <c r="J24" s="72">
        <v>1.1560693641618497E-2</v>
      </c>
      <c r="K24" s="72">
        <v>5.7803468208092483E-3</v>
      </c>
      <c r="L24" s="72">
        <v>5.7803468208092483E-3</v>
      </c>
      <c r="N24" s="72">
        <v>0.8</v>
      </c>
      <c r="O24" s="72">
        <v>0.6</v>
      </c>
      <c r="P24" s="72">
        <v>0.54545454545454541</v>
      </c>
      <c r="Q24" s="72">
        <v>0.55555555555555558</v>
      </c>
      <c r="R24" s="72">
        <v>0.55555555555555558</v>
      </c>
      <c r="T24" s="72">
        <v>4.5454545454545456E-2</v>
      </c>
      <c r="U24" s="72">
        <v>3.4285714285714287E-2</v>
      </c>
      <c r="V24" s="72">
        <v>4.046242774566474E-2</v>
      </c>
      <c r="W24" s="72">
        <v>2.3255813953488372E-2</v>
      </c>
      <c r="X24" s="72">
        <v>1.1627906976744186E-2</v>
      </c>
      <c r="Y24" s="72">
        <v>1.7341040462427744E-2</v>
      </c>
      <c r="Z24" s="72">
        <v>1.7441860465116279E-2</v>
      </c>
      <c r="AA24" s="72">
        <v>1.7142857142857144E-2</v>
      </c>
      <c r="AB24" s="72">
        <v>2.2727272727272728E-2</v>
      </c>
      <c r="AD24" s="232">
        <v>28.40909090909091</v>
      </c>
      <c r="AE24" s="232">
        <v>34.285714285714285</v>
      </c>
      <c r="AF24" s="232">
        <v>34.682080924855491</v>
      </c>
      <c r="AG24" s="232">
        <v>40.697674418604649</v>
      </c>
      <c r="AH24" s="232">
        <v>46.511627906976742</v>
      </c>
      <c r="AI24" s="232">
        <v>46.24277456647399</v>
      </c>
      <c r="AJ24" s="232">
        <v>46.511627906976742</v>
      </c>
      <c r="AK24" s="232">
        <v>45.714285714285715</v>
      </c>
      <c r="AL24" s="232">
        <v>39.772727272727273</v>
      </c>
    </row>
    <row r="25" spans="2:38" x14ac:dyDescent="0.25">
      <c r="B25" s="72">
        <v>7.1038251366120214E-2</v>
      </c>
      <c r="C25" s="72">
        <v>6.4864864864864868E-2</v>
      </c>
      <c r="D25" s="72">
        <v>4.3478260869565216E-2</v>
      </c>
      <c r="E25" s="72">
        <v>2.185792349726776E-2</v>
      </c>
      <c r="F25" s="72">
        <v>0</v>
      </c>
      <c r="H25" s="72">
        <v>4.3715846994535519E-2</v>
      </c>
      <c r="I25" s="72">
        <v>4.3243243243243246E-2</v>
      </c>
      <c r="J25" s="72">
        <v>3.2608695652173912E-2</v>
      </c>
      <c r="K25" s="72">
        <v>2.7322404371584699E-2</v>
      </c>
      <c r="L25" s="72">
        <v>2.7472527472527472E-2</v>
      </c>
      <c r="N25" s="72">
        <v>0.83333333333333337</v>
      </c>
      <c r="O25" s="72">
        <v>0.72727272727272729</v>
      </c>
      <c r="P25" s="72">
        <v>0.66666666666666663</v>
      </c>
      <c r="Q25" s="72">
        <v>0.46153846153846156</v>
      </c>
      <c r="R25" s="72">
        <v>0.46153846153846156</v>
      </c>
      <c r="T25" s="72">
        <v>6.5934065934065936E-2</v>
      </c>
      <c r="U25" s="72">
        <v>6.1111111111111109E-2</v>
      </c>
      <c r="V25" s="72">
        <v>4.4198895027624308E-2</v>
      </c>
      <c r="W25" s="72">
        <v>3.8461538461538464E-2</v>
      </c>
      <c r="X25" s="72">
        <v>4.3715846994535519E-2</v>
      </c>
      <c r="Y25" s="72">
        <v>4.3478260869565216E-2</v>
      </c>
      <c r="Z25" s="72">
        <v>4.3715846994535519E-2</v>
      </c>
      <c r="AA25" s="72">
        <v>4.3478260869565216E-2</v>
      </c>
      <c r="AB25" s="72">
        <v>4.3243243243243246E-2</v>
      </c>
      <c r="AD25" s="232">
        <v>32.967032967032964</v>
      </c>
      <c r="AE25" s="232">
        <v>38.888888888888886</v>
      </c>
      <c r="AF25" s="232">
        <v>27.624309392265193</v>
      </c>
      <c r="AG25" s="232">
        <v>32.967032967032964</v>
      </c>
      <c r="AH25" s="232">
        <v>54.644808743169399</v>
      </c>
      <c r="AI25" s="232">
        <v>54.347826086956523</v>
      </c>
      <c r="AJ25" s="232">
        <v>54.644808743169399</v>
      </c>
      <c r="AK25" s="232">
        <v>54.347826086956523</v>
      </c>
      <c r="AL25" s="232">
        <v>54.054054054054056</v>
      </c>
    </row>
    <row r="26" spans="2:38" x14ac:dyDescent="0.25">
      <c r="B26" s="72">
        <v>7.179487179487179E-2</v>
      </c>
      <c r="C26" s="72">
        <v>5.5837563451776651E-2</v>
      </c>
      <c r="D26" s="72">
        <v>4.060913705583756E-2</v>
      </c>
      <c r="E26" s="72">
        <v>2.0618556701030927E-2</v>
      </c>
      <c r="F26" s="72">
        <v>0</v>
      </c>
      <c r="H26" s="72">
        <v>3.5897435897435895E-2</v>
      </c>
      <c r="I26" s="72">
        <v>2.5380710659898477E-2</v>
      </c>
      <c r="J26" s="72">
        <v>2.030456852791878E-2</v>
      </c>
      <c r="K26" s="72">
        <v>1.0309278350515464E-2</v>
      </c>
      <c r="L26" s="72">
        <v>1.0256410256410256E-2</v>
      </c>
      <c r="N26" s="72">
        <v>0.66666666666666663</v>
      </c>
      <c r="O26" s="72">
        <v>0.5</v>
      </c>
      <c r="P26" s="72">
        <v>0.5</v>
      </c>
      <c r="Q26" s="72">
        <v>0.33333333333333331</v>
      </c>
      <c r="R26" s="72">
        <v>0.21428571428571427</v>
      </c>
      <c r="T26" s="72">
        <v>3.7037037037037035E-2</v>
      </c>
      <c r="U26" s="72">
        <v>4.2105263157894736E-2</v>
      </c>
      <c r="V26" s="72">
        <v>4.6875E-2</v>
      </c>
      <c r="W26" s="72">
        <v>4.5918367346938778E-2</v>
      </c>
      <c r="X26" s="72">
        <v>3.5897435897435895E-2</v>
      </c>
      <c r="Y26" s="72">
        <v>3.553299492385787E-2</v>
      </c>
      <c r="Z26" s="72">
        <v>4.5454545454545456E-2</v>
      </c>
      <c r="AA26" s="72">
        <v>4.4999999999999998E-2</v>
      </c>
      <c r="AB26" s="72">
        <v>4.4999999999999998E-2</v>
      </c>
      <c r="AD26" s="232">
        <v>37.037037037037038</v>
      </c>
      <c r="AE26" s="232">
        <v>36.842105263157897</v>
      </c>
      <c r="AF26" s="232">
        <v>41.666666666666664</v>
      </c>
      <c r="AG26" s="232">
        <v>35.714285714285715</v>
      </c>
      <c r="AH26" s="232">
        <v>41.025641025641029</v>
      </c>
      <c r="AI26" s="232">
        <v>40.609137055837564</v>
      </c>
      <c r="AJ26" s="232">
        <v>45.454545454545453</v>
      </c>
      <c r="AK26" s="232">
        <v>40</v>
      </c>
      <c r="AL26" s="232">
        <v>40</v>
      </c>
    </row>
    <row r="27" spans="2:38" x14ac:dyDescent="0.25">
      <c r="B27" s="72">
        <v>8.8541666666666671E-2</v>
      </c>
      <c r="C27" s="72">
        <v>6.3157894736842107E-2</v>
      </c>
      <c r="D27" s="72">
        <v>3.7234042553191488E-2</v>
      </c>
      <c r="E27" s="72">
        <v>1.6042780748663103E-2</v>
      </c>
      <c r="F27" s="72">
        <v>0</v>
      </c>
      <c r="H27" s="72">
        <v>3.6458333333333336E-2</v>
      </c>
      <c r="I27" s="72">
        <v>3.6842105263157891E-2</v>
      </c>
      <c r="J27" s="72">
        <v>2.6595744680851064E-2</v>
      </c>
      <c r="K27" s="72">
        <v>2.1390374331550801E-2</v>
      </c>
      <c r="L27" s="72">
        <v>2.1164021164021163E-2</v>
      </c>
      <c r="N27" s="72">
        <v>0.5</v>
      </c>
      <c r="O27" s="72">
        <v>0.41666666666666669</v>
      </c>
      <c r="P27" s="72">
        <v>0.38461538461538464</v>
      </c>
      <c r="Q27" s="72">
        <v>0.2857142857142857</v>
      </c>
      <c r="R27" s="72">
        <v>0.16666666666666666</v>
      </c>
      <c r="T27" s="72">
        <v>5.3475935828877004E-2</v>
      </c>
      <c r="U27" s="72">
        <v>5.1546391752577317E-2</v>
      </c>
      <c r="V27" s="72">
        <v>4.1025641025641026E-2</v>
      </c>
      <c r="W27" s="72">
        <v>3.7037037037037035E-2</v>
      </c>
      <c r="X27" s="72">
        <v>3.6458333333333336E-2</v>
      </c>
      <c r="Y27" s="72">
        <v>3.6649214659685861E-2</v>
      </c>
      <c r="Z27" s="72">
        <v>3.7037037037037035E-2</v>
      </c>
      <c r="AA27" s="72">
        <v>3.7037037037037035E-2</v>
      </c>
      <c r="AB27" s="72">
        <v>3.7433155080213901E-2</v>
      </c>
      <c r="AD27" s="232">
        <v>26.737967914438503</v>
      </c>
      <c r="AE27" s="232">
        <v>25.773195876288661</v>
      </c>
      <c r="AF27" s="232">
        <v>20.512820512820515</v>
      </c>
      <c r="AG27" s="232">
        <v>26.455026455026456</v>
      </c>
      <c r="AH27" s="232">
        <v>26.041666666666668</v>
      </c>
      <c r="AI27" s="232">
        <v>26.178010471204189</v>
      </c>
      <c r="AJ27" s="232">
        <v>26.455026455026456</v>
      </c>
      <c r="AK27" s="232">
        <v>26.455026455026456</v>
      </c>
      <c r="AL27" s="232">
        <v>26.737967914438503</v>
      </c>
    </row>
    <row r="28" spans="2:38" x14ac:dyDescent="0.25">
      <c r="B28" s="72">
        <v>0.1</v>
      </c>
      <c r="C28" s="72">
        <v>7.1428571428571425E-2</v>
      </c>
      <c r="D28" s="72">
        <v>4.790419161676647E-2</v>
      </c>
      <c r="E28" s="72">
        <v>1.8292682926829267E-2</v>
      </c>
      <c r="F28" s="72">
        <v>0</v>
      </c>
      <c r="H28" s="72">
        <v>2.3529411764705882E-2</v>
      </c>
      <c r="I28" s="72">
        <v>2.3809523809523808E-2</v>
      </c>
      <c r="J28" s="72">
        <v>1.7964071856287425E-2</v>
      </c>
      <c r="K28" s="72">
        <v>1.8292682926829267E-2</v>
      </c>
      <c r="L28" s="72">
        <v>1.8292682926829267E-2</v>
      </c>
      <c r="N28" s="72">
        <v>0.66666666666666663</v>
      </c>
      <c r="O28" s="72">
        <v>0.5</v>
      </c>
      <c r="P28" s="72">
        <v>0.33333333333333331</v>
      </c>
      <c r="Q28" s="72">
        <v>0.25</v>
      </c>
      <c r="R28" s="72">
        <v>0.14285714285714285</v>
      </c>
      <c r="T28" s="72">
        <v>4.1916167664670656E-2</v>
      </c>
      <c r="U28" s="72">
        <v>4.142011834319527E-2</v>
      </c>
      <c r="V28" s="72">
        <v>4.1666666666666664E-2</v>
      </c>
      <c r="W28" s="72">
        <v>3.5928143712574849E-2</v>
      </c>
      <c r="X28" s="72">
        <v>2.3529411764705882E-2</v>
      </c>
      <c r="Y28" s="72">
        <v>2.3391812865497075E-2</v>
      </c>
      <c r="Z28" s="72">
        <v>2.2988505747126436E-2</v>
      </c>
      <c r="AA28" s="72">
        <v>1.1299435028248588E-2</v>
      </c>
      <c r="AB28" s="72">
        <v>1.1299435028248588E-2</v>
      </c>
      <c r="AD28" s="232">
        <v>5.9880239520958085</v>
      </c>
      <c r="AE28" s="232">
        <v>11.834319526627219</v>
      </c>
      <c r="AF28" s="232">
        <v>11.904761904761905</v>
      </c>
      <c r="AG28" s="232">
        <v>11.976047904191617</v>
      </c>
      <c r="AH28" s="232">
        <v>11.764705882352942</v>
      </c>
      <c r="AI28" s="232">
        <v>11.695906432748538</v>
      </c>
      <c r="AJ28" s="232">
        <v>11.494252873563218</v>
      </c>
      <c r="AK28" s="232">
        <v>5.6497175141242941</v>
      </c>
      <c r="AL28" s="232">
        <v>5.6497175141242941</v>
      </c>
    </row>
    <row r="29" spans="2:38" x14ac:dyDescent="0.25">
      <c r="B29" s="72">
        <v>6.8421052631578952E-2</v>
      </c>
      <c r="C29" s="72">
        <v>6.3157894736842107E-2</v>
      </c>
      <c r="D29" s="72">
        <v>3.7037037037037035E-2</v>
      </c>
      <c r="E29" s="72">
        <v>1.0526315789473684E-2</v>
      </c>
      <c r="F29" s="72">
        <v>0</v>
      </c>
      <c r="H29" s="72">
        <v>1.5789473684210527E-2</v>
      </c>
      <c r="I29" s="72">
        <v>1.5789473684210527E-2</v>
      </c>
      <c r="J29" s="72">
        <v>1.5873015873015872E-2</v>
      </c>
      <c r="K29" s="72">
        <v>1.0526315789473684E-2</v>
      </c>
      <c r="L29" s="72">
        <v>1.0582010582010581E-2</v>
      </c>
      <c r="N29" s="72">
        <v>0.7142857142857143</v>
      </c>
      <c r="O29" s="72">
        <v>0.7142857142857143</v>
      </c>
      <c r="P29" s="72">
        <v>0.625</v>
      </c>
      <c r="Q29" s="72">
        <v>0.5</v>
      </c>
      <c r="R29" s="72">
        <v>0.44444444444444442</v>
      </c>
      <c r="T29" s="72">
        <v>2.2727272727272728E-2</v>
      </c>
      <c r="U29" s="72">
        <v>2.2222222222222223E-2</v>
      </c>
      <c r="V29" s="72">
        <v>1.6574585635359115E-2</v>
      </c>
      <c r="W29" s="72">
        <v>1.6129032258064516E-2</v>
      </c>
      <c r="X29" s="72">
        <v>1.5789473684210527E-2</v>
      </c>
      <c r="Y29" s="72">
        <v>1.5873015873015872E-2</v>
      </c>
      <c r="Z29" s="72">
        <v>2.1276595744680851E-2</v>
      </c>
      <c r="AA29" s="72">
        <v>2.1390374331550801E-2</v>
      </c>
      <c r="AB29" s="72">
        <v>2.1390374331550801E-2</v>
      </c>
      <c r="AD29" s="232">
        <v>45.454545454545453</v>
      </c>
      <c r="AE29" s="232">
        <v>33.333333333333336</v>
      </c>
      <c r="AF29" s="232">
        <v>38.674033149171272</v>
      </c>
      <c r="AG29" s="232">
        <v>32.258064516129032</v>
      </c>
      <c r="AH29" s="232">
        <v>26.315789473684209</v>
      </c>
      <c r="AI29" s="232">
        <v>26.455026455026456</v>
      </c>
      <c r="AJ29" s="232">
        <v>26.595744680851062</v>
      </c>
      <c r="AK29" s="232">
        <v>26.737967914438503</v>
      </c>
      <c r="AL29" s="232">
        <v>26.737967914438503</v>
      </c>
    </row>
    <row r="30" spans="2:38" x14ac:dyDescent="0.25">
      <c r="B30" s="72">
        <v>6.1224489795918366E-2</v>
      </c>
      <c r="C30" s="72">
        <v>4.5454545454545456E-2</v>
      </c>
      <c r="D30" s="72">
        <v>2.5125628140703519E-2</v>
      </c>
      <c r="E30" s="72">
        <v>0</v>
      </c>
      <c r="F30" s="72">
        <v>0</v>
      </c>
      <c r="H30" s="72">
        <v>3.0612244897959183E-2</v>
      </c>
      <c r="I30" s="72">
        <v>2.0202020202020204E-2</v>
      </c>
      <c r="J30" s="72">
        <v>2.5125628140703519E-2</v>
      </c>
      <c r="K30" s="72">
        <v>2.0100502512562814E-2</v>
      </c>
      <c r="L30" s="72">
        <v>1.4999999999999999E-2</v>
      </c>
      <c r="N30" s="72">
        <v>0.5</v>
      </c>
      <c r="O30" s="72">
        <v>0.5</v>
      </c>
      <c r="P30" s="72">
        <v>0.4</v>
      </c>
      <c r="Q30" s="72">
        <v>0.4</v>
      </c>
      <c r="R30" s="72">
        <v>0.2</v>
      </c>
      <c r="T30" s="72">
        <v>4.6632124352331605E-2</v>
      </c>
      <c r="U30" s="72">
        <v>3.125E-2</v>
      </c>
      <c r="V30" s="72">
        <v>3.0769230769230771E-2</v>
      </c>
      <c r="W30" s="72">
        <v>2.072538860103627E-2</v>
      </c>
      <c r="X30" s="72">
        <v>3.0612244897959183E-2</v>
      </c>
      <c r="Y30" s="72">
        <v>3.0612244897959183E-2</v>
      </c>
      <c r="Z30" s="72">
        <v>2.564102564102564E-2</v>
      </c>
      <c r="AA30" s="72">
        <v>2.5510204081632654E-2</v>
      </c>
      <c r="AB30" s="72">
        <v>0.02</v>
      </c>
      <c r="AD30" s="232">
        <v>20.725388601036268</v>
      </c>
      <c r="AE30" s="232">
        <v>20.833333333333332</v>
      </c>
      <c r="AF30" s="232">
        <v>20.512820512820515</v>
      </c>
      <c r="AG30" s="232">
        <v>20.725388601036268</v>
      </c>
      <c r="AH30" s="232">
        <v>20.408163265306122</v>
      </c>
      <c r="AI30" s="232">
        <v>20.408163265306122</v>
      </c>
      <c r="AJ30" s="232">
        <v>20.512820512820515</v>
      </c>
      <c r="AK30" s="232">
        <v>15.306122448979592</v>
      </c>
      <c r="AL30" s="232">
        <v>10</v>
      </c>
    </row>
    <row r="31" spans="2:38" x14ac:dyDescent="0.25">
      <c r="B31" s="72">
        <v>8.1632653061224483E-2</v>
      </c>
      <c r="C31" s="72">
        <v>6.6326530612244902E-2</v>
      </c>
      <c r="D31" s="72">
        <v>3.553299492385787E-2</v>
      </c>
      <c r="E31" s="72">
        <v>1.5228426395939087E-2</v>
      </c>
      <c r="F31" s="72">
        <v>0</v>
      </c>
      <c r="H31" s="72">
        <v>2.5510204081632654E-2</v>
      </c>
      <c r="I31" s="72">
        <v>2.5510204081632654E-2</v>
      </c>
      <c r="J31" s="72">
        <v>2.030456852791878E-2</v>
      </c>
      <c r="K31" s="72">
        <v>2.030456852791878E-2</v>
      </c>
      <c r="L31" s="72">
        <v>1.5306122448979591E-2</v>
      </c>
      <c r="N31" s="72">
        <v>0.8</v>
      </c>
      <c r="O31" s="72">
        <v>0.6</v>
      </c>
      <c r="P31" s="72">
        <v>0.55555555555555558</v>
      </c>
      <c r="Q31" s="72">
        <v>0.5</v>
      </c>
      <c r="R31" s="72">
        <v>0.38461538461538464</v>
      </c>
      <c r="T31" s="72">
        <v>4.5918367346938778E-2</v>
      </c>
      <c r="U31" s="72">
        <v>2.9556650246305417E-2</v>
      </c>
      <c r="V31" s="72">
        <v>2.9850746268656716E-2</v>
      </c>
      <c r="W31" s="72">
        <v>2.0100502512562814E-2</v>
      </c>
      <c r="X31" s="72">
        <v>2.5510204081632654E-2</v>
      </c>
      <c r="Y31" s="72">
        <v>2.030456852791878E-2</v>
      </c>
      <c r="Z31" s="72">
        <v>2.030456852791878E-2</v>
      </c>
      <c r="AA31" s="72">
        <v>1.5306122448979591E-2</v>
      </c>
      <c r="AB31" s="72">
        <v>1.5306122448979591E-2</v>
      </c>
      <c r="AD31" s="232">
        <v>45.918367346938773</v>
      </c>
      <c r="AE31" s="232">
        <v>39.408866995073893</v>
      </c>
      <c r="AF31" s="232">
        <v>39.800995024875618</v>
      </c>
      <c r="AG31" s="232">
        <v>35.175879396984925</v>
      </c>
      <c r="AH31" s="232">
        <v>40.816326530612244</v>
      </c>
      <c r="AI31" s="232">
        <v>40.609137055837564</v>
      </c>
      <c r="AJ31" s="232">
        <v>40.609137055837564</v>
      </c>
      <c r="AK31" s="232">
        <v>51.020408163265309</v>
      </c>
      <c r="AL31" s="232">
        <v>51.020408163265309</v>
      </c>
    </row>
    <row r="32" spans="2:38" x14ac:dyDescent="0.25">
      <c r="B32" s="72">
        <v>7.5268817204301078E-2</v>
      </c>
      <c r="C32" s="72">
        <v>6.4516129032258063E-2</v>
      </c>
      <c r="D32" s="72">
        <v>4.3478260869565216E-2</v>
      </c>
      <c r="E32" s="72">
        <v>2.1739130434782608E-2</v>
      </c>
      <c r="F32" s="72">
        <v>0</v>
      </c>
      <c r="H32" s="72">
        <v>4.3010752688172046E-2</v>
      </c>
      <c r="I32" s="72">
        <v>4.3010752688172046E-2</v>
      </c>
      <c r="J32" s="72">
        <v>2.717391304347826E-2</v>
      </c>
      <c r="K32" s="72">
        <v>3.2608695652173912E-2</v>
      </c>
      <c r="L32" s="72">
        <v>2.7322404371584699E-2</v>
      </c>
      <c r="N32" s="72">
        <v>0.375</v>
      </c>
      <c r="O32" s="72">
        <v>0.22222222222222221</v>
      </c>
      <c r="P32" s="72">
        <v>0.22222222222222221</v>
      </c>
      <c r="Q32" s="72">
        <v>0.18181818181818182</v>
      </c>
      <c r="R32" s="72">
        <v>8.3333333333333329E-2</v>
      </c>
      <c r="T32" s="72">
        <v>4.4198895027624308E-2</v>
      </c>
      <c r="U32" s="72">
        <v>4.3956043956043959E-2</v>
      </c>
      <c r="V32" s="72">
        <v>4.9450549450549448E-2</v>
      </c>
      <c r="W32" s="72">
        <v>4.3956043956043959E-2</v>
      </c>
      <c r="X32" s="72">
        <v>4.3010752688172046E-2</v>
      </c>
      <c r="Y32" s="72">
        <v>4.3010752688172046E-2</v>
      </c>
      <c r="Z32" s="72">
        <v>4.3243243243243246E-2</v>
      </c>
      <c r="AA32" s="72">
        <v>3.8043478260869568E-2</v>
      </c>
      <c r="AB32" s="72">
        <v>3.8043478260869568E-2</v>
      </c>
      <c r="AD32" s="232">
        <v>44.19889502762431</v>
      </c>
      <c r="AE32" s="232">
        <v>38.46153846153846</v>
      </c>
      <c r="AF32" s="232">
        <v>32.967032967032964</v>
      </c>
      <c r="AG32" s="232">
        <v>21.978021978021978</v>
      </c>
      <c r="AH32" s="232">
        <v>16.129032258064516</v>
      </c>
      <c r="AI32" s="232">
        <v>16.129032258064516</v>
      </c>
      <c r="AJ32" s="232">
        <v>16.216216216216218</v>
      </c>
      <c r="AK32" s="232">
        <v>16.304347826086957</v>
      </c>
      <c r="AL32" s="232">
        <v>16.304347826086957</v>
      </c>
    </row>
    <row r="33" spans="2:38" x14ac:dyDescent="0.25">
      <c r="B33" s="72">
        <v>5.4726368159203981E-2</v>
      </c>
      <c r="C33" s="72">
        <v>3.482587064676617E-2</v>
      </c>
      <c r="D33" s="72">
        <v>2.4875621890547265E-2</v>
      </c>
      <c r="E33" s="72">
        <v>1.9607843137254902E-2</v>
      </c>
      <c r="F33" s="72">
        <v>4.8780487804878049E-3</v>
      </c>
      <c r="H33" s="72">
        <v>3.482587064676617E-2</v>
      </c>
      <c r="I33" s="72">
        <v>2.9850746268656716E-2</v>
      </c>
      <c r="J33" s="72">
        <v>2.4875621890547265E-2</v>
      </c>
      <c r="K33" s="72">
        <v>2.4509803921568627E-2</v>
      </c>
      <c r="L33" s="72">
        <v>1.9512195121951219E-2</v>
      </c>
      <c r="N33" s="72">
        <v>0.75</v>
      </c>
      <c r="O33" s="72">
        <v>0.75</v>
      </c>
      <c r="P33" s="72">
        <v>0.75</v>
      </c>
      <c r="Q33" s="72">
        <v>0</v>
      </c>
      <c r="R33" s="72">
        <v>0</v>
      </c>
      <c r="T33" s="72">
        <v>5.6410256410256411E-2</v>
      </c>
      <c r="U33" s="72">
        <v>5.128205128205128E-2</v>
      </c>
      <c r="V33" s="72">
        <v>4.0816326530612242E-2</v>
      </c>
      <c r="W33" s="72">
        <v>4.0201005025125629E-2</v>
      </c>
      <c r="X33" s="72">
        <v>3.482587064676617E-2</v>
      </c>
      <c r="Y33" s="72">
        <v>3.4653465346534656E-2</v>
      </c>
      <c r="Z33" s="72">
        <v>3.4653465346534656E-2</v>
      </c>
      <c r="AA33" s="72">
        <v>3.4482758620689655E-2</v>
      </c>
      <c r="AB33" s="72">
        <v>3.4313725490196081E-2</v>
      </c>
      <c r="AD33" s="232">
        <v>30.76923076923077</v>
      </c>
      <c r="AE33" s="232">
        <v>25.641025641025642</v>
      </c>
      <c r="AF33" s="232">
        <v>25.510204081632654</v>
      </c>
      <c r="AG33" s="232">
        <v>20.100502512562816</v>
      </c>
      <c r="AH33" s="232">
        <v>14.925373134328359</v>
      </c>
      <c r="AI33" s="232">
        <v>14.851485148514852</v>
      </c>
      <c r="AJ33" s="232">
        <v>19.801980198019802</v>
      </c>
      <c r="AK33" s="232">
        <v>19.704433497536947</v>
      </c>
      <c r="AL33" s="232">
        <v>19.607843137254903</v>
      </c>
    </row>
    <row r="34" spans="2:38" x14ac:dyDescent="0.25">
      <c r="B34" s="72">
        <v>4.6632124352331605E-2</v>
      </c>
      <c r="C34" s="72">
        <v>3.553299492385787E-2</v>
      </c>
      <c r="D34" s="72">
        <v>2.5510204081632654E-2</v>
      </c>
      <c r="E34" s="72">
        <v>1.5384615384615385E-2</v>
      </c>
      <c r="F34" s="72">
        <v>0</v>
      </c>
      <c r="H34" s="72">
        <v>2.5906735751295335E-2</v>
      </c>
      <c r="I34" s="72">
        <v>2.5380710659898477E-2</v>
      </c>
      <c r="J34" s="72">
        <v>2.5510204081632654E-2</v>
      </c>
      <c r="K34" s="72">
        <v>2.0512820512820513E-2</v>
      </c>
      <c r="L34" s="72">
        <v>2.0618556701030927E-2</v>
      </c>
      <c r="N34" s="72">
        <v>0.58333333333333337</v>
      </c>
      <c r="O34" s="72">
        <v>0.5714285714285714</v>
      </c>
      <c r="P34" s="72">
        <v>0.25</v>
      </c>
      <c r="Q34" s="72">
        <v>0.25</v>
      </c>
      <c r="R34" s="72">
        <v>0.125</v>
      </c>
      <c r="T34" s="72">
        <v>3.2967032967032968E-2</v>
      </c>
      <c r="U34" s="72">
        <v>2.7624309392265192E-2</v>
      </c>
      <c r="V34" s="72">
        <v>3.2432432432432434E-2</v>
      </c>
      <c r="W34" s="72">
        <v>2.6315789473684209E-2</v>
      </c>
      <c r="X34" s="72">
        <v>2.5906735751295335E-2</v>
      </c>
      <c r="Y34" s="72">
        <v>2.564102564102564E-2</v>
      </c>
      <c r="Z34" s="72">
        <v>3.1088082901554404E-2</v>
      </c>
      <c r="AA34" s="72">
        <v>3.015075376884422E-2</v>
      </c>
      <c r="AB34" s="72">
        <v>3.0303030303030304E-2</v>
      </c>
      <c r="AD34" s="232">
        <v>60.439560439560438</v>
      </c>
      <c r="AE34" s="232">
        <v>60.773480662983424</v>
      </c>
      <c r="AF34" s="232">
        <v>59.45945945945946</v>
      </c>
      <c r="AG34" s="232">
        <v>47.368421052631582</v>
      </c>
      <c r="AH34" s="232">
        <v>36.269430051813472</v>
      </c>
      <c r="AI34" s="232">
        <v>35.897435897435898</v>
      </c>
      <c r="AJ34" s="232">
        <v>36.269430051813472</v>
      </c>
      <c r="AK34" s="232">
        <v>30.150753768844222</v>
      </c>
      <c r="AL34" s="232">
        <v>30.303030303030305</v>
      </c>
    </row>
    <row r="35" spans="2:38" x14ac:dyDescent="0.25">
      <c r="B35" s="72">
        <v>9.6256684491978606E-2</v>
      </c>
      <c r="C35" s="72">
        <v>4.8128342245989303E-2</v>
      </c>
      <c r="D35" s="72">
        <v>3.1914893617021274E-2</v>
      </c>
      <c r="E35" s="72">
        <v>5.4054054054054057E-3</v>
      </c>
      <c r="F35" s="72">
        <v>0</v>
      </c>
      <c r="H35" s="72">
        <v>4.2780748663101602E-2</v>
      </c>
      <c r="I35" s="72">
        <v>4.2780748663101602E-2</v>
      </c>
      <c r="J35" s="72">
        <v>4.2553191489361701E-2</v>
      </c>
      <c r="K35" s="72">
        <v>3.2432432432432434E-2</v>
      </c>
      <c r="L35" s="72">
        <v>2.7027027027027029E-2</v>
      </c>
      <c r="N35" s="72">
        <v>0.7</v>
      </c>
      <c r="O35" s="72">
        <v>0.6</v>
      </c>
      <c r="P35" s="72">
        <v>0.44444444444444442</v>
      </c>
      <c r="Q35" s="72">
        <v>0.33333333333333331</v>
      </c>
      <c r="R35" s="72">
        <v>0.18181818181818182</v>
      </c>
      <c r="T35" s="72">
        <v>4.3243243243243246E-2</v>
      </c>
      <c r="U35" s="72">
        <v>4.3478260869565216E-2</v>
      </c>
      <c r="V35" s="72">
        <v>4.3243243243243246E-2</v>
      </c>
      <c r="W35" s="72">
        <v>3.8043478260869568E-2</v>
      </c>
      <c r="X35" s="72">
        <v>4.2780748663101602E-2</v>
      </c>
      <c r="Y35" s="72">
        <v>4.2553191489361701E-2</v>
      </c>
      <c r="Z35" s="72">
        <v>4.2553191489361701E-2</v>
      </c>
      <c r="AA35" s="72">
        <v>4.3010752688172046E-2</v>
      </c>
      <c r="AB35" s="72">
        <v>3.2608695652173912E-2</v>
      </c>
      <c r="AD35" s="232">
        <v>43.243243243243242</v>
      </c>
      <c r="AE35" s="232">
        <v>48.913043478260867</v>
      </c>
      <c r="AF35" s="232">
        <v>37.837837837837839</v>
      </c>
      <c r="AG35" s="232">
        <v>38.043478260869563</v>
      </c>
      <c r="AH35" s="232">
        <v>37.433155080213901</v>
      </c>
      <c r="AI35" s="232">
        <v>37.234042553191486</v>
      </c>
      <c r="AJ35" s="232">
        <v>37.234042553191486</v>
      </c>
      <c r="AK35" s="232">
        <v>43.01075268817204</v>
      </c>
      <c r="AL35" s="232">
        <v>48.913043478260867</v>
      </c>
    </row>
    <row r="36" spans="2:38" x14ac:dyDescent="0.25">
      <c r="B36" s="72">
        <v>5.4644808743169397E-2</v>
      </c>
      <c r="C36" s="72">
        <v>4.3715846994535519E-2</v>
      </c>
      <c r="D36" s="72">
        <v>2.7322404371584699E-2</v>
      </c>
      <c r="E36" s="72">
        <v>1.6393442622950821E-2</v>
      </c>
      <c r="F36" s="72">
        <v>0</v>
      </c>
      <c r="H36" s="72">
        <v>5.4644808743169397E-2</v>
      </c>
      <c r="I36" s="72">
        <v>5.4644808743169397E-2</v>
      </c>
      <c r="J36" s="72">
        <v>4.3715846994535519E-2</v>
      </c>
      <c r="K36" s="72">
        <v>4.3715846994535519E-2</v>
      </c>
      <c r="L36" s="72">
        <v>4.3243243243243246E-2</v>
      </c>
      <c r="N36" s="72">
        <v>0.66666666666666663</v>
      </c>
      <c r="O36" s="72">
        <v>0.66666666666666663</v>
      </c>
      <c r="P36" s="72">
        <v>0.66666666666666663</v>
      </c>
      <c r="Q36" s="72">
        <v>0.66666666666666663</v>
      </c>
      <c r="R36" s="72">
        <v>0.5</v>
      </c>
      <c r="T36" s="72">
        <v>6.8965517241379309E-2</v>
      </c>
      <c r="U36" s="72">
        <v>6.6298342541436461E-2</v>
      </c>
      <c r="V36" s="72">
        <v>6.043956043956044E-2</v>
      </c>
      <c r="W36" s="72">
        <v>6.0773480662983423E-2</v>
      </c>
      <c r="X36" s="72">
        <v>5.4644808743169397E-2</v>
      </c>
      <c r="Y36" s="72">
        <v>5.4644808743169397E-2</v>
      </c>
      <c r="Z36" s="72">
        <v>4.8648648648648651E-2</v>
      </c>
      <c r="AA36" s="72">
        <v>4.8128342245989303E-2</v>
      </c>
      <c r="AB36" s="72">
        <v>4.7872340425531915E-2</v>
      </c>
      <c r="AD36" s="232">
        <v>28.735632183908045</v>
      </c>
      <c r="AE36" s="232">
        <v>33.149171270718234</v>
      </c>
      <c r="AF36" s="232">
        <v>21.978021978021978</v>
      </c>
      <c r="AG36" s="232">
        <v>22.099447513812155</v>
      </c>
      <c r="AH36" s="232">
        <v>21.857923497267759</v>
      </c>
      <c r="AI36" s="232">
        <v>21.857923497267759</v>
      </c>
      <c r="AJ36" s="232">
        <v>21.621621621621621</v>
      </c>
      <c r="AK36" s="232">
        <v>16.042780748663102</v>
      </c>
      <c r="AL36" s="232">
        <v>15.957446808510639</v>
      </c>
    </row>
    <row r="37" spans="2:38" x14ac:dyDescent="0.25">
      <c r="B37" s="72">
        <v>4.5226130653266333E-2</v>
      </c>
      <c r="C37" s="72">
        <v>3.0456852791878174E-2</v>
      </c>
      <c r="D37" s="72">
        <v>2.5380710659898477E-2</v>
      </c>
      <c r="E37" s="72">
        <v>2.030456852791878E-2</v>
      </c>
      <c r="F37" s="72">
        <v>0</v>
      </c>
      <c r="H37" s="72">
        <v>3.015075376884422E-2</v>
      </c>
      <c r="I37" s="72">
        <v>2.5380710659898477E-2</v>
      </c>
      <c r="J37" s="72">
        <v>2.5380710659898477E-2</v>
      </c>
      <c r="K37" s="72">
        <v>2.030456852791878E-2</v>
      </c>
      <c r="L37" s="72">
        <v>2.0202020202020204E-2</v>
      </c>
      <c r="N37" s="72">
        <v>0.63636363636363635</v>
      </c>
      <c r="O37" s="72">
        <v>0.53846153846153844</v>
      </c>
      <c r="P37" s="72">
        <v>0.53846153846153844</v>
      </c>
      <c r="Q37" s="72">
        <v>0.53846153846153844</v>
      </c>
      <c r="R37" s="72">
        <v>0.41666666666666669</v>
      </c>
      <c r="T37" s="72">
        <v>3.4653465346534656E-2</v>
      </c>
      <c r="U37" s="72">
        <v>3.4653465346534656E-2</v>
      </c>
      <c r="V37" s="72">
        <v>3.4653465346534656E-2</v>
      </c>
      <c r="W37" s="72">
        <v>3.5000000000000003E-2</v>
      </c>
      <c r="X37" s="72">
        <v>3.015075376884422E-2</v>
      </c>
      <c r="Y37" s="72">
        <v>0.03</v>
      </c>
      <c r="Z37" s="72">
        <v>0.03</v>
      </c>
      <c r="AA37" s="72">
        <v>3.5000000000000003E-2</v>
      </c>
      <c r="AB37" s="72">
        <v>3.5000000000000003E-2</v>
      </c>
      <c r="AD37" s="232">
        <v>24.752475247524753</v>
      </c>
      <c r="AE37" s="232">
        <v>24.752475247524753</v>
      </c>
      <c r="AF37" s="232">
        <v>24.752475247524753</v>
      </c>
      <c r="AG37" s="232">
        <v>35</v>
      </c>
      <c r="AH37" s="232">
        <v>35.175879396984925</v>
      </c>
      <c r="AI37" s="232">
        <v>30</v>
      </c>
      <c r="AJ37" s="232">
        <v>30</v>
      </c>
      <c r="AK37" s="232">
        <v>35</v>
      </c>
      <c r="AL37" s="232">
        <v>35</v>
      </c>
    </row>
    <row r="38" spans="2:38" x14ac:dyDescent="0.25">
      <c r="B38" s="72">
        <v>8.2352941176470587E-2</v>
      </c>
      <c r="C38" s="72">
        <v>5.8823529411764705E-2</v>
      </c>
      <c r="D38" s="72">
        <v>4.6783625730994149E-2</v>
      </c>
      <c r="E38" s="72">
        <v>1.7441860465116279E-2</v>
      </c>
      <c r="F38" s="72">
        <v>0</v>
      </c>
      <c r="H38" s="72">
        <v>3.5294117647058823E-2</v>
      </c>
      <c r="I38" s="72">
        <v>2.9411764705882353E-2</v>
      </c>
      <c r="J38" s="72">
        <v>1.7543859649122806E-2</v>
      </c>
      <c r="K38" s="72">
        <v>2.3255813953488372E-2</v>
      </c>
      <c r="L38" s="72">
        <v>1.7441860465116279E-2</v>
      </c>
      <c r="N38" s="72">
        <v>0.7</v>
      </c>
      <c r="O38" s="72">
        <v>0.44444444444444442</v>
      </c>
      <c r="P38" s="72">
        <v>0.4</v>
      </c>
      <c r="Q38" s="72">
        <v>0.125</v>
      </c>
      <c r="R38" s="72">
        <v>0.14285714285714285</v>
      </c>
      <c r="T38" s="72">
        <v>3.6809815950920248E-2</v>
      </c>
      <c r="U38" s="72">
        <v>3.5928143712574849E-2</v>
      </c>
      <c r="V38" s="72">
        <v>2.9239766081871343E-2</v>
      </c>
      <c r="W38" s="72">
        <v>4.0935672514619881E-2</v>
      </c>
      <c r="X38" s="72">
        <v>3.5294117647058823E-2</v>
      </c>
      <c r="Y38" s="72">
        <v>4.1176470588235294E-2</v>
      </c>
      <c r="Z38" s="72">
        <v>4.1176470588235294E-2</v>
      </c>
      <c r="AA38" s="72">
        <v>3.5502958579881658E-2</v>
      </c>
      <c r="AB38" s="72">
        <v>3.5502958579881658E-2</v>
      </c>
      <c r="AD38" s="232">
        <v>36.809815950920246</v>
      </c>
      <c r="AE38" s="232">
        <v>29.940119760479043</v>
      </c>
      <c r="AF38" s="232">
        <v>29.239766081871345</v>
      </c>
      <c r="AG38" s="232">
        <v>40.935672514619881</v>
      </c>
      <c r="AH38" s="232">
        <v>41.176470588235297</v>
      </c>
      <c r="AI38" s="232">
        <v>41.176470588235297</v>
      </c>
      <c r="AJ38" s="232">
        <v>41.176470588235297</v>
      </c>
      <c r="AK38" s="232">
        <v>41.420118343195263</v>
      </c>
      <c r="AL38" s="232">
        <v>41.420118343195263</v>
      </c>
    </row>
    <row r="39" spans="2:38" x14ac:dyDescent="0.25">
      <c r="B39" s="72">
        <v>6.1452513966480445E-2</v>
      </c>
      <c r="C39" s="72">
        <v>3.9325842696629212E-2</v>
      </c>
      <c r="D39" s="72">
        <v>2.247191011235955E-2</v>
      </c>
      <c r="E39" s="72">
        <v>1.6949152542372881E-2</v>
      </c>
      <c r="F39" s="72">
        <v>0</v>
      </c>
      <c r="H39" s="72">
        <v>2.7932960893854747E-2</v>
      </c>
      <c r="I39" s="72">
        <v>2.8089887640449437E-2</v>
      </c>
      <c r="J39" s="72">
        <v>2.8089887640449437E-2</v>
      </c>
      <c r="K39" s="72">
        <v>1.6949152542372881E-2</v>
      </c>
      <c r="L39" s="72">
        <v>1.6949152542372881E-2</v>
      </c>
      <c r="N39" s="72">
        <v>1</v>
      </c>
      <c r="O39" s="72">
        <v>0.5</v>
      </c>
      <c r="P39" s="72">
        <v>0.33333333333333331</v>
      </c>
      <c r="Q39" s="72">
        <v>0.33333333333333331</v>
      </c>
      <c r="R39" s="72">
        <v>0.33333333333333331</v>
      </c>
      <c r="T39" s="72">
        <v>5.2631578947368418E-2</v>
      </c>
      <c r="U39" s="72">
        <v>5.1724137931034482E-2</v>
      </c>
      <c r="V39" s="72">
        <v>4.5714285714285714E-2</v>
      </c>
      <c r="W39" s="72">
        <v>0.04</v>
      </c>
      <c r="X39" s="72">
        <v>2.7932960893854747E-2</v>
      </c>
      <c r="Y39" s="72">
        <v>2.7472527472527472E-2</v>
      </c>
      <c r="Z39" s="72">
        <v>2.185792349726776E-2</v>
      </c>
      <c r="AA39" s="72">
        <v>2.1505376344086023E-2</v>
      </c>
      <c r="AB39" s="72">
        <v>2.1621621621621623E-2</v>
      </c>
      <c r="AD39" s="232">
        <v>29.239766081871345</v>
      </c>
      <c r="AE39" s="232">
        <v>17.241379310344829</v>
      </c>
      <c r="AF39" s="232">
        <v>11.428571428571429</v>
      </c>
      <c r="AG39" s="232">
        <v>11.428571428571429</v>
      </c>
      <c r="AH39" s="232">
        <v>5.5865921787709496</v>
      </c>
      <c r="AI39" s="232">
        <v>5.4945054945054945</v>
      </c>
      <c r="AJ39" s="232">
        <v>10.928961748633879</v>
      </c>
      <c r="AK39" s="232">
        <v>10.75268817204301</v>
      </c>
      <c r="AL39" s="232">
        <v>10.810810810810811</v>
      </c>
    </row>
    <row r="40" spans="2:38" x14ac:dyDescent="0.25">
      <c r="B40" s="72">
        <v>8.8082901554404139E-2</v>
      </c>
      <c r="C40" s="72">
        <v>7.3684210526315783E-2</v>
      </c>
      <c r="D40" s="72">
        <v>4.6875E-2</v>
      </c>
      <c r="E40" s="72">
        <v>2.6041666666666668E-2</v>
      </c>
      <c r="F40" s="72">
        <v>0</v>
      </c>
      <c r="H40" s="72">
        <v>3.1088082901554404E-2</v>
      </c>
      <c r="I40" s="72">
        <v>1.5789473684210527E-2</v>
      </c>
      <c r="J40" s="72">
        <v>1.5625E-2</v>
      </c>
      <c r="K40" s="72">
        <v>1.5625E-2</v>
      </c>
      <c r="L40" s="72">
        <v>1.5384615384615385E-2</v>
      </c>
      <c r="N40" s="72">
        <v>0.6</v>
      </c>
      <c r="O40" s="72">
        <v>0.45454545454545453</v>
      </c>
      <c r="P40" s="72">
        <v>0.4</v>
      </c>
      <c r="Q40" s="72">
        <v>0.4</v>
      </c>
      <c r="R40" s="72">
        <v>0.2857142857142857</v>
      </c>
      <c r="T40" s="72">
        <v>5.2083333333333336E-2</v>
      </c>
      <c r="U40" s="72">
        <v>4.145077720207254E-2</v>
      </c>
      <c r="V40" s="72">
        <v>3.5897435897435895E-2</v>
      </c>
      <c r="W40" s="72">
        <v>3.6458333333333336E-2</v>
      </c>
      <c r="X40" s="72">
        <v>3.1088082901554404E-2</v>
      </c>
      <c r="Y40" s="72">
        <v>2.564102564102564E-2</v>
      </c>
      <c r="Z40" s="72">
        <v>3.0456852791878174E-2</v>
      </c>
      <c r="AA40" s="72">
        <v>3.0303030303030304E-2</v>
      </c>
      <c r="AB40" s="72">
        <v>3.0456852791878174E-2</v>
      </c>
      <c r="AD40" s="232">
        <v>52.083333333333336</v>
      </c>
      <c r="AE40" s="232">
        <v>51.813471502590673</v>
      </c>
      <c r="AF40" s="232">
        <v>46.153846153846153</v>
      </c>
      <c r="AG40" s="232">
        <v>36.458333333333336</v>
      </c>
      <c r="AH40" s="232">
        <v>31.088082901554404</v>
      </c>
      <c r="AI40" s="232">
        <v>25.641025641025642</v>
      </c>
      <c r="AJ40" s="232">
        <v>15.228426395939087</v>
      </c>
      <c r="AK40" s="232">
        <v>15.151515151515152</v>
      </c>
      <c r="AL40" s="232">
        <v>15.228426395939087</v>
      </c>
    </row>
    <row r="41" spans="2:38" x14ac:dyDescent="0.25">
      <c r="B41" s="72">
        <v>6.5656565656565663E-2</v>
      </c>
      <c r="C41" s="72">
        <v>5.0761421319796954E-2</v>
      </c>
      <c r="D41" s="72">
        <v>4.060913705583756E-2</v>
      </c>
      <c r="E41" s="72">
        <v>2.030456852791878E-2</v>
      </c>
      <c r="F41" s="72">
        <v>0</v>
      </c>
      <c r="H41" s="72">
        <v>2.5252525252525252E-2</v>
      </c>
      <c r="I41" s="72">
        <v>2.5380710659898477E-2</v>
      </c>
      <c r="J41" s="72">
        <v>2.5380710659898477E-2</v>
      </c>
      <c r="K41" s="72">
        <v>2.030456852791878E-2</v>
      </c>
      <c r="L41" s="72">
        <v>1.5306122448979591E-2</v>
      </c>
      <c r="N41" s="72">
        <v>0.625</v>
      </c>
      <c r="O41" s="72">
        <v>0.2857142857142857</v>
      </c>
      <c r="P41" s="72">
        <v>0.2857142857142857</v>
      </c>
      <c r="Q41" s="72">
        <v>0.2857142857142857</v>
      </c>
      <c r="R41" s="72">
        <v>0.25</v>
      </c>
      <c r="T41" s="72">
        <v>5.5837563451776651E-2</v>
      </c>
      <c r="U41" s="72">
        <v>4.0816326530612242E-2</v>
      </c>
      <c r="V41" s="72">
        <v>3.5714285714285712E-2</v>
      </c>
      <c r="W41" s="72">
        <v>3.5714285714285712E-2</v>
      </c>
      <c r="X41" s="72">
        <v>2.5252525252525252E-2</v>
      </c>
      <c r="Y41" s="72">
        <v>2.5380710659898477E-2</v>
      </c>
      <c r="Z41" s="72">
        <v>2.5510204081632654E-2</v>
      </c>
      <c r="AA41" s="72">
        <v>2.564102564102564E-2</v>
      </c>
      <c r="AB41" s="72">
        <v>2.0512820512820513E-2</v>
      </c>
      <c r="AD41" s="232">
        <v>45.685279187817258</v>
      </c>
      <c r="AE41" s="232">
        <v>40.816326530612244</v>
      </c>
      <c r="AF41" s="232">
        <v>35.714285714285715</v>
      </c>
      <c r="AG41" s="232">
        <v>30.612244897959183</v>
      </c>
      <c r="AH41" s="232">
        <v>25.252525252525253</v>
      </c>
      <c r="AI41" s="232">
        <v>25.380710659898476</v>
      </c>
      <c r="AJ41" s="232">
        <v>25.510204081632654</v>
      </c>
      <c r="AK41" s="232">
        <v>30.76923076923077</v>
      </c>
      <c r="AL41" s="232">
        <v>25.641025641025642</v>
      </c>
    </row>
    <row r="42" spans="2:38" x14ac:dyDescent="0.25">
      <c r="B42" s="72">
        <v>4.4198895027624308E-2</v>
      </c>
      <c r="C42" s="72">
        <v>3.8461538461538464E-2</v>
      </c>
      <c r="D42" s="72">
        <v>3.3333333333333333E-2</v>
      </c>
      <c r="E42" s="72">
        <v>1.11731843575419E-2</v>
      </c>
      <c r="F42" s="72">
        <v>0</v>
      </c>
      <c r="H42" s="72">
        <v>2.7624309392265192E-2</v>
      </c>
      <c r="I42" s="72">
        <v>2.7472527472527472E-2</v>
      </c>
      <c r="J42" s="72">
        <v>2.2222222222222223E-2</v>
      </c>
      <c r="K42" s="72">
        <v>1.6759776536312849E-2</v>
      </c>
      <c r="L42" s="72">
        <v>1.6853932584269662E-2</v>
      </c>
      <c r="N42" s="72">
        <v>0.33333333333333331</v>
      </c>
      <c r="O42" s="72">
        <v>0.33333333333333331</v>
      </c>
      <c r="P42" s="72">
        <v>0.16666666666666666</v>
      </c>
      <c r="Q42" s="72">
        <v>0.14285714285714285</v>
      </c>
      <c r="R42" s="72">
        <v>0.14285714285714285</v>
      </c>
      <c r="T42" s="72">
        <v>4.5454545454545456E-2</v>
      </c>
      <c r="U42" s="72">
        <v>0.04</v>
      </c>
      <c r="V42" s="72">
        <v>3.9325842696629212E-2</v>
      </c>
      <c r="W42" s="72">
        <v>3.3333333333333333E-2</v>
      </c>
      <c r="X42" s="72">
        <v>2.7624309392265192E-2</v>
      </c>
      <c r="Y42" s="72">
        <v>2.7472527472527472E-2</v>
      </c>
      <c r="Z42" s="72">
        <v>2.185792349726776E-2</v>
      </c>
      <c r="AA42" s="72">
        <v>2.197802197802198E-2</v>
      </c>
      <c r="AB42" s="72">
        <v>2.2222222222222223E-2</v>
      </c>
      <c r="AD42" s="232">
        <v>17.045454545454547</v>
      </c>
      <c r="AE42" s="232">
        <v>17.142857142857142</v>
      </c>
      <c r="AF42" s="232">
        <v>11.235955056179776</v>
      </c>
      <c r="AG42" s="232">
        <v>11.111111111111111</v>
      </c>
      <c r="AH42" s="232">
        <v>5.5248618784530388</v>
      </c>
      <c r="AI42" s="232">
        <v>5.4945054945054945</v>
      </c>
      <c r="AJ42" s="232">
        <v>10.928961748633879</v>
      </c>
      <c r="AK42" s="232">
        <v>10.989010989010989</v>
      </c>
      <c r="AL42" s="232">
        <v>11.111111111111111</v>
      </c>
    </row>
    <row r="43" spans="2:38" x14ac:dyDescent="0.25">
      <c r="B43" s="72">
        <v>6.1855670103092786E-2</v>
      </c>
      <c r="C43" s="72">
        <v>5.2083333333333336E-2</v>
      </c>
      <c r="D43" s="72">
        <v>1.5544041450777202E-2</v>
      </c>
      <c r="E43" s="72">
        <v>5.1813471502590676E-3</v>
      </c>
      <c r="F43" s="72">
        <v>0</v>
      </c>
      <c r="H43" s="72">
        <v>4.1237113402061855E-2</v>
      </c>
      <c r="I43" s="72">
        <v>4.1666666666666664E-2</v>
      </c>
      <c r="J43" s="72">
        <v>4.145077720207254E-2</v>
      </c>
      <c r="K43" s="72">
        <v>3.6269430051813469E-2</v>
      </c>
      <c r="L43" s="72">
        <v>2.0942408376963352E-2</v>
      </c>
      <c r="N43" s="72">
        <v>0.7</v>
      </c>
      <c r="O43" s="72">
        <v>0.72727272727272729</v>
      </c>
      <c r="P43" s="72">
        <v>0.54545454545454541</v>
      </c>
      <c r="Q43" s="72">
        <v>0.45454545454545453</v>
      </c>
      <c r="R43" s="72">
        <v>0.3</v>
      </c>
      <c r="T43" s="72">
        <v>4.3243243243243246E-2</v>
      </c>
      <c r="U43" s="72">
        <v>3.783783783783784E-2</v>
      </c>
      <c r="V43" s="72">
        <v>2.6881720430107527E-2</v>
      </c>
      <c r="W43" s="72">
        <v>3.1914893617021274E-2</v>
      </c>
      <c r="X43" s="72">
        <v>4.1237113402061855E-2</v>
      </c>
      <c r="Y43" s="72">
        <v>3.6269430051813469E-2</v>
      </c>
      <c r="Z43" s="72">
        <v>3.6269430051813469E-2</v>
      </c>
      <c r="AA43" s="72">
        <v>3.1578947368421054E-2</v>
      </c>
      <c r="AB43" s="72">
        <v>3.125E-2</v>
      </c>
      <c r="AD43" s="232">
        <v>32.432432432432435</v>
      </c>
      <c r="AE43" s="232">
        <v>21.621621621621621</v>
      </c>
      <c r="AF43" s="232">
        <v>26.881720430107528</v>
      </c>
      <c r="AG43" s="232">
        <v>31.914893617021278</v>
      </c>
      <c r="AH43" s="232">
        <v>36.082474226804123</v>
      </c>
      <c r="AI43" s="232">
        <v>36.269430051813472</v>
      </c>
      <c r="AJ43" s="232">
        <v>36.269430051813472</v>
      </c>
      <c r="AK43" s="232">
        <v>36.842105263157897</v>
      </c>
      <c r="AL43" s="232">
        <v>31.25</v>
      </c>
    </row>
    <row r="44" spans="2:38" x14ac:dyDescent="0.25">
      <c r="B44" s="72">
        <v>4.5226130653266333E-2</v>
      </c>
      <c r="C44" s="72">
        <v>3.5000000000000003E-2</v>
      </c>
      <c r="D44" s="72">
        <v>0.03</v>
      </c>
      <c r="E44" s="72">
        <v>2.5125628140703519E-2</v>
      </c>
      <c r="F44" s="72">
        <v>0</v>
      </c>
      <c r="H44" s="72">
        <v>4.0201005025125629E-2</v>
      </c>
      <c r="I44" s="72">
        <v>3.5000000000000003E-2</v>
      </c>
      <c r="J44" s="72">
        <v>0.03</v>
      </c>
      <c r="K44" s="72">
        <v>3.015075376884422E-2</v>
      </c>
      <c r="L44" s="72">
        <v>2.0202020202020204E-2</v>
      </c>
      <c r="N44" s="72">
        <v>0.5</v>
      </c>
      <c r="O44" s="72">
        <v>0.4</v>
      </c>
      <c r="P44" s="72">
        <v>0.4</v>
      </c>
      <c r="Q44" s="72">
        <v>0.33333333333333331</v>
      </c>
      <c r="R44" s="72">
        <v>0.33333333333333331</v>
      </c>
      <c r="T44" s="72">
        <v>7.179487179487179E-2</v>
      </c>
      <c r="U44" s="72">
        <v>6.0606060606060608E-2</v>
      </c>
      <c r="V44" s="72">
        <v>5.9701492537313432E-2</v>
      </c>
      <c r="W44" s="72">
        <v>4.9504950495049507E-2</v>
      </c>
      <c r="X44" s="72">
        <v>4.0201005025125629E-2</v>
      </c>
      <c r="Y44" s="72">
        <v>4.0201005025125629E-2</v>
      </c>
      <c r="Z44" s="72">
        <v>4.0201005025125629E-2</v>
      </c>
      <c r="AA44" s="72">
        <v>3.5175879396984924E-2</v>
      </c>
      <c r="AB44" s="72">
        <v>3.482587064676617E-2</v>
      </c>
      <c r="AD44" s="232">
        <v>41.025641025641029</v>
      </c>
      <c r="AE44" s="232">
        <v>25.252525252525253</v>
      </c>
      <c r="AF44" s="232">
        <v>19.900497512437809</v>
      </c>
      <c r="AG44" s="232">
        <v>14.851485148514852</v>
      </c>
      <c r="AH44" s="232">
        <v>15.075376884422111</v>
      </c>
      <c r="AI44" s="232">
        <v>15.075376884422111</v>
      </c>
      <c r="AJ44" s="232">
        <v>10.050251256281408</v>
      </c>
      <c r="AK44" s="232">
        <v>10.050251256281408</v>
      </c>
      <c r="AL44" s="232">
        <v>9.9502487562189046</v>
      </c>
    </row>
    <row r="45" spans="2:38" x14ac:dyDescent="0.25">
      <c r="B45" s="72">
        <v>6.5476190476190479E-2</v>
      </c>
      <c r="C45" s="72">
        <v>5.2631578947368418E-2</v>
      </c>
      <c r="D45" s="72">
        <v>3.5087719298245612E-2</v>
      </c>
      <c r="E45" s="72">
        <v>1.1627906976744186E-2</v>
      </c>
      <c r="F45" s="72">
        <v>0</v>
      </c>
      <c r="H45" s="72">
        <v>2.976190476190476E-2</v>
      </c>
      <c r="I45" s="72">
        <v>2.3391812865497075E-2</v>
      </c>
      <c r="J45" s="72">
        <v>2.3391812865497075E-2</v>
      </c>
      <c r="K45" s="72">
        <v>2.3255813953488372E-2</v>
      </c>
      <c r="L45" s="72">
        <v>2.3255813953488372E-2</v>
      </c>
      <c r="N45" s="72">
        <v>0.5</v>
      </c>
      <c r="O45" s="72">
        <v>0</v>
      </c>
      <c r="P45" s="72">
        <v>0</v>
      </c>
      <c r="Q45" s="72">
        <v>0</v>
      </c>
      <c r="R45" s="72">
        <v>0</v>
      </c>
      <c r="T45" s="72">
        <v>2.3952095808383235E-2</v>
      </c>
      <c r="U45" s="72">
        <v>1.7647058823529412E-2</v>
      </c>
      <c r="V45" s="72">
        <v>2.9940119760479042E-2</v>
      </c>
      <c r="W45" s="72">
        <v>2.3809523809523808E-2</v>
      </c>
      <c r="X45" s="72">
        <v>2.976190476190476E-2</v>
      </c>
      <c r="Y45" s="72">
        <v>2.9411764705882353E-2</v>
      </c>
      <c r="Z45" s="72">
        <v>2.3668639053254437E-2</v>
      </c>
      <c r="AA45" s="72">
        <v>2.3529411764705882E-2</v>
      </c>
      <c r="AB45" s="72">
        <v>2.3668639053254437E-2</v>
      </c>
      <c r="AD45" s="232">
        <v>17.964071856287426</v>
      </c>
      <c r="AE45" s="232">
        <v>11.764705882352942</v>
      </c>
      <c r="AF45" s="232">
        <v>17.964071856287426</v>
      </c>
      <c r="AG45" s="232">
        <v>11.904761904761905</v>
      </c>
      <c r="AH45" s="232">
        <v>11.904761904761905</v>
      </c>
      <c r="AI45" s="232">
        <v>11.764705882352942</v>
      </c>
      <c r="AJ45" s="232">
        <v>11.834319526627219</v>
      </c>
      <c r="AK45" s="232">
        <v>11.764705882352942</v>
      </c>
      <c r="AL45" s="232">
        <v>17.751479289940828</v>
      </c>
    </row>
    <row r="46" spans="2:38" x14ac:dyDescent="0.25">
      <c r="B46" s="72">
        <v>8.4210526315789472E-2</v>
      </c>
      <c r="C46" s="72">
        <v>7.4468085106382975E-2</v>
      </c>
      <c r="D46" s="72">
        <v>4.8387096774193547E-2</v>
      </c>
      <c r="E46" s="72">
        <v>2.6737967914438502E-2</v>
      </c>
      <c r="F46" s="72">
        <v>0</v>
      </c>
      <c r="H46" s="72">
        <v>3.6842105263157891E-2</v>
      </c>
      <c r="I46" s="72">
        <v>2.6595744680851064E-2</v>
      </c>
      <c r="J46" s="72">
        <v>2.6881720430107527E-2</v>
      </c>
      <c r="K46" s="72">
        <v>2.1390374331550801E-2</v>
      </c>
      <c r="L46" s="72">
        <v>1.0752688172043012E-2</v>
      </c>
      <c r="N46" s="72">
        <v>0.8</v>
      </c>
      <c r="O46" s="72">
        <v>0.7</v>
      </c>
      <c r="P46" s="72">
        <v>0.63636363636363635</v>
      </c>
      <c r="Q46" s="72">
        <v>0.44444444444444442</v>
      </c>
      <c r="R46" s="72">
        <v>0.3</v>
      </c>
      <c r="T46" s="72">
        <v>5.8510638297872342E-2</v>
      </c>
      <c r="U46" s="72">
        <v>4.7619047619047616E-2</v>
      </c>
      <c r="V46" s="72">
        <v>4.2105263157894736E-2</v>
      </c>
      <c r="W46" s="72">
        <v>3.2085561497326207E-2</v>
      </c>
      <c r="X46" s="72">
        <v>3.6842105263157891E-2</v>
      </c>
      <c r="Y46" s="72">
        <v>3.6458333333333336E-2</v>
      </c>
      <c r="Z46" s="72">
        <v>3.6458333333333336E-2</v>
      </c>
      <c r="AA46" s="72">
        <v>3.125E-2</v>
      </c>
      <c r="AB46" s="72">
        <v>3.125E-2</v>
      </c>
      <c r="AD46" s="232">
        <v>37.234042553191486</v>
      </c>
      <c r="AE46" s="232">
        <v>42.328042328042329</v>
      </c>
      <c r="AF46" s="232">
        <v>36.842105263157897</v>
      </c>
      <c r="AG46" s="232">
        <v>42.780748663101605</v>
      </c>
      <c r="AH46" s="232">
        <v>42.10526315789474</v>
      </c>
      <c r="AI46" s="232">
        <v>46.875</v>
      </c>
      <c r="AJ46" s="232">
        <v>41.666666666666664</v>
      </c>
      <c r="AK46" s="232">
        <v>46.875</v>
      </c>
      <c r="AL46" s="232">
        <v>46.875</v>
      </c>
    </row>
    <row r="47" spans="2:38" x14ac:dyDescent="0.25">
      <c r="B47" s="72">
        <v>5.4644808743169397E-2</v>
      </c>
      <c r="C47" s="72">
        <v>4.8913043478260872E-2</v>
      </c>
      <c r="D47" s="72">
        <v>3.7634408602150539E-2</v>
      </c>
      <c r="E47" s="72">
        <v>1.0582010582010581E-2</v>
      </c>
      <c r="F47" s="72">
        <v>5.3191489361702126E-3</v>
      </c>
      <c r="H47" s="72">
        <v>2.7322404371584699E-2</v>
      </c>
      <c r="I47" s="72">
        <v>2.1739130434782608E-2</v>
      </c>
      <c r="J47" s="72">
        <v>1.6129032258064516E-2</v>
      </c>
      <c r="K47" s="72">
        <v>1.5873015873015872E-2</v>
      </c>
      <c r="L47" s="72">
        <v>1.5957446808510637E-2</v>
      </c>
      <c r="N47" s="72">
        <v>0.6875</v>
      </c>
      <c r="O47" s="72">
        <v>0.66666666666666663</v>
      </c>
      <c r="P47" s="72">
        <v>0.66666666666666663</v>
      </c>
      <c r="Q47" s="72">
        <v>0.75</v>
      </c>
      <c r="R47" s="72">
        <v>0.75</v>
      </c>
      <c r="T47" s="72">
        <v>3.7634408602150539E-2</v>
      </c>
      <c r="U47" s="72">
        <v>3.7634408602150539E-2</v>
      </c>
      <c r="V47" s="72">
        <v>2.7027027027027029E-2</v>
      </c>
      <c r="W47" s="72">
        <v>2.185792349726776E-2</v>
      </c>
      <c r="X47" s="72">
        <v>2.7322404371584699E-2</v>
      </c>
      <c r="Y47" s="72">
        <v>2.6881720430107527E-2</v>
      </c>
      <c r="Z47" s="72">
        <v>2.6595744680851064E-2</v>
      </c>
      <c r="AA47" s="72">
        <v>2.6595744680851064E-2</v>
      </c>
      <c r="AB47" s="72">
        <v>2.6315789473684209E-2</v>
      </c>
      <c r="AD47" s="232">
        <v>64.516129032258064</v>
      </c>
      <c r="AE47" s="232">
        <v>53.763440860215056</v>
      </c>
      <c r="AF47" s="232">
        <v>54.054054054054056</v>
      </c>
      <c r="AG47" s="232">
        <v>54.644808743169399</v>
      </c>
      <c r="AH47" s="232">
        <v>60.10928961748634</v>
      </c>
      <c r="AI47" s="232">
        <v>53.763440860215056</v>
      </c>
      <c r="AJ47" s="232">
        <v>53.191489361702125</v>
      </c>
      <c r="AK47" s="232">
        <v>47.872340425531917</v>
      </c>
      <c r="AL47" s="232">
        <v>47.368421052631582</v>
      </c>
    </row>
    <row r="48" spans="2:38" x14ac:dyDescent="0.25">
      <c r="B48" s="72">
        <v>0.1111111111111111</v>
      </c>
      <c r="C48" s="72">
        <v>9.3567251461988299E-2</v>
      </c>
      <c r="D48" s="72">
        <v>5.8823529411764705E-2</v>
      </c>
      <c r="E48" s="72">
        <v>2.9411764705882353E-2</v>
      </c>
      <c r="F48" s="72">
        <v>0</v>
      </c>
      <c r="H48" s="72">
        <v>2.3391812865497075E-2</v>
      </c>
      <c r="I48" s="72">
        <v>2.3391812865497075E-2</v>
      </c>
      <c r="J48" s="72">
        <v>2.3529411764705882E-2</v>
      </c>
      <c r="K48" s="72">
        <v>2.3529411764705882E-2</v>
      </c>
      <c r="L48" s="72">
        <v>2.3668639053254437E-2</v>
      </c>
      <c r="N48" s="72">
        <v>0.14285714285714285</v>
      </c>
      <c r="O48" s="72">
        <v>0.14285714285714285</v>
      </c>
      <c r="P48" s="72">
        <v>0.14285714285714285</v>
      </c>
      <c r="Q48" s="72">
        <v>0.14285714285714285</v>
      </c>
      <c r="R48" s="72">
        <v>0.125</v>
      </c>
      <c r="T48" s="72">
        <v>4.2424242424242427E-2</v>
      </c>
      <c r="U48" s="72">
        <v>4.1666666666666664E-2</v>
      </c>
      <c r="V48" s="72">
        <v>3.5087719298245612E-2</v>
      </c>
      <c r="W48" s="72">
        <v>2.9069767441860465E-2</v>
      </c>
      <c r="X48" s="72">
        <v>2.3391812865497075E-2</v>
      </c>
      <c r="Y48" s="72">
        <v>2.3391812865497075E-2</v>
      </c>
      <c r="Z48" s="72">
        <v>2.3529411764705882E-2</v>
      </c>
      <c r="AA48" s="72">
        <v>2.3529411764705882E-2</v>
      </c>
      <c r="AB48" s="72">
        <v>2.3391812865497075E-2</v>
      </c>
      <c r="AD48" s="232">
        <v>48.484848484848484</v>
      </c>
      <c r="AE48" s="232">
        <v>29.761904761904763</v>
      </c>
      <c r="AF48" s="232">
        <v>29.239766081871345</v>
      </c>
      <c r="AG48" s="232">
        <v>17.441860465116278</v>
      </c>
      <c r="AH48" s="232">
        <v>5.8479532163742691</v>
      </c>
      <c r="AI48" s="232">
        <v>5.8479532163742691</v>
      </c>
      <c r="AJ48" s="232">
        <v>5.882352941176471</v>
      </c>
      <c r="AK48" s="232">
        <v>5.882352941176471</v>
      </c>
      <c r="AL48" s="232">
        <v>5.8479532163742691</v>
      </c>
    </row>
    <row r="49" spans="2:38" x14ac:dyDescent="0.25">
      <c r="B49" s="72">
        <v>7.2916666666666671E-2</v>
      </c>
      <c r="C49" s="72">
        <v>6.1855670103092786E-2</v>
      </c>
      <c r="D49" s="72">
        <v>2.564102564102564E-2</v>
      </c>
      <c r="E49" s="72">
        <v>5.0505050505050509E-3</v>
      </c>
      <c r="F49" s="72">
        <v>0</v>
      </c>
      <c r="H49" s="72">
        <v>3.125E-2</v>
      </c>
      <c r="I49" s="72">
        <v>3.0927835051546393E-2</v>
      </c>
      <c r="J49" s="72">
        <v>3.0769230769230771E-2</v>
      </c>
      <c r="K49" s="72">
        <v>3.5353535353535352E-2</v>
      </c>
      <c r="L49" s="72">
        <v>4.0201005025125629E-2</v>
      </c>
      <c r="N49" s="72">
        <v>0.66666666666666663</v>
      </c>
      <c r="O49" s="72">
        <v>0.66666666666666663</v>
      </c>
      <c r="P49" s="72">
        <v>0.72727272727272729</v>
      </c>
      <c r="Q49" s="72">
        <v>0.72727272727272729</v>
      </c>
      <c r="R49" s="72">
        <v>0.61538461538461542</v>
      </c>
      <c r="T49" s="72">
        <v>6.5573770491803282E-2</v>
      </c>
      <c r="U49" s="72">
        <v>4.7619047619047616E-2</v>
      </c>
      <c r="V49" s="72">
        <v>3.7037037037037035E-2</v>
      </c>
      <c r="W49" s="72">
        <v>3.7037037037037035E-2</v>
      </c>
      <c r="X49" s="72">
        <v>3.125E-2</v>
      </c>
      <c r="Y49" s="72">
        <v>3.6458333333333336E-2</v>
      </c>
      <c r="Z49" s="72">
        <v>3.6269430051813469E-2</v>
      </c>
      <c r="AA49" s="72">
        <v>3.6269430051813469E-2</v>
      </c>
      <c r="AB49" s="72">
        <v>3.5897435897435895E-2</v>
      </c>
      <c r="AD49" s="232">
        <v>60.10928961748634</v>
      </c>
      <c r="AE49" s="232">
        <v>42.328042328042329</v>
      </c>
      <c r="AF49" s="232">
        <v>42.328042328042329</v>
      </c>
      <c r="AG49" s="232">
        <v>52.910052910052912</v>
      </c>
      <c r="AH49" s="232">
        <v>52.083333333333336</v>
      </c>
      <c r="AI49" s="232">
        <v>52.083333333333336</v>
      </c>
      <c r="AJ49" s="232">
        <v>41.450777202072537</v>
      </c>
      <c r="AK49" s="232">
        <v>41.450777202072537</v>
      </c>
      <c r="AL49" s="232">
        <v>35.897435897435898</v>
      </c>
    </row>
    <row r="50" spans="2:38" x14ac:dyDescent="0.25">
      <c r="B50" s="72">
        <v>5.1020408163265307E-2</v>
      </c>
      <c r="C50" s="72">
        <v>3.0612244897959183E-2</v>
      </c>
      <c r="D50" s="72">
        <v>2.5773195876288658E-2</v>
      </c>
      <c r="E50" s="72">
        <v>5.1813471502590676E-3</v>
      </c>
      <c r="F50" s="72">
        <v>0</v>
      </c>
      <c r="H50" s="72">
        <v>1.5306122448979591E-2</v>
      </c>
      <c r="I50" s="72">
        <v>1.5306122448979591E-2</v>
      </c>
      <c r="J50" s="72">
        <v>1.0309278350515464E-2</v>
      </c>
      <c r="K50" s="72">
        <v>1.0362694300518135E-2</v>
      </c>
      <c r="L50" s="72">
        <v>1.0362694300518135E-2</v>
      </c>
      <c r="N50" s="72">
        <v>0.5714285714285714</v>
      </c>
      <c r="O50" s="72">
        <v>0.5714285714285714</v>
      </c>
      <c r="P50" s="72">
        <v>0.5</v>
      </c>
      <c r="Q50" s="72">
        <v>0.44444444444444442</v>
      </c>
      <c r="R50" s="72">
        <v>0.4</v>
      </c>
      <c r="T50" s="72">
        <v>2.072538860103627E-2</v>
      </c>
      <c r="U50" s="72">
        <v>2.5510204081632654E-2</v>
      </c>
      <c r="V50" s="72">
        <v>1.020408163265306E-2</v>
      </c>
      <c r="W50" s="72">
        <v>1.5151515151515152E-2</v>
      </c>
      <c r="X50" s="72">
        <v>1.5306122448979591E-2</v>
      </c>
      <c r="Y50" s="72">
        <v>1.5306122448979591E-2</v>
      </c>
      <c r="Z50" s="72">
        <v>1.5544041450777202E-2</v>
      </c>
      <c r="AA50" s="72">
        <v>1.5384615384615385E-2</v>
      </c>
      <c r="AB50" s="72">
        <v>2.072538860103627E-2</v>
      </c>
      <c r="AD50" s="232">
        <v>36.269430051813472</v>
      </c>
      <c r="AE50" s="232">
        <v>35.714285714285715</v>
      </c>
      <c r="AF50" s="232">
        <v>30.612244897959183</v>
      </c>
      <c r="AG50" s="232">
        <v>20.202020202020201</v>
      </c>
      <c r="AH50" s="232">
        <v>20.408163265306122</v>
      </c>
      <c r="AI50" s="232">
        <v>20.408163265306122</v>
      </c>
      <c r="AJ50" s="232">
        <v>20.725388601036268</v>
      </c>
      <c r="AK50" s="232">
        <v>15.384615384615385</v>
      </c>
      <c r="AL50" s="232">
        <v>15.544041450777202</v>
      </c>
    </row>
    <row r="51" spans="2:38" x14ac:dyDescent="0.25">
      <c r="B51" s="72">
        <v>6.9148936170212769E-2</v>
      </c>
      <c r="C51" s="72">
        <v>5.8510638297872342E-2</v>
      </c>
      <c r="D51" s="72">
        <v>5.3475935828877004E-2</v>
      </c>
      <c r="E51" s="72">
        <v>2.1505376344086023E-2</v>
      </c>
      <c r="F51" s="72">
        <v>0</v>
      </c>
      <c r="H51" s="72">
        <v>2.6595744680851064E-2</v>
      </c>
      <c r="I51" s="72">
        <v>2.1276595744680851E-2</v>
      </c>
      <c r="J51" s="72">
        <v>2.1390374331550801E-2</v>
      </c>
      <c r="K51" s="72">
        <v>2.1505376344086023E-2</v>
      </c>
      <c r="L51" s="72">
        <v>5.4644808743169399E-3</v>
      </c>
      <c r="N51" s="72">
        <v>0.7142857142857143</v>
      </c>
      <c r="O51" s="72">
        <v>0.8571428571428571</v>
      </c>
      <c r="P51" s="72">
        <v>0.8571428571428571</v>
      </c>
      <c r="Q51" s="72">
        <v>0.8571428571428571</v>
      </c>
      <c r="R51" s="72">
        <v>0.7142857142857143</v>
      </c>
      <c r="T51" s="72">
        <v>7.18232044198895E-2</v>
      </c>
      <c r="U51" s="72">
        <v>7.0652173913043473E-2</v>
      </c>
      <c r="V51" s="72">
        <v>4.8913043478260872E-2</v>
      </c>
      <c r="W51" s="72">
        <v>3.7433155080213901E-2</v>
      </c>
      <c r="X51" s="72">
        <v>2.6595744680851064E-2</v>
      </c>
      <c r="Y51" s="72">
        <v>2.6737967914438502E-2</v>
      </c>
      <c r="Z51" s="72">
        <v>2.6595744680851064E-2</v>
      </c>
      <c r="AA51" s="72">
        <v>2.6178010471204188E-2</v>
      </c>
      <c r="AB51" s="72">
        <v>2.6041666666666668E-2</v>
      </c>
      <c r="AD51" s="232">
        <v>49.723756906077348</v>
      </c>
      <c r="AE51" s="232">
        <v>43.478260869565219</v>
      </c>
      <c r="AF51" s="232">
        <v>43.478260869565219</v>
      </c>
      <c r="AG51" s="232">
        <v>42.780748663101605</v>
      </c>
      <c r="AH51" s="232">
        <v>26.595744680851062</v>
      </c>
      <c r="AI51" s="232">
        <v>26.737967914438503</v>
      </c>
      <c r="AJ51" s="232">
        <v>26.595744680851062</v>
      </c>
      <c r="AK51" s="232">
        <v>26.178010471204189</v>
      </c>
      <c r="AL51" s="232">
        <v>26.041666666666668</v>
      </c>
    </row>
    <row r="52" spans="2:38" x14ac:dyDescent="0.25">
      <c r="B52" s="72">
        <v>5.0505050505050504E-2</v>
      </c>
      <c r="C52" s="72">
        <v>3.5175879396984924E-2</v>
      </c>
      <c r="D52" s="72">
        <v>2.0100502512562814E-2</v>
      </c>
      <c r="E52" s="72">
        <v>1.507537688442211E-2</v>
      </c>
      <c r="F52" s="72">
        <v>0</v>
      </c>
      <c r="H52" s="72">
        <v>3.5353535353535352E-2</v>
      </c>
      <c r="I52" s="72">
        <v>4.0201005025125629E-2</v>
      </c>
      <c r="J52" s="72">
        <v>2.5125628140703519E-2</v>
      </c>
      <c r="K52" s="72">
        <v>2.5125628140703519E-2</v>
      </c>
      <c r="L52" s="72">
        <v>2.0202020202020204E-2</v>
      </c>
      <c r="N52" s="72">
        <v>0.66666666666666663</v>
      </c>
      <c r="O52" s="72">
        <v>0.75</v>
      </c>
      <c r="P52" s="72">
        <v>0.44444444444444442</v>
      </c>
      <c r="Q52" s="72">
        <v>0.25</v>
      </c>
      <c r="R52" s="72">
        <v>0.25</v>
      </c>
      <c r="T52" s="72">
        <v>6.0606060606060608E-2</v>
      </c>
      <c r="U52" s="72">
        <v>5.5276381909547742E-2</v>
      </c>
      <c r="V52" s="72">
        <v>6.030150753768844E-2</v>
      </c>
      <c r="W52" s="72">
        <v>4.0404040404040407E-2</v>
      </c>
      <c r="X52" s="72">
        <v>3.5353535353535352E-2</v>
      </c>
      <c r="Y52" s="72">
        <v>3.5353535353535352E-2</v>
      </c>
      <c r="Z52" s="72">
        <v>4.0201005025125629E-2</v>
      </c>
      <c r="AA52" s="72">
        <v>4.0201005025125629E-2</v>
      </c>
      <c r="AB52" s="72">
        <v>0.04</v>
      </c>
      <c r="AD52" s="232">
        <v>15.151515151515152</v>
      </c>
      <c r="AE52" s="232">
        <v>20.100502512562816</v>
      </c>
      <c r="AF52" s="232">
        <v>20.100502512562816</v>
      </c>
      <c r="AG52" s="232">
        <v>25.252525252525253</v>
      </c>
      <c r="AH52" s="232">
        <v>30.303030303030305</v>
      </c>
      <c r="AI52" s="232">
        <v>30.303030303030305</v>
      </c>
      <c r="AJ52" s="232">
        <v>35.175879396984925</v>
      </c>
      <c r="AK52" s="232">
        <v>35.175879396984925</v>
      </c>
      <c r="AL52" s="232">
        <v>30</v>
      </c>
    </row>
    <row r="53" spans="2:38" x14ac:dyDescent="0.25">
      <c r="B53" s="72">
        <v>8.4269662921348312E-2</v>
      </c>
      <c r="C53" s="72">
        <v>6.1797752808988762E-2</v>
      </c>
      <c r="D53" s="72">
        <v>5.0847457627118647E-2</v>
      </c>
      <c r="E53" s="72">
        <v>2.2857142857142857E-2</v>
      </c>
      <c r="F53" s="72">
        <v>0</v>
      </c>
      <c r="H53" s="72">
        <v>5.0561797752808987E-2</v>
      </c>
      <c r="I53" s="72">
        <v>3.3707865168539325E-2</v>
      </c>
      <c r="J53" s="72">
        <v>3.3898305084745763E-2</v>
      </c>
      <c r="K53" s="72">
        <v>2.8571428571428571E-2</v>
      </c>
      <c r="L53" s="72">
        <v>2.8735632183908046E-2</v>
      </c>
      <c r="N53" s="72">
        <v>0.22222222222222221</v>
      </c>
      <c r="O53" s="72">
        <v>0.1111111111111111</v>
      </c>
      <c r="P53" s="72">
        <v>0.1111111111111111</v>
      </c>
      <c r="Q53" s="72">
        <v>0.1</v>
      </c>
      <c r="R53" s="72">
        <v>9.0909090909090912E-2</v>
      </c>
      <c r="T53" s="72">
        <v>3.4285714285714287E-2</v>
      </c>
      <c r="U53" s="72">
        <v>0.04</v>
      </c>
      <c r="V53" s="72">
        <v>5.1428571428571428E-2</v>
      </c>
      <c r="W53" s="72">
        <v>5.0847457627118647E-2</v>
      </c>
      <c r="X53" s="72">
        <v>5.0561797752808987E-2</v>
      </c>
      <c r="Y53" s="72">
        <v>4.519774011299435E-2</v>
      </c>
      <c r="Z53" s="72">
        <v>5.0561797752808987E-2</v>
      </c>
      <c r="AA53" s="72">
        <v>4.519774011299435E-2</v>
      </c>
      <c r="AB53" s="72">
        <v>4.5454545454545456E-2</v>
      </c>
      <c r="AD53" s="232">
        <v>40</v>
      </c>
      <c r="AE53" s="232">
        <v>40</v>
      </c>
      <c r="AF53" s="232">
        <v>34.285714285714285</v>
      </c>
      <c r="AG53" s="232">
        <v>22.598870056497177</v>
      </c>
      <c r="AH53" s="232">
        <v>11.235955056179776</v>
      </c>
      <c r="AI53" s="232">
        <v>11.299435028248588</v>
      </c>
      <c r="AJ53" s="232">
        <v>11.235955056179776</v>
      </c>
      <c r="AK53" s="232">
        <v>11.299435028248588</v>
      </c>
      <c r="AL53" s="232">
        <v>11.363636363636363</v>
      </c>
    </row>
    <row r="54" spans="2:38" x14ac:dyDescent="0.25">
      <c r="B54" s="72">
        <v>5.181347150259067E-2</v>
      </c>
      <c r="C54" s="72">
        <v>4.6632124352331605E-2</v>
      </c>
      <c r="D54" s="72">
        <v>3.125E-2</v>
      </c>
      <c r="E54" s="72">
        <v>1.5873015873015872E-2</v>
      </c>
      <c r="F54" s="72">
        <v>0</v>
      </c>
      <c r="H54" s="72">
        <v>7.2538860103626937E-2</v>
      </c>
      <c r="I54" s="72">
        <v>6.7357512953367879E-2</v>
      </c>
      <c r="J54" s="72">
        <v>6.7708333333333329E-2</v>
      </c>
      <c r="K54" s="72">
        <v>6.3492063492063489E-2</v>
      </c>
      <c r="L54" s="72">
        <v>4.8913043478260872E-2</v>
      </c>
      <c r="N54" s="72">
        <v>0.66666666666666663</v>
      </c>
      <c r="O54" s="72">
        <v>0.66666666666666663</v>
      </c>
      <c r="P54" s="72">
        <v>0.66666666666666663</v>
      </c>
      <c r="Q54" s="72">
        <v>0.4</v>
      </c>
      <c r="R54" s="72">
        <v>0.4</v>
      </c>
      <c r="T54" s="72">
        <v>5.1428571428571428E-2</v>
      </c>
      <c r="U54" s="72">
        <v>0.05</v>
      </c>
      <c r="V54" s="72">
        <v>6.5934065934065936E-2</v>
      </c>
      <c r="W54" s="72">
        <v>6.4171122994652413E-2</v>
      </c>
      <c r="X54" s="72">
        <v>7.2538860103626937E-2</v>
      </c>
      <c r="Y54" s="72">
        <v>7.2916666666666671E-2</v>
      </c>
      <c r="Z54" s="72">
        <v>6.8062827225130892E-2</v>
      </c>
      <c r="AA54" s="72">
        <v>6.9148936170212769E-2</v>
      </c>
      <c r="AB54" s="72">
        <v>6.8783068783068779E-2</v>
      </c>
      <c r="AD54" s="232">
        <v>28.571428571428573</v>
      </c>
      <c r="AE54" s="232">
        <v>27.777777777777779</v>
      </c>
      <c r="AF54" s="232">
        <v>21.978021978021978</v>
      </c>
      <c r="AG54" s="232">
        <v>10.695187165775401</v>
      </c>
      <c r="AH54" s="232">
        <v>10.362694300518134</v>
      </c>
      <c r="AI54" s="232">
        <v>15.625</v>
      </c>
      <c r="AJ54" s="232">
        <v>15.706806282722512</v>
      </c>
      <c r="AK54" s="232">
        <v>21.276595744680851</v>
      </c>
      <c r="AL54" s="232">
        <v>21.164021164021165</v>
      </c>
    </row>
    <row r="55" spans="2:38" x14ac:dyDescent="0.25">
      <c r="B55" s="72">
        <v>6.030150753768844E-2</v>
      </c>
      <c r="C55" s="72">
        <v>5.0251256281407038E-2</v>
      </c>
      <c r="D55" s="72">
        <v>3.015075376884422E-2</v>
      </c>
      <c r="E55" s="72">
        <v>2.5000000000000001E-2</v>
      </c>
      <c r="F55" s="72">
        <v>0</v>
      </c>
      <c r="H55" s="72">
        <v>4.0201005025125629E-2</v>
      </c>
      <c r="I55" s="72">
        <v>3.5175879396984924E-2</v>
      </c>
      <c r="J55" s="72">
        <v>3.015075376884422E-2</v>
      </c>
      <c r="K55" s="72">
        <v>0.04</v>
      </c>
      <c r="L55" s="72">
        <v>3.5353535353535352E-2</v>
      </c>
      <c r="N55" s="72">
        <v>0.625</v>
      </c>
      <c r="O55" s="72">
        <v>0.5</v>
      </c>
      <c r="P55" s="72">
        <v>0.5</v>
      </c>
      <c r="Q55" s="72">
        <v>0.5</v>
      </c>
      <c r="R55" s="72">
        <v>0.5</v>
      </c>
      <c r="T55" s="72">
        <v>5.6701030927835051E-2</v>
      </c>
      <c r="U55" s="72">
        <v>5.6122448979591837E-2</v>
      </c>
      <c r="V55" s="72">
        <v>4.5918367346938778E-2</v>
      </c>
      <c r="W55" s="72">
        <v>4.0201005025125629E-2</v>
      </c>
      <c r="X55" s="72">
        <v>4.0201005025125629E-2</v>
      </c>
      <c r="Y55" s="72">
        <v>4.0201005025125629E-2</v>
      </c>
      <c r="Z55" s="72">
        <v>4.0201005025125629E-2</v>
      </c>
      <c r="AA55" s="72">
        <v>0.04</v>
      </c>
      <c r="AB55" s="72">
        <v>4.5226130653266333E-2</v>
      </c>
      <c r="AD55" s="232">
        <v>41.237113402061858</v>
      </c>
      <c r="AE55" s="232">
        <v>35.714285714285715</v>
      </c>
      <c r="AF55" s="232">
        <v>30.612244897959183</v>
      </c>
      <c r="AG55" s="232">
        <v>25.125628140703519</v>
      </c>
      <c r="AH55" s="232">
        <v>25.125628140703519</v>
      </c>
      <c r="AI55" s="232">
        <v>20.100502512562816</v>
      </c>
      <c r="AJ55" s="232">
        <v>25.125628140703519</v>
      </c>
      <c r="AK55" s="232">
        <v>25</v>
      </c>
      <c r="AL55" s="232">
        <v>30.150753768844222</v>
      </c>
    </row>
    <row r="56" spans="2:38" x14ac:dyDescent="0.25">
      <c r="B56" s="72">
        <v>4.8648648648648651E-2</v>
      </c>
      <c r="C56" s="72">
        <v>3.7634408602150539E-2</v>
      </c>
      <c r="D56" s="72">
        <v>3.2258064516129031E-2</v>
      </c>
      <c r="E56" s="72">
        <v>2.1390374331550801E-2</v>
      </c>
      <c r="F56" s="72">
        <v>0</v>
      </c>
      <c r="H56" s="72">
        <v>3.783783783783784E-2</v>
      </c>
      <c r="I56" s="72">
        <v>3.7634408602150539E-2</v>
      </c>
      <c r="J56" s="72">
        <v>3.7634408602150539E-2</v>
      </c>
      <c r="K56" s="72">
        <v>4.2780748663101602E-2</v>
      </c>
      <c r="L56" s="72">
        <v>4.2780748663101602E-2</v>
      </c>
      <c r="N56" s="72">
        <v>0.5714285714285714</v>
      </c>
      <c r="O56" s="72">
        <v>0.5714285714285714</v>
      </c>
      <c r="P56" s="72">
        <v>0.5714285714285714</v>
      </c>
      <c r="Q56" s="72">
        <v>0.5714285714285714</v>
      </c>
      <c r="R56" s="72">
        <v>0.5714285714285714</v>
      </c>
      <c r="T56" s="72">
        <v>5.5865921787709494E-2</v>
      </c>
      <c r="U56" s="72">
        <v>4.9723756906077346E-2</v>
      </c>
      <c r="V56" s="72">
        <v>3.9106145251396648E-2</v>
      </c>
      <c r="W56" s="72">
        <v>3.2608695652173912E-2</v>
      </c>
      <c r="X56" s="72">
        <v>3.783783783783784E-2</v>
      </c>
      <c r="Y56" s="72">
        <v>3.8043478260869568E-2</v>
      </c>
      <c r="Z56" s="72">
        <v>3.8043478260869568E-2</v>
      </c>
      <c r="AA56" s="72">
        <v>4.2780748663101602E-2</v>
      </c>
      <c r="AB56" s="72">
        <v>3.7634408602150539E-2</v>
      </c>
      <c r="AD56" s="232">
        <v>5.5865921787709496</v>
      </c>
      <c r="AE56" s="232">
        <v>11.049723756906078</v>
      </c>
      <c r="AF56" s="232">
        <v>16.759776536312849</v>
      </c>
      <c r="AG56" s="232">
        <v>16.304347826086957</v>
      </c>
      <c r="AH56" s="232">
        <v>21.621621621621621</v>
      </c>
      <c r="AI56" s="232">
        <v>27.173913043478262</v>
      </c>
      <c r="AJ56" s="232">
        <v>27.173913043478262</v>
      </c>
      <c r="AK56" s="232">
        <v>26.737967914438503</v>
      </c>
      <c r="AL56" s="232">
        <v>26.881720430107528</v>
      </c>
    </row>
    <row r="57" spans="2:38" x14ac:dyDescent="0.25">
      <c r="B57" s="72">
        <v>9.0909090909090912E-2</v>
      </c>
      <c r="C57" s="72">
        <v>7.4866310160427801E-2</v>
      </c>
      <c r="D57" s="72">
        <v>5.8823529411764705E-2</v>
      </c>
      <c r="E57" s="72">
        <v>3.2258064516129031E-2</v>
      </c>
      <c r="F57" s="72">
        <v>0</v>
      </c>
      <c r="H57" s="72">
        <v>1.6042780748663103E-2</v>
      </c>
      <c r="I57" s="72">
        <v>1.06951871657754E-2</v>
      </c>
      <c r="J57" s="72">
        <v>1.06951871657754E-2</v>
      </c>
      <c r="K57" s="72">
        <v>1.0752688172043012E-2</v>
      </c>
      <c r="L57" s="72">
        <v>1.5957446808510637E-2</v>
      </c>
      <c r="N57" s="72">
        <v>0.7142857142857143</v>
      </c>
      <c r="O57" s="72">
        <v>0.66666666666666663</v>
      </c>
      <c r="P57" s="72">
        <v>0.66666666666666663</v>
      </c>
      <c r="Q57" s="72">
        <v>0.54545454545454541</v>
      </c>
      <c r="R57" s="72">
        <v>0.44444444444444442</v>
      </c>
      <c r="T57" s="72">
        <v>4.9450549450549448E-2</v>
      </c>
      <c r="U57" s="72">
        <v>3.3149171270718231E-2</v>
      </c>
      <c r="V57" s="72">
        <v>3.2432432432432434E-2</v>
      </c>
      <c r="W57" s="72">
        <v>2.1621621621621623E-2</v>
      </c>
      <c r="X57" s="72">
        <v>1.6042780748663103E-2</v>
      </c>
      <c r="Y57" s="72">
        <v>1.5873015873015872E-2</v>
      </c>
      <c r="Z57" s="72">
        <v>1.5957446808510637E-2</v>
      </c>
      <c r="AA57" s="72">
        <v>1.5957446808510637E-2</v>
      </c>
      <c r="AB57" s="72">
        <v>1.5789473684210527E-2</v>
      </c>
      <c r="AD57" s="232">
        <v>49.450549450549453</v>
      </c>
      <c r="AE57" s="232">
        <v>49.723756906077348</v>
      </c>
      <c r="AF57" s="232">
        <v>37.837837837837839</v>
      </c>
      <c r="AG57" s="232">
        <v>27.027027027027028</v>
      </c>
      <c r="AH57" s="232">
        <v>26.737967914438503</v>
      </c>
      <c r="AI57" s="232">
        <v>26.455026455026456</v>
      </c>
      <c r="AJ57" s="232">
        <v>26.595744680851062</v>
      </c>
      <c r="AK57" s="232">
        <v>26.595744680851062</v>
      </c>
      <c r="AL57" s="232">
        <v>26.315789473684209</v>
      </c>
    </row>
    <row r="58" spans="2:38" x14ac:dyDescent="0.25">
      <c r="B58" s="72">
        <v>4.2857142857142858E-2</v>
      </c>
      <c r="C58" s="72">
        <v>3.8277511961722487E-2</v>
      </c>
      <c r="D58" s="72">
        <v>4.7619047619047623E-3</v>
      </c>
      <c r="E58" s="72">
        <v>0</v>
      </c>
      <c r="F58" s="72">
        <v>0</v>
      </c>
      <c r="H58" s="72">
        <v>2.8571428571428571E-2</v>
      </c>
      <c r="I58" s="72">
        <v>2.8708133971291867E-2</v>
      </c>
      <c r="J58" s="72">
        <v>2.3809523809523808E-2</v>
      </c>
      <c r="K58" s="72">
        <v>1.8957345971563982E-2</v>
      </c>
      <c r="L58" s="72">
        <v>1.8691588785046728E-2</v>
      </c>
      <c r="N58" s="72">
        <v>0.66666666666666663</v>
      </c>
      <c r="O58" s="72">
        <v>0.66666666666666663</v>
      </c>
      <c r="P58" s="72">
        <v>0.55555555555555558</v>
      </c>
      <c r="Q58" s="72">
        <v>0.5</v>
      </c>
      <c r="R58" s="72">
        <v>0.375</v>
      </c>
      <c r="T58" s="72">
        <v>0.05</v>
      </c>
      <c r="U58" s="72">
        <v>3.4313725490196081E-2</v>
      </c>
      <c r="V58" s="72">
        <v>3.3492822966507178E-2</v>
      </c>
      <c r="W58" s="72">
        <v>3.3653846153846152E-2</v>
      </c>
      <c r="X58" s="72">
        <v>2.8571428571428571E-2</v>
      </c>
      <c r="Y58" s="72">
        <v>2.8708133971291867E-2</v>
      </c>
      <c r="Z58" s="72">
        <v>2.8985507246376812E-2</v>
      </c>
      <c r="AA58" s="72">
        <v>2.8846153846153848E-2</v>
      </c>
      <c r="AB58" s="72">
        <v>2.9126213592233011E-2</v>
      </c>
      <c r="AD58" s="232">
        <v>35</v>
      </c>
      <c r="AE58" s="232">
        <v>24.509803921568629</v>
      </c>
      <c r="AF58" s="232">
        <v>19.138755980861244</v>
      </c>
      <c r="AG58" s="232">
        <v>24.03846153846154</v>
      </c>
      <c r="AH58" s="232">
        <v>28.571428571428573</v>
      </c>
      <c r="AI58" s="232">
        <v>28.708133971291865</v>
      </c>
      <c r="AJ58" s="232">
        <v>28.985507246376812</v>
      </c>
      <c r="AK58" s="232">
        <v>28.846153846153847</v>
      </c>
      <c r="AL58" s="232">
        <v>33.980582524271846</v>
      </c>
    </row>
    <row r="59" spans="2:38" x14ac:dyDescent="0.25">
      <c r="B59" s="72">
        <v>8.98876404494382E-2</v>
      </c>
      <c r="C59" s="72">
        <v>7.8212290502793297E-2</v>
      </c>
      <c r="D59" s="72">
        <v>6.1111111111111109E-2</v>
      </c>
      <c r="E59" s="72">
        <v>2.247191011235955E-2</v>
      </c>
      <c r="F59" s="72">
        <v>0</v>
      </c>
      <c r="H59" s="72">
        <v>2.247191011235955E-2</v>
      </c>
      <c r="I59" s="72">
        <v>2.23463687150838E-2</v>
      </c>
      <c r="J59" s="72">
        <v>2.7777777777777776E-2</v>
      </c>
      <c r="K59" s="72">
        <v>2.8089887640449437E-2</v>
      </c>
      <c r="L59" s="72">
        <v>2.2857142857142857E-2</v>
      </c>
      <c r="N59" s="72">
        <v>0.625</v>
      </c>
      <c r="O59" s="72">
        <v>0.42857142857142855</v>
      </c>
      <c r="P59" s="72">
        <v>0.2857142857142857</v>
      </c>
      <c r="Q59" s="72">
        <v>0.22222222222222221</v>
      </c>
      <c r="R59" s="72">
        <v>0.16666666666666666</v>
      </c>
      <c r="T59" s="72">
        <v>1.2195121951219513E-2</v>
      </c>
      <c r="U59" s="72">
        <v>1.7751479289940829E-2</v>
      </c>
      <c r="V59" s="72">
        <v>2.3391812865497075E-2</v>
      </c>
      <c r="W59" s="72">
        <v>2.2598870056497175E-2</v>
      </c>
      <c r="X59" s="72">
        <v>2.247191011235955E-2</v>
      </c>
      <c r="Y59" s="72">
        <v>2.2222222222222223E-2</v>
      </c>
      <c r="Z59" s="72">
        <v>2.2222222222222223E-2</v>
      </c>
      <c r="AA59" s="72">
        <v>2.2222222222222223E-2</v>
      </c>
      <c r="AB59" s="72">
        <v>2.2099447513812154E-2</v>
      </c>
      <c r="AD59" s="232">
        <v>36.585365853658537</v>
      </c>
      <c r="AE59" s="232">
        <v>41.420118343195263</v>
      </c>
      <c r="AF59" s="232">
        <v>46.783625730994153</v>
      </c>
      <c r="AG59" s="232">
        <v>28.248587570621471</v>
      </c>
      <c r="AH59" s="232">
        <v>28.089887640449437</v>
      </c>
      <c r="AI59" s="232">
        <v>27.777777777777779</v>
      </c>
      <c r="AJ59" s="232">
        <v>27.777777777777779</v>
      </c>
      <c r="AK59" s="232">
        <v>27.777777777777779</v>
      </c>
      <c r="AL59" s="232">
        <v>27.624309392265193</v>
      </c>
    </row>
    <row r="60" spans="2:38" x14ac:dyDescent="0.25">
      <c r="B60" s="72">
        <v>7.1038251366120214E-2</v>
      </c>
      <c r="C60" s="72">
        <v>5.9782608695652176E-2</v>
      </c>
      <c r="D60" s="72">
        <v>3.2967032967032968E-2</v>
      </c>
      <c r="E60" s="72">
        <v>2.1505376344086023E-2</v>
      </c>
      <c r="F60" s="72">
        <v>0</v>
      </c>
      <c r="H60" s="72">
        <v>2.7322404371584699E-2</v>
      </c>
      <c r="I60" s="72">
        <v>1.6304347826086956E-2</v>
      </c>
      <c r="J60" s="72">
        <v>1.098901098901099E-2</v>
      </c>
      <c r="K60" s="72">
        <v>1.6129032258064516E-2</v>
      </c>
      <c r="L60" s="72">
        <v>1.6216216216216217E-2</v>
      </c>
      <c r="N60" s="72">
        <v>0.625</v>
      </c>
      <c r="O60" s="72">
        <v>0.375</v>
      </c>
      <c r="P60" s="72">
        <v>0.2</v>
      </c>
      <c r="Q60" s="72">
        <v>0</v>
      </c>
      <c r="R60" s="72">
        <v>0</v>
      </c>
      <c r="T60" s="72">
        <v>3.7234042553191488E-2</v>
      </c>
      <c r="U60" s="72">
        <v>3.783783783783784E-2</v>
      </c>
      <c r="V60" s="72">
        <v>3.7634408602150539E-2</v>
      </c>
      <c r="W60" s="72">
        <v>2.717391304347826E-2</v>
      </c>
      <c r="X60" s="72">
        <v>2.7322404371584699E-2</v>
      </c>
      <c r="Y60" s="72">
        <v>2.7322404371584699E-2</v>
      </c>
      <c r="Z60" s="72">
        <v>2.7027027027027029E-2</v>
      </c>
      <c r="AA60" s="72">
        <v>3.2432432432432434E-2</v>
      </c>
      <c r="AB60" s="72">
        <v>3.2085561497326207E-2</v>
      </c>
      <c r="AD60" s="232">
        <v>15.957446808510639</v>
      </c>
      <c r="AE60" s="232">
        <v>21.621621621621621</v>
      </c>
      <c r="AF60" s="232">
        <v>21.50537634408602</v>
      </c>
      <c r="AG60" s="232">
        <v>16.304347826086957</v>
      </c>
      <c r="AH60" s="232">
        <v>27.3224043715847</v>
      </c>
      <c r="AI60" s="232">
        <v>27.3224043715847</v>
      </c>
      <c r="AJ60" s="232">
        <v>27.027027027027028</v>
      </c>
      <c r="AK60" s="232">
        <v>27.027027027027028</v>
      </c>
      <c r="AL60" s="232">
        <v>21.390374331550802</v>
      </c>
    </row>
    <row r="61" spans="2:38" x14ac:dyDescent="0.25">
      <c r="B61" s="72">
        <v>3.7634408602150539E-2</v>
      </c>
      <c r="C61" s="72">
        <v>2.7027027027027029E-2</v>
      </c>
      <c r="D61" s="72">
        <v>2.7027027027027029E-2</v>
      </c>
      <c r="E61" s="72">
        <v>1.0752688172043012E-2</v>
      </c>
      <c r="F61" s="72">
        <v>0</v>
      </c>
      <c r="H61" s="72">
        <v>2.1505376344086023E-2</v>
      </c>
      <c r="I61" s="72">
        <v>2.1621621621621623E-2</v>
      </c>
      <c r="J61" s="72">
        <v>2.1621621621621623E-2</v>
      </c>
      <c r="K61" s="72">
        <v>2.1505376344086023E-2</v>
      </c>
      <c r="L61" s="72">
        <v>1.0752688172043012E-2</v>
      </c>
      <c r="N61" s="72">
        <v>0.625</v>
      </c>
      <c r="O61" s="72">
        <v>0.5</v>
      </c>
      <c r="P61" s="72">
        <v>0.5</v>
      </c>
      <c r="Q61" s="72">
        <v>0.5</v>
      </c>
      <c r="R61" s="72">
        <v>0.4</v>
      </c>
      <c r="T61" s="72">
        <v>3.3149171270718231E-2</v>
      </c>
      <c r="U61" s="72">
        <v>3.2967032967032968E-2</v>
      </c>
      <c r="V61" s="72">
        <v>2.7777777777777776E-2</v>
      </c>
      <c r="W61" s="72">
        <v>2.197802197802198E-2</v>
      </c>
      <c r="X61" s="72">
        <v>2.1505376344086023E-2</v>
      </c>
      <c r="Y61" s="72">
        <v>1.6042780748663103E-2</v>
      </c>
      <c r="Z61" s="72">
        <v>1.6042780748663103E-2</v>
      </c>
      <c r="AA61" s="72">
        <v>1.5957446808510637E-2</v>
      </c>
      <c r="AB61" s="72">
        <v>1.5873015873015872E-2</v>
      </c>
      <c r="AD61" s="232">
        <v>44.19889502762431</v>
      </c>
      <c r="AE61" s="232">
        <v>49.450549450549453</v>
      </c>
      <c r="AF61" s="232">
        <v>38.888888888888886</v>
      </c>
      <c r="AG61" s="232">
        <v>32.967032967032964</v>
      </c>
      <c r="AH61" s="232">
        <v>26.881720430107528</v>
      </c>
      <c r="AI61" s="232">
        <v>26.737967914438503</v>
      </c>
      <c r="AJ61" s="232">
        <v>26.737967914438503</v>
      </c>
      <c r="AK61" s="232">
        <v>21.276595744680851</v>
      </c>
      <c r="AL61" s="232">
        <v>21.164021164021165</v>
      </c>
    </row>
    <row r="62" spans="2:38" x14ac:dyDescent="0.25">
      <c r="B62" s="72">
        <v>7.6023391812865493E-2</v>
      </c>
      <c r="C62" s="72">
        <v>5.8139534883720929E-2</v>
      </c>
      <c r="D62" s="72">
        <v>3.4482758620689655E-2</v>
      </c>
      <c r="E62" s="72">
        <v>2.2857142857142857E-2</v>
      </c>
      <c r="F62" s="72">
        <v>0</v>
      </c>
      <c r="H62" s="72">
        <v>2.3391812865497075E-2</v>
      </c>
      <c r="I62" s="72">
        <v>2.9069767441860465E-2</v>
      </c>
      <c r="J62" s="72">
        <v>2.8735632183908046E-2</v>
      </c>
      <c r="K62" s="72">
        <v>2.8571428571428571E-2</v>
      </c>
      <c r="L62" s="72">
        <v>2.2857142857142857E-2</v>
      </c>
      <c r="N62" s="72">
        <v>0.8</v>
      </c>
      <c r="O62" s="72">
        <v>0.77777777777777779</v>
      </c>
      <c r="P62" s="72">
        <v>0.75</v>
      </c>
      <c r="Q62" s="72">
        <v>0.5714285714285714</v>
      </c>
      <c r="R62" s="72">
        <v>0.5</v>
      </c>
      <c r="T62" s="72">
        <v>2.5000000000000001E-2</v>
      </c>
      <c r="U62" s="72">
        <v>2.4242424242424242E-2</v>
      </c>
      <c r="V62" s="72">
        <v>2.4242424242424242E-2</v>
      </c>
      <c r="W62" s="72">
        <v>2.4096385542168676E-2</v>
      </c>
      <c r="X62" s="72">
        <v>2.3391812865497075E-2</v>
      </c>
      <c r="Y62" s="72">
        <v>2.3529411764705882E-2</v>
      </c>
      <c r="Z62" s="72">
        <v>2.3529411764705882E-2</v>
      </c>
      <c r="AA62" s="72">
        <v>2.3391812865497075E-2</v>
      </c>
      <c r="AB62" s="72">
        <v>2.3668639053254437E-2</v>
      </c>
      <c r="AD62" s="232">
        <v>37.5</v>
      </c>
      <c r="AE62" s="232">
        <v>48.484848484848484</v>
      </c>
      <c r="AF62" s="232">
        <v>54.545454545454547</v>
      </c>
      <c r="AG62" s="232">
        <v>54.216867469879517</v>
      </c>
      <c r="AH62" s="232">
        <v>46.783625730994153</v>
      </c>
      <c r="AI62" s="232">
        <v>52.941176470588232</v>
      </c>
      <c r="AJ62" s="232">
        <v>52.941176470588232</v>
      </c>
      <c r="AK62" s="232">
        <v>52.631578947368418</v>
      </c>
      <c r="AL62" s="232">
        <v>53.254437869822482</v>
      </c>
    </row>
    <row r="63" spans="2:38" x14ac:dyDescent="0.25">
      <c r="B63" s="72">
        <v>5.9113300492610835E-2</v>
      </c>
      <c r="C63" s="72">
        <v>4.4117647058823532E-2</v>
      </c>
      <c r="D63" s="72">
        <v>4.4334975369458129E-2</v>
      </c>
      <c r="E63" s="72">
        <v>1.4778325123152709E-2</v>
      </c>
      <c r="F63" s="72">
        <v>0</v>
      </c>
      <c r="H63" s="72">
        <v>6.4039408866995079E-2</v>
      </c>
      <c r="I63" s="72">
        <v>5.8823529411764705E-2</v>
      </c>
      <c r="J63" s="72">
        <v>5.4187192118226604E-2</v>
      </c>
      <c r="K63" s="72">
        <v>3.4482758620689655E-2</v>
      </c>
      <c r="L63" s="72">
        <v>3.4313725490196081E-2</v>
      </c>
      <c r="N63" s="72">
        <v>0.66666666666666663</v>
      </c>
      <c r="O63" s="72">
        <v>0.625</v>
      </c>
      <c r="P63" s="72">
        <v>0.6</v>
      </c>
      <c r="Q63" s="72">
        <v>0.5625</v>
      </c>
      <c r="R63" s="72">
        <v>0.53333333333333333</v>
      </c>
      <c r="T63" s="72">
        <v>6.965174129353234E-2</v>
      </c>
      <c r="U63" s="72">
        <v>6.6326530612244902E-2</v>
      </c>
      <c r="V63" s="72">
        <v>6.1224489795918366E-2</v>
      </c>
      <c r="W63" s="72">
        <v>7.179487179487179E-2</v>
      </c>
      <c r="X63" s="72">
        <v>6.4039408866995079E-2</v>
      </c>
      <c r="Y63" s="72">
        <v>5.9405940594059403E-2</v>
      </c>
      <c r="Z63" s="72">
        <v>6.8965517241379309E-2</v>
      </c>
      <c r="AA63" s="72">
        <v>6.9306930693069313E-2</v>
      </c>
      <c r="AB63" s="72">
        <v>6.9306930693069313E-2</v>
      </c>
      <c r="AD63" s="232">
        <v>39.800995024875618</v>
      </c>
      <c r="AE63" s="232">
        <v>45.918367346938773</v>
      </c>
      <c r="AF63" s="232">
        <v>35.714285714285715</v>
      </c>
      <c r="AG63" s="232">
        <v>51.282051282051285</v>
      </c>
      <c r="AH63" s="232">
        <v>49.261083743842363</v>
      </c>
      <c r="AI63" s="232">
        <v>49.504950495049506</v>
      </c>
      <c r="AJ63" s="232">
        <v>49.261083743842363</v>
      </c>
      <c r="AK63" s="232">
        <v>49.504950495049506</v>
      </c>
      <c r="AL63" s="232">
        <v>49.504950495049506</v>
      </c>
    </row>
    <row r="64" spans="2:38" x14ac:dyDescent="0.25">
      <c r="B64" s="72">
        <v>5.4644808743169397E-2</v>
      </c>
      <c r="C64" s="72">
        <v>5.4054054054054057E-2</v>
      </c>
      <c r="D64" s="72">
        <v>3.8043478260869568E-2</v>
      </c>
      <c r="E64" s="72">
        <v>5.3763440860215058E-3</v>
      </c>
      <c r="F64" s="72">
        <v>0</v>
      </c>
      <c r="H64" s="72">
        <v>3.825136612021858E-2</v>
      </c>
      <c r="I64" s="72">
        <v>3.783783783783784E-2</v>
      </c>
      <c r="J64" s="72">
        <v>3.2608695652173912E-2</v>
      </c>
      <c r="K64" s="72">
        <v>3.2258064516129031E-2</v>
      </c>
      <c r="L64" s="72">
        <v>3.7433155080213901E-2</v>
      </c>
      <c r="N64" s="72">
        <v>0.54545454545454541</v>
      </c>
      <c r="O64" s="72">
        <v>0.4</v>
      </c>
      <c r="P64" s="72">
        <v>0.36363636363636365</v>
      </c>
      <c r="Q64" s="72">
        <v>0.22222222222222221</v>
      </c>
      <c r="R64" s="72">
        <v>0.2</v>
      </c>
      <c r="T64" s="72">
        <v>6.6666666666666666E-2</v>
      </c>
      <c r="U64" s="72">
        <v>5.0561797752808987E-2</v>
      </c>
      <c r="V64" s="72">
        <v>4.519774011299435E-2</v>
      </c>
      <c r="W64" s="72">
        <v>4.4444444444444446E-2</v>
      </c>
      <c r="X64" s="72">
        <v>3.825136612021858E-2</v>
      </c>
      <c r="Y64" s="72">
        <v>4.3478260869565216E-2</v>
      </c>
      <c r="Z64" s="72">
        <v>4.3956043956043959E-2</v>
      </c>
      <c r="AA64" s="72">
        <v>4.3956043956043959E-2</v>
      </c>
      <c r="AB64" s="72">
        <v>4.3956043956043959E-2</v>
      </c>
      <c r="AD64" s="232">
        <v>72.222222222222229</v>
      </c>
      <c r="AE64" s="232">
        <v>78.651685393258433</v>
      </c>
      <c r="AF64" s="232">
        <v>67.79661016949153</v>
      </c>
      <c r="AG64" s="232">
        <v>55.555555555555557</v>
      </c>
      <c r="AH64" s="232">
        <v>32.786885245901637</v>
      </c>
      <c r="AI64" s="232">
        <v>32.608695652173914</v>
      </c>
      <c r="AJ64" s="232">
        <v>27.472527472527471</v>
      </c>
      <c r="AK64" s="232">
        <v>27.472527472527471</v>
      </c>
      <c r="AL64" s="232">
        <v>27.472527472527471</v>
      </c>
    </row>
    <row r="65" spans="2:38" x14ac:dyDescent="0.25">
      <c r="B65" s="72">
        <v>0.10240963855421686</v>
      </c>
      <c r="C65" s="72">
        <v>9.696969696969697E-2</v>
      </c>
      <c r="D65" s="72">
        <v>5.4878048780487805E-2</v>
      </c>
      <c r="E65" s="72">
        <v>1.2269938650306749E-2</v>
      </c>
      <c r="F65" s="72">
        <v>0</v>
      </c>
      <c r="H65" s="72">
        <v>3.0120481927710843E-2</v>
      </c>
      <c r="I65" s="72">
        <v>2.4242424242424242E-2</v>
      </c>
      <c r="J65" s="72">
        <v>1.8292682926829267E-2</v>
      </c>
      <c r="K65" s="72">
        <v>1.8404907975460124E-2</v>
      </c>
      <c r="L65" s="72">
        <v>1.8518518518518517E-2</v>
      </c>
      <c r="N65" s="72">
        <v>0.66666666666666663</v>
      </c>
      <c r="O65" s="72">
        <v>0.5714285714285714</v>
      </c>
      <c r="P65" s="72">
        <v>0.5714285714285714</v>
      </c>
      <c r="Q65" s="72">
        <v>0.375</v>
      </c>
      <c r="R65" s="72">
        <v>0.22222222222222221</v>
      </c>
      <c r="T65" s="72">
        <v>1.2269938650306749E-2</v>
      </c>
      <c r="U65" s="72">
        <v>1.8518518518518517E-2</v>
      </c>
      <c r="V65" s="72">
        <v>1.8404907975460124E-2</v>
      </c>
      <c r="W65" s="72">
        <v>2.4691358024691357E-2</v>
      </c>
      <c r="X65" s="72">
        <v>3.0120481927710843E-2</v>
      </c>
      <c r="Y65" s="72">
        <v>2.976190476190476E-2</v>
      </c>
      <c r="Z65" s="72">
        <v>2.9940119760479042E-2</v>
      </c>
      <c r="AA65" s="72">
        <v>2.976190476190476E-2</v>
      </c>
      <c r="AB65" s="72">
        <v>2.3809523809523808E-2</v>
      </c>
      <c r="AD65" s="232">
        <v>24.539877300613497</v>
      </c>
      <c r="AE65" s="232">
        <v>18.518518518518519</v>
      </c>
      <c r="AF65" s="232">
        <v>12.269938650306749</v>
      </c>
      <c r="AG65" s="232">
        <v>18.518518518518519</v>
      </c>
      <c r="AH65" s="232">
        <v>24.096385542168676</v>
      </c>
      <c r="AI65" s="232">
        <v>23.80952380952381</v>
      </c>
      <c r="AJ65" s="232">
        <v>23.952095808383234</v>
      </c>
      <c r="AK65" s="232">
        <v>23.80952380952381</v>
      </c>
      <c r="AL65" s="232">
        <v>23.80952380952381</v>
      </c>
    </row>
    <row r="66" spans="2:38" x14ac:dyDescent="0.25">
      <c r="B66" s="72">
        <v>4.2253521126760563E-2</v>
      </c>
      <c r="C66" s="72">
        <v>4.2253521126760563E-2</v>
      </c>
      <c r="D66" s="72">
        <v>1.8867924528301886E-2</v>
      </c>
      <c r="E66" s="72">
        <v>1.8867924528301886E-2</v>
      </c>
      <c r="F66" s="72">
        <v>0</v>
      </c>
      <c r="H66" s="72">
        <v>3.7558685446009391E-2</v>
      </c>
      <c r="I66" s="72">
        <v>3.7558685446009391E-2</v>
      </c>
      <c r="J66" s="72">
        <v>2.8301886792452831E-2</v>
      </c>
      <c r="K66" s="72">
        <v>2.8301886792452831E-2</v>
      </c>
      <c r="L66" s="72">
        <v>2.7777777777777776E-2</v>
      </c>
      <c r="N66" s="72">
        <v>0.75</v>
      </c>
      <c r="O66" s="72">
        <v>0.75</v>
      </c>
      <c r="P66" s="72">
        <v>0.75</v>
      </c>
      <c r="Q66" s="72">
        <v>0.75</v>
      </c>
      <c r="R66" s="72">
        <v>0.66666666666666663</v>
      </c>
      <c r="T66" s="72">
        <v>5.2631578947368418E-2</v>
      </c>
      <c r="U66" s="72">
        <v>5.1401869158878503E-2</v>
      </c>
      <c r="V66" s="72">
        <v>5.1643192488262914E-2</v>
      </c>
      <c r="W66" s="72">
        <v>4.2253521126760563E-2</v>
      </c>
      <c r="X66" s="72">
        <v>3.7558685446009391E-2</v>
      </c>
      <c r="Y66" s="72">
        <v>2.8037383177570093E-2</v>
      </c>
      <c r="Z66" s="72">
        <v>3.2407407407407406E-2</v>
      </c>
      <c r="AA66" s="72">
        <v>3.2110091743119268E-2</v>
      </c>
      <c r="AB66" s="72">
        <v>3.2258064516129031E-2</v>
      </c>
      <c r="AD66" s="232">
        <v>47.846889952153113</v>
      </c>
      <c r="AE66" s="232">
        <v>51.401869158878505</v>
      </c>
      <c r="AF66" s="232">
        <v>46.948356807511736</v>
      </c>
      <c r="AG66" s="232">
        <v>46.948356807511736</v>
      </c>
      <c r="AH66" s="232">
        <v>42.25352112676056</v>
      </c>
      <c r="AI66" s="232">
        <v>37.383177570093459</v>
      </c>
      <c r="AJ66" s="232">
        <v>32.407407407407405</v>
      </c>
      <c r="AK66" s="232">
        <v>27.522935779816514</v>
      </c>
      <c r="AL66" s="232">
        <v>27.649769585253456</v>
      </c>
    </row>
    <row r="67" spans="2:38" x14ac:dyDescent="0.25">
      <c r="B67" s="72">
        <v>7.2625698324022353E-2</v>
      </c>
      <c r="C67" s="72">
        <v>5.5865921787709494E-2</v>
      </c>
      <c r="D67" s="72">
        <v>3.888888888888889E-2</v>
      </c>
      <c r="E67" s="72">
        <v>2.7777777777777776E-2</v>
      </c>
      <c r="F67" s="72">
        <v>0</v>
      </c>
      <c r="H67" s="72">
        <v>1.6759776536312849E-2</v>
      </c>
      <c r="I67" s="72">
        <v>1.6759776536312849E-2</v>
      </c>
      <c r="J67" s="72">
        <v>1.1111111111111112E-2</v>
      </c>
      <c r="K67" s="72">
        <v>1.1111111111111112E-2</v>
      </c>
      <c r="L67" s="72">
        <v>5.5865921787709499E-3</v>
      </c>
      <c r="N67" s="72">
        <v>0.66666666666666663</v>
      </c>
      <c r="O67" s="72">
        <v>0.6</v>
      </c>
      <c r="P67" s="72">
        <v>0.625</v>
      </c>
      <c r="Q67" s="72">
        <v>0.44444444444444442</v>
      </c>
      <c r="R67" s="72">
        <v>0.44444444444444442</v>
      </c>
      <c r="T67" s="72">
        <v>2.197802197802198E-2</v>
      </c>
      <c r="U67" s="72">
        <v>2.7322404371584699E-2</v>
      </c>
      <c r="V67" s="72">
        <v>2.7777777777777776E-2</v>
      </c>
      <c r="W67" s="72">
        <v>2.8089887640449437E-2</v>
      </c>
      <c r="X67" s="72">
        <v>1.6759776536312849E-2</v>
      </c>
      <c r="Y67" s="72">
        <v>1.6853932584269662E-2</v>
      </c>
      <c r="Z67" s="72">
        <v>1.7142857142857144E-2</v>
      </c>
      <c r="AA67" s="72">
        <v>1.7045454545454544E-2</v>
      </c>
      <c r="AB67" s="72">
        <v>1.7142857142857144E-2</v>
      </c>
      <c r="AD67" s="232">
        <v>16.483516483516482</v>
      </c>
      <c r="AE67" s="232">
        <v>16.393442622950818</v>
      </c>
      <c r="AF67" s="232">
        <v>33.333333333333336</v>
      </c>
      <c r="AG67" s="232">
        <v>33.707865168539328</v>
      </c>
      <c r="AH67" s="232">
        <v>33.519553072625698</v>
      </c>
      <c r="AI67" s="232">
        <v>39.325842696629216</v>
      </c>
      <c r="AJ67" s="232">
        <v>34.285714285714285</v>
      </c>
      <c r="AK67" s="232">
        <v>34.090909090909093</v>
      </c>
      <c r="AL67" s="232">
        <v>34.285714285714285</v>
      </c>
    </row>
    <row r="68" spans="2:38" x14ac:dyDescent="0.25">
      <c r="B68" s="72">
        <v>5.4054054054054057E-2</v>
      </c>
      <c r="C68" s="72">
        <v>3.2258064516129031E-2</v>
      </c>
      <c r="D68" s="72">
        <v>2.6737967914438502E-2</v>
      </c>
      <c r="E68" s="72">
        <v>1.6304347826086956E-2</v>
      </c>
      <c r="F68" s="72">
        <v>0</v>
      </c>
      <c r="H68" s="72">
        <v>3.783783783783784E-2</v>
      </c>
      <c r="I68" s="72">
        <v>3.2258064516129031E-2</v>
      </c>
      <c r="J68" s="72">
        <v>3.2085561497326207E-2</v>
      </c>
      <c r="K68" s="72">
        <v>3.2608695652173912E-2</v>
      </c>
      <c r="L68" s="72">
        <v>1.6216216216216217E-2</v>
      </c>
      <c r="N68" s="72">
        <v>0.6</v>
      </c>
      <c r="O68" s="72">
        <v>0.55555555555555558</v>
      </c>
      <c r="P68" s="72">
        <v>0.5714285714285714</v>
      </c>
      <c r="Q68" s="72">
        <v>0.4</v>
      </c>
      <c r="R68" s="72">
        <v>0.25</v>
      </c>
      <c r="T68" s="72">
        <v>3.4090909090909088E-2</v>
      </c>
      <c r="U68" s="72">
        <v>4.4692737430167599E-2</v>
      </c>
      <c r="V68" s="72">
        <v>4.5714285714285714E-2</v>
      </c>
      <c r="W68" s="72">
        <v>4.9723756906077346E-2</v>
      </c>
      <c r="X68" s="72">
        <v>3.783783783783784E-2</v>
      </c>
      <c r="Y68" s="72">
        <v>4.3243243243243246E-2</v>
      </c>
      <c r="Z68" s="72">
        <v>4.3243243243243246E-2</v>
      </c>
      <c r="AA68" s="72">
        <v>4.3243243243243246E-2</v>
      </c>
      <c r="AB68" s="72">
        <v>3.2085561497326207E-2</v>
      </c>
      <c r="AD68" s="232">
        <v>39.772727272727273</v>
      </c>
      <c r="AE68" s="232">
        <v>39.106145251396647</v>
      </c>
      <c r="AF68" s="232">
        <v>45.714285714285715</v>
      </c>
      <c r="AG68" s="232">
        <v>38.674033149171272</v>
      </c>
      <c r="AH68" s="232">
        <v>32.432432432432435</v>
      </c>
      <c r="AI68" s="232">
        <v>32.432432432432435</v>
      </c>
      <c r="AJ68" s="232">
        <v>32.432432432432435</v>
      </c>
      <c r="AK68" s="232">
        <v>32.432432432432435</v>
      </c>
      <c r="AL68" s="232">
        <v>32.085561497326204</v>
      </c>
    </row>
    <row r="69" spans="2:38" x14ac:dyDescent="0.25">
      <c r="B69" s="72">
        <v>8.8372093023255813E-2</v>
      </c>
      <c r="C69" s="72">
        <v>6.9767441860465115E-2</v>
      </c>
      <c r="D69" s="72">
        <v>5.5813953488372092E-2</v>
      </c>
      <c r="E69" s="72">
        <v>2.8301886792452831E-2</v>
      </c>
      <c r="F69" s="72">
        <v>0</v>
      </c>
      <c r="H69" s="72">
        <v>2.7906976744186046E-2</v>
      </c>
      <c r="I69" s="72">
        <v>2.3255813953488372E-2</v>
      </c>
      <c r="J69" s="72">
        <v>1.8604651162790697E-2</v>
      </c>
      <c r="K69" s="72">
        <v>1.8867924528301886E-2</v>
      </c>
      <c r="L69" s="72">
        <v>9.3896713615023476E-3</v>
      </c>
      <c r="N69" s="72">
        <v>0.5</v>
      </c>
      <c r="O69" s="72">
        <v>0.42857142857142855</v>
      </c>
      <c r="P69" s="72">
        <v>0.42857142857142855</v>
      </c>
      <c r="Q69" s="72">
        <v>0.2</v>
      </c>
      <c r="R69" s="72">
        <v>0.18181818181818182</v>
      </c>
      <c r="T69" s="72">
        <v>8.4507042253521125E-2</v>
      </c>
      <c r="U69" s="72">
        <v>6.6350710900473939E-2</v>
      </c>
      <c r="V69" s="72">
        <v>4.6728971962616821E-2</v>
      </c>
      <c r="W69" s="72">
        <v>3.2863849765258218E-2</v>
      </c>
      <c r="X69" s="72">
        <v>2.7906976744186046E-2</v>
      </c>
      <c r="Y69" s="72">
        <v>2.7906976744186046E-2</v>
      </c>
      <c r="Z69" s="72">
        <v>2.7649769585253458E-2</v>
      </c>
      <c r="AA69" s="72">
        <v>2.7522935779816515E-2</v>
      </c>
      <c r="AB69" s="72">
        <v>2.7522935779816515E-2</v>
      </c>
      <c r="AD69" s="232">
        <v>37.558685446009392</v>
      </c>
      <c r="AE69" s="232">
        <v>37.914691943127963</v>
      </c>
      <c r="AF69" s="232">
        <v>28.037383177570092</v>
      </c>
      <c r="AG69" s="232">
        <v>23.474178403755868</v>
      </c>
      <c r="AH69" s="232">
        <v>18.604651162790699</v>
      </c>
      <c r="AI69" s="232">
        <v>18.604651162790699</v>
      </c>
      <c r="AJ69" s="232">
        <v>18.433179723502302</v>
      </c>
      <c r="AK69" s="232">
        <v>18.348623853211009</v>
      </c>
      <c r="AL69" s="232">
        <v>18.348623853211009</v>
      </c>
    </row>
    <row r="70" spans="2:38" x14ac:dyDescent="0.25">
      <c r="B70" s="72">
        <v>0.10215053763440861</v>
      </c>
      <c r="C70" s="72">
        <v>6.9518716577540107E-2</v>
      </c>
      <c r="D70" s="72">
        <v>3.7433155080213901E-2</v>
      </c>
      <c r="E70" s="72">
        <v>1.0638297872340425E-2</v>
      </c>
      <c r="F70" s="72">
        <v>0</v>
      </c>
      <c r="H70" s="72">
        <v>2.1505376344086023E-2</v>
      </c>
      <c r="I70" s="72">
        <v>2.1390374331550801E-2</v>
      </c>
      <c r="J70" s="72">
        <v>1.6042780748663103E-2</v>
      </c>
      <c r="K70" s="72">
        <v>1.5957446808510637E-2</v>
      </c>
      <c r="L70" s="72">
        <v>1.6042780748663103E-2</v>
      </c>
      <c r="N70" s="72">
        <v>0.42857142857142855</v>
      </c>
      <c r="O70" s="72">
        <v>0.5</v>
      </c>
      <c r="P70" s="72">
        <v>0.2857142857142857</v>
      </c>
      <c r="Q70" s="72">
        <v>0.33333333333333331</v>
      </c>
      <c r="R70" s="72">
        <v>0.33333333333333331</v>
      </c>
      <c r="T70" s="72">
        <v>3.2786885245901641E-2</v>
      </c>
      <c r="U70" s="72">
        <v>3.8461538461538464E-2</v>
      </c>
      <c r="V70" s="72">
        <v>3.2786885245901641E-2</v>
      </c>
      <c r="W70" s="72">
        <v>2.185792349726776E-2</v>
      </c>
      <c r="X70" s="72">
        <v>2.1505376344086023E-2</v>
      </c>
      <c r="Y70" s="72">
        <v>2.1621621621621623E-2</v>
      </c>
      <c r="Z70" s="72">
        <v>2.1505376344086023E-2</v>
      </c>
      <c r="AA70" s="72">
        <v>2.7027027027027029E-2</v>
      </c>
      <c r="AB70" s="72">
        <v>2.1621621621621623E-2</v>
      </c>
      <c r="AD70" s="232">
        <v>27.3224043715847</v>
      </c>
      <c r="AE70" s="232">
        <v>27.472527472527471</v>
      </c>
      <c r="AF70" s="232">
        <v>21.857923497267759</v>
      </c>
      <c r="AG70" s="232">
        <v>21.857923497267759</v>
      </c>
      <c r="AH70" s="232">
        <v>16.129032258064516</v>
      </c>
      <c r="AI70" s="232">
        <v>16.216216216216218</v>
      </c>
      <c r="AJ70" s="232">
        <v>16.129032258064516</v>
      </c>
      <c r="AK70" s="232">
        <v>27.027027027027028</v>
      </c>
      <c r="AL70" s="232">
        <v>21.621621621621621</v>
      </c>
    </row>
    <row r="71" spans="2:38" x14ac:dyDescent="0.25">
      <c r="B71" s="72">
        <v>8.5427135678391955E-2</v>
      </c>
      <c r="C71" s="72">
        <v>6.4676616915422883E-2</v>
      </c>
      <c r="D71" s="72">
        <v>5.0505050505050504E-2</v>
      </c>
      <c r="E71" s="72">
        <v>2.5252525252525252E-2</v>
      </c>
      <c r="F71" s="72">
        <v>0</v>
      </c>
      <c r="H71" s="72">
        <v>3.015075376884422E-2</v>
      </c>
      <c r="I71" s="72">
        <v>2.9850746268656716E-2</v>
      </c>
      <c r="J71" s="72">
        <v>2.0202020202020204E-2</v>
      </c>
      <c r="K71" s="72">
        <v>2.0202020202020204E-2</v>
      </c>
      <c r="L71" s="72">
        <v>2.0408163265306121E-2</v>
      </c>
      <c r="N71" s="72">
        <v>1</v>
      </c>
      <c r="O71" s="72">
        <v>1</v>
      </c>
      <c r="P71" s="72">
        <v>0.5</v>
      </c>
      <c r="Q71" s="72">
        <v>0.4</v>
      </c>
      <c r="R71" s="72">
        <v>0.2857142857142857</v>
      </c>
      <c r="T71" s="72">
        <v>4.3478260869565216E-2</v>
      </c>
      <c r="U71" s="72">
        <v>4.8128342245989303E-2</v>
      </c>
      <c r="V71" s="72">
        <v>5.7291666666666664E-2</v>
      </c>
      <c r="W71" s="72">
        <v>4.1666666666666664E-2</v>
      </c>
      <c r="X71" s="72">
        <v>3.015075376884422E-2</v>
      </c>
      <c r="Y71" s="72">
        <v>3.0769230769230771E-2</v>
      </c>
      <c r="Z71" s="72">
        <v>2.5773195876288658E-2</v>
      </c>
      <c r="AA71" s="72">
        <v>2.5380710659898477E-2</v>
      </c>
      <c r="AB71" s="72">
        <v>3.0612244897959183E-2</v>
      </c>
      <c r="AD71" s="232">
        <v>43.478260869565219</v>
      </c>
      <c r="AE71" s="232">
        <v>42.780748663101605</v>
      </c>
      <c r="AF71" s="232">
        <v>36.458333333333336</v>
      </c>
      <c r="AG71" s="232">
        <v>20.833333333333332</v>
      </c>
      <c r="AH71" s="232">
        <v>15.075376884422111</v>
      </c>
      <c r="AI71" s="232">
        <v>20.512820512820515</v>
      </c>
      <c r="AJ71" s="232">
        <v>20.618556701030929</v>
      </c>
      <c r="AK71" s="232">
        <v>15.228426395939087</v>
      </c>
      <c r="AL71" s="232">
        <v>20.408163265306122</v>
      </c>
    </row>
    <row r="72" spans="2:38" x14ac:dyDescent="0.25">
      <c r="B72" s="72">
        <v>7.4257425742574254E-2</v>
      </c>
      <c r="C72" s="72">
        <v>4.9504950495049507E-2</v>
      </c>
      <c r="D72" s="72">
        <v>2.9411764705882353E-2</v>
      </c>
      <c r="E72" s="72">
        <v>0</v>
      </c>
      <c r="F72" s="72">
        <v>0</v>
      </c>
      <c r="H72" s="72">
        <v>2.9702970297029702E-2</v>
      </c>
      <c r="I72" s="72">
        <v>2.4752475247524754E-2</v>
      </c>
      <c r="J72" s="72">
        <v>1.9607843137254902E-2</v>
      </c>
      <c r="K72" s="72">
        <v>1.9512195121951219E-2</v>
      </c>
      <c r="L72" s="72">
        <v>1.4705882352941176E-2</v>
      </c>
      <c r="N72" s="72">
        <v>0.42857142857142855</v>
      </c>
      <c r="O72" s="72">
        <v>0.375</v>
      </c>
      <c r="P72" s="72">
        <v>0.4</v>
      </c>
      <c r="Q72" s="72">
        <v>0.25</v>
      </c>
      <c r="R72" s="72">
        <v>0.25</v>
      </c>
      <c r="T72" s="72">
        <v>5.0761421319796954E-2</v>
      </c>
      <c r="U72" s="72">
        <v>5.0505050505050504E-2</v>
      </c>
      <c r="V72" s="72">
        <v>4.0201005025125629E-2</v>
      </c>
      <c r="W72" s="72">
        <v>2.4752475247524754E-2</v>
      </c>
      <c r="X72" s="72">
        <v>2.9702970297029702E-2</v>
      </c>
      <c r="Y72" s="72">
        <v>2.4752475247524754E-2</v>
      </c>
      <c r="Z72" s="72">
        <v>2.4630541871921183E-2</v>
      </c>
      <c r="AA72" s="72">
        <v>2.9556650246305417E-2</v>
      </c>
      <c r="AB72" s="72">
        <v>3.4313725490196081E-2</v>
      </c>
      <c r="AD72" s="232">
        <v>30.456852791878173</v>
      </c>
      <c r="AE72" s="232">
        <v>30.303030303030305</v>
      </c>
      <c r="AF72" s="232">
        <v>30.150753768844222</v>
      </c>
      <c r="AG72" s="232">
        <v>14.851485148514852</v>
      </c>
      <c r="AH72" s="232">
        <v>14.851485148514852</v>
      </c>
      <c r="AI72" s="232">
        <v>14.851485148514852</v>
      </c>
      <c r="AJ72" s="232">
        <v>14.77832512315271</v>
      </c>
      <c r="AK72" s="232">
        <v>14.77832512315271</v>
      </c>
      <c r="AL72" s="232">
        <v>14.705882352941176</v>
      </c>
    </row>
    <row r="73" spans="2:38" x14ac:dyDescent="0.25">
      <c r="B73" s="72">
        <v>7.6086956521739135E-2</v>
      </c>
      <c r="C73" s="72">
        <v>6.0109289617486336E-2</v>
      </c>
      <c r="D73" s="72">
        <v>2.7472527472527472E-2</v>
      </c>
      <c r="E73" s="72">
        <v>5.4644808743169399E-3</v>
      </c>
      <c r="F73" s="72">
        <v>0</v>
      </c>
      <c r="H73" s="72">
        <v>4.3478260869565216E-2</v>
      </c>
      <c r="I73" s="72">
        <v>3.2786885245901641E-2</v>
      </c>
      <c r="J73" s="72">
        <v>2.7472527472527472E-2</v>
      </c>
      <c r="K73" s="72">
        <v>2.7322404371584699E-2</v>
      </c>
      <c r="L73" s="72">
        <v>3.2432432432432434E-2</v>
      </c>
      <c r="N73" s="72">
        <v>0.5</v>
      </c>
      <c r="O73" s="72">
        <v>0.5714285714285714</v>
      </c>
      <c r="P73" s="72">
        <v>0.44444444444444442</v>
      </c>
      <c r="Q73" s="72">
        <v>0.375</v>
      </c>
      <c r="R73" s="72">
        <v>0.5</v>
      </c>
      <c r="T73" s="72">
        <v>5.6497175141242938E-2</v>
      </c>
      <c r="U73" s="72">
        <v>4.3956043956043959E-2</v>
      </c>
      <c r="V73" s="72">
        <v>4.3956043956043959E-2</v>
      </c>
      <c r="W73" s="72">
        <v>3.825136612021858E-2</v>
      </c>
      <c r="X73" s="72">
        <v>4.3478260869565216E-2</v>
      </c>
      <c r="Y73" s="72">
        <v>4.8128342245989303E-2</v>
      </c>
      <c r="Z73" s="72">
        <v>4.3010752688172046E-2</v>
      </c>
      <c r="AA73" s="72">
        <v>3.783783783783784E-2</v>
      </c>
      <c r="AB73" s="72">
        <v>3.783783783783784E-2</v>
      </c>
      <c r="AD73" s="232">
        <v>33.898305084745765</v>
      </c>
      <c r="AE73" s="232">
        <v>21.978021978021978</v>
      </c>
      <c r="AF73" s="232">
        <v>21.978021978021978</v>
      </c>
      <c r="AG73" s="232">
        <v>21.857923497267759</v>
      </c>
      <c r="AH73" s="232">
        <v>21.739130434782609</v>
      </c>
      <c r="AI73" s="232">
        <v>16.042780748663102</v>
      </c>
      <c r="AJ73" s="232">
        <v>16.129032258064516</v>
      </c>
      <c r="AK73" s="232">
        <v>16.216216216216218</v>
      </c>
      <c r="AL73" s="232">
        <v>16.216216216216218</v>
      </c>
    </row>
    <row r="74" spans="2:38" x14ac:dyDescent="0.25">
      <c r="B74" s="72">
        <v>7.179487179487179E-2</v>
      </c>
      <c r="C74" s="72">
        <v>4.6153846153846156E-2</v>
      </c>
      <c r="D74" s="72">
        <v>3.553299492385787E-2</v>
      </c>
      <c r="E74" s="72">
        <v>2.5380710659898477E-2</v>
      </c>
      <c r="F74" s="72">
        <v>0</v>
      </c>
      <c r="H74" s="72">
        <v>4.1025641025641026E-2</v>
      </c>
      <c r="I74" s="72">
        <v>4.1025641025641026E-2</v>
      </c>
      <c r="J74" s="72">
        <v>4.060913705583756E-2</v>
      </c>
      <c r="K74" s="72">
        <v>4.060913705583756E-2</v>
      </c>
      <c r="L74" s="72">
        <v>3.0612244897959183E-2</v>
      </c>
      <c r="N74" s="72">
        <v>0.5</v>
      </c>
      <c r="O74" s="72">
        <v>0.46153846153846156</v>
      </c>
      <c r="P74" s="72">
        <v>0.45454545454545453</v>
      </c>
      <c r="Q74" s="72">
        <v>0.36363636363636365</v>
      </c>
      <c r="R74" s="72">
        <v>0.30769230769230771</v>
      </c>
      <c r="T74" s="72">
        <v>4.3956043956043959E-2</v>
      </c>
      <c r="U74" s="72">
        <v>3.8674033149171269E-2</v>
      </c>
      <c r="V74" s="72">
        <v>4.3478260869565216E-2</v>
      </c>
      <c r="W74" s="72">
        <v>4.1884816753926704E-2</v>
      </c>
      <c r="X74" s="72">
        <v>4.1025641025641026E-2</v>
      </c>
      <c r="Y74" s="72">
        <v>4.060913705583756E-2</v>
      </c>
      <c r="Z74" s="72">
        <v>4.0816326530612242E-2</v>
      </c>
      <c r="AA74" s="72">
        <v>4.0816326530612242E-2</v>
      </c>
      <c r="AB74" s="72">
        <v>4.1025641025641026E-2</v>
      </c>
      <c r="AD74" s="232">
        <v>60.439560439560438</v>
      </c>
      <c r="AE74" s="232">
        <v>49.723756906077348</v>
      </c>
      <c r="AF74" s="232">
        <v>38.043478260869563</v>
      </c>
      <c r="AG74" s="232">
        <v>36.64921465968586</v>
      </c>
      <c r="AH74" s="232">
        <v>30.76923076923077</v>
      </c>
      <c r="AI74" s="232">
        <v>25.380710659898476</v>
      </c>
      <c r="AJ74" s="232">
        <v>20.408163265306122</v>
      </c>
      <c r="AK74" s="232">
        <v>20.408163265306122</v>
      </c>
      <c r="AL74" s="232">
        <v>20.512820512820515</v>
      </c>
    </row>
    <row r="75" spans="2:38" x14ac:dyDescent="0.25">
      <c r="B75" s="72">
        <v>6.25E-2</v>
      </c>
      <c r="C75" s="72">
        <v>4.3902439024390241E-2</v>
      </c>
      <c r="D75" s="72">
        <v>2.9126213592233011E-2</v>
      </c>
      <c r="E75" s="72">
        <v>1.4354066985645933E-2</v>
      </c>
      <c r="F75" s="72">
        <v>0</v>
      </c>
      <c r="H75" s="72">
        <v>4.3269230769230768E-2</v>
      </c>
      <c r="I75" s="72">
        <v>3.9024390243902439E-2</v>
      </c>
      <c r="J75" s="72">
        <v>3.8834951456310676E-2</v>
      </c>
      <c r="K75" s="72">
        <v>3.8277511961722487E-2</v>
      </c>
      <c r="L75" s="72">
        <v>3.8095238095238099E-2</v>
      </c>
      <c r="N75" s="72">
        <v>0.46153846153846156</v>
      </c>
      <c r="O75" s="72">
        <v>0.5</v>
      </c>
      <c r="P75" s="72">
        <v>0.5</v>
      </c>
      <c r="Q75" s="72">
        <v>0.375</v>
      </c>
      <c r="R75" s="72">
        <v>0.33333333333333331</v>
      </c>
      <c r="T75" s="72">
        <v>7.5376884422110546E-2</v>
      </c>
      <c r="U75" s="72">
        <v>7.0000000000000007E-2</v>
      </c>
      <c r="V75" s="72">
        <v>6.3725490196078427E-2</v>
      </c>
      <c r="W75" s="72">
        <v>5.3140096618357488E-2</v>
      </c>
      <c r="X75" s="72">
        <v>4.3269230769230768E-2</v>
      </c>
      <c r="Y75" s="72">
        <v>4.784688995215311E-2</v>
      </c>
      <c r="Z75" s="72">
        <v>4.3269230769230768E-2</v>
      </c>
      <c r="AA75" s="72">
        <v>3.8461538461538464E-2</v>
      </c>
      <c r="AB75" s="72">
        <v>3.8277511961722487E-2</v>
      </c>
      <c r="AD75" s="232">
        <v>60.301507537688444</v>
      </c>
      <c r="AE75" s="232">
        <v>50</v>
      </c>
      <c r="AF75" s="232">
        <v>39.215686274509807</v>
      </c>
      <c r="AG75" s="232">
        <v>43.478260869565219</v>
      </c>
      <c r="AH75" s="232">
        <v>28.846153846153847</v>
      </c>
      <c r="AI75" s="232">
        <v>28.708133971291865</v>
      </c>
      <c r="AJ75" s="232">
        <v>33.653846153846153</v>
      </c>
      <c r="AK75" s="232">
        <v>33.653846153846153</v>
      </c>
      <c r="AL75" s="232">
        <v>33.492822966507177</v>
      </c>
    </row>
    <row r="76" spans="2:38" x14ac:dyDescent="0.25">
      <c r="B76" s="72">
        <v>3.8461538461538464E-2</v>
      </c>
      <c r="C76" s="72">
        <v>3.3653846153846152E-2</v>
      </c>
      <c r="D76" s="72">
        <v>1.4563106796116505E-2</v>
      </c>
      <c r="E76" s="72">
        <v>0</v>
      </c>
      <c r="F76" s="72">
        <v>0</v>
      </c>
      <c r="H76" s="72">
        <v>1.4423076923076924E-2</v>
      </c>
      <c r="I76" s="72">
        <v>1.4423076923076924E-2</v>
      </c>
      <c r="J76" s="72">
        <v>1.4563106796116505E-2</v>
      </c>
      <c r="K76" s="72">
        <v>9.6618357487922701E-3</v>
      </c>
      <c r="L76" s="72">
        <v>9.7087378640776691E-3</v>
      </c>
      <c r="N76" s="72">
        <v>0.16666666666666666</v>
      </c>
      <c r="O76" s="72">
        <v>0.16666666666666666</v>
      </c>
      <c r="P76" s="72">
        <v>0</v>
      </c>
      <c r="Q76" s="72">
        <v>0</v>
      </c>
      <c r="R76" s="72">
        <v>0</v>
      </c>
      <c r="T76" s="72">
        <v>0.04</v>
      </c>
      <c r="U76" s="72">
        <v>3.5000000000000003E-2</v>
      </c>
      <c r="V76" s="72">
        <v>2.4630541871921183E-2</v>
      </c>
      <c r="W76" s="72">
        <v>1.9230769230769232E-2</v>
      </c>
      <c r="X76" s="72">
        <v>1.4423076923076924E-2</v>
      </c>
      <c r="Y76" s="72">
        <v>1.4423076923076924E-2</v>
      </c>
      <c r="Z76" s="72">
        <v>1.4492753623188406E-2</v>
      </c>
      <c r="AA76" s="72">
        <v>1.4492753623188406E-2</v>
      </c>
      <c r="AB76" s="72">
        <v>1.4492753623188406E-2</v>
      </c>
      <c r="AD76" s="232">
        <v>35</v>
      </c>
      <c r="AE76" s="232">
        <v>35</v>
      </c>
      <c r="AF76" s="232">
        <v>19.704433497536947</v>
      </c>
      <c r="AG76" s="232">
        <v>4.8076923076923075</v>
      </c>
      <c r="AH76" s="232">
        <v>4.8076923076923075</v>
      </c>
      <c r="AI76" s="232">
        <v>0</v>
      </c>
      <c r="AJ76" s="232">
        <v>0</v>
      </c>
      <c r="AK76" s="232">
        <v>0</v>
      </c>
      <c r="AL76" s="232">
        <v>0</v>
      </c>
    </row>
    <row r="77" spans="2:38" x14ac:dyDescent="0.25">
      <c r="B77" s="72">
        <v>8.3916083916083919E-2</v>
      </c>
      <c r="C77" s="72">
        <v>6.25E-2</v>
      </c>
      <c r="D77" s="72">
        <v>3.4482758620689655E-2</v>
      </c>
      <c r="E77" s="72">
        <v>2.0547945205479451E-2</v>
      </c>
      <c r="F77" s="72">
        <v>0</v>
      </c>
      <c r="H77" s="72">
        <v>4.195804195804196E-2</v>
      </c>
      <c r="I77" s="72">
        <v>4.1666666666666664E-2</v>
      </c>
      <c r="J77" s="72">
        <v>3.4482758620689655E-2</v>
      </c>
      <c r="K77" s="72">
        <v>2.7397260273972601E-2</v>
      </c>
      <c r="L77" s="72">
        <v>3.4246575342465752E-2</v>
      </c>
      <c r="N77" s="72">
        <v>0.6</v>
      </c>
      <c r="O77" s="72">
        <v>0.5</v>
      </c>
      <c r="P77" s="72">
        <v>0.66666666666666663</v>
      </c>
      <c r="Q77" s="72">
        <v>0.5</v>
      </c>
      <c r="R77" s="72">
        <v>0.5</v>
      </c>
      <c r="T77" s="72">
        <v>7.1942446043165464E-2</v>
      </c>
      <c r="U77" s="72">
        <v>6.2937062937062943E-2</v>
      </c>
      <c r="V77" s="72">
        <v>6.3829787234042548E-2</v>
      </c>
      <c r="W77" s="72">
        <v>4.8611111111111112E-2</v>
      </c>
      <c r="X77" s="72">
        <v>4.195804195804196E-2</v>
      </c>
      <c r="Y77" s="72">
        <v>3.5211267605633804E-2</v>
      </c>
      <c r="Z77" s="72">
        <v>3.4965034965034968E-2</v>
      </c>
      <c r="AA77" s="72">
        <v>3.4965034965034968E-2</v>
      </c>
      <c r="AB77" s="72">
        <v>3.4246575342465752E-2</v>
      </c>
      <c r="AD77" s="232">
        <v>14.388489208633093</v>
      </c>
      <c r="AE77" s="232">
        <v>13.986013986013987</v>
      </c>
      <c r="AF77" s="232">
        <v>14.184397163120567</v>
      </c>
      <c r="AG77" s="232">
        <v>13.888888888888889</v>
      </c>
      <c r="AH77" s="232">
        <v>20.97902097902098</v>
      </c>
      <c r="AI77" s="232">
        <v>21.12676056338028</v>
      </c>
      <c r="AJ77" s="232">
        <v>20.97902097902098</v>
      </c>
      <c r="AK77" s="232">
        <v>20.97902097902098</v>
      </c>
      <c r="AL77" s="232">
        <v>20.547945205479451</v>
      </c>
    </row>
    <row r="78" spans="2:38" x14ac:dyDescent="0.25">
      <c r="B78" s="72">
        <v>5.6179775280898875E-2</v>
      </c>
      <c r="C78" s="72">
        <v>5.027932960893855E-2</v>
      </c>
      <c r="D78" s="72">
        <v>3.3519553072625698E-2</v>
      </c>
      <c r="E78" s="72">
        <v>1.1235955056179775E-2</v>
      </c>
      <c r="F78" s="72">
        <v>0</v>
      </c>
      <c r="H78" s="72">
        <v>2.8089887640449437E-2</v>
      </c>
      <c r="I78" s="72">
        <v>2.23463687150838E-2</v>
      </c>
      <c r="J78" s="72">
        <v>2.23463687150838E-2</v>
      </c>
      <c r="K78" s="72">
        <v>1.6853932584269662E-2</v>
      </c>
      <c r="L78" s="72">
        <v>1.6666666666666666E-2</v>
      </c>
      <c r="N78" s="72">
        <v>0.36363636363636365</v>
      </c>
      <c r="O78" s="72">
        <v>0.44444444444444442</v>
      </c>
      <c r="P78" s="72">
        <v>0.44444444444444442</v>
      </c>
      <c r="Q78" s="72">
        <v>0.5</v>
      </c>
      <c r="R78" s="72">
        <v>0.16666666666666666</v>
      </c>
      <c r="T78" s="72">
        <v>4.0935672514619881E-2</v>
      </c>
      <c r="U78" s="72">
        <v>2.3255813953488372E-2</v>
      </c>
      <c r="V78" s="72">
        <v>1.7543859649122806E-2</v>
      </c>
      <c r="W78" s="72">
        <v>2.2988505747126436E-2</v>
      </c>
      <c r="X78" s="72">
        <v>2.8089887640449437E-2</v>
      </c>
      <c r="Y78" s="72">
        <v>2.7932960893854747E-2</v>
      </c>
      <c r="Z78" s="72">
        <v>2.7932960893854747E-2</v>
      </c>
      <c r="AA78" s="72">
        <v>2.2222222222222223E-2</v>
      </c>
      <c r="AB78" s="72">
        <v>2.197802197802198E-2</v>
      </c>
      <c r="AD78" s="232">
        <v>17.543859649122808</v>
      </c>
      <c r="AE78" s="232">
        <v>17.441860465116278</v>
      </c>
      <c r="AF78" s="232">
        <v>29.239766081871345</v>
      </c>
      <c r="AG78" s="232">
        <v>22.988505747126435</v>
      </c>
      <c r="AH78" s="232">
        <v>22.471910112359552</v>
      </c>
      <c r="AI78" s="232">
        <v>22.346368715083798</v>
      </c>
      <c r="AJ78" s="232">
        <v>22.346368715083798</v>
      </c>
      <c r="AK78" s="232">
        <v>11.111111111111111</v>
      </c>
      <c r="AL78" s="232">
        <v>10.989010989010989</v>
      </c>
    </row>
    <row r="79" spans="2:38" x14ac:dyDescent="0.25">
      <c r="B79" s="72">
        <v>5.1428571428571428E-2</v>
      </c>
      <c r="C79" s="72">
        <v>3.4090909090909088E-2</v>
      </c>
      <c r="D79" s="72">
        <v>3.4285714285714287E-2</v>
      </c>
      <c r="E79" s="72">
        <v>2.8571428571428571E-2</v>
      </c>
      <c r="F79" s="72">
        <v>0</v>
      </c>
      <c r="H79" s="72">
        <v>0.04</v>
      </c>
      <c r="I79" s="72">
        <v>3.9772727272727272E-2</v>
      </c>
      <c r="J79" s="72">
        <v>2.8571428571428571E-2</v>
      </c>
      <c r="K79" s="72">
        <v>2.8571428571428571E-2</v>
      </c>
      <c r="L79" s="72">
        <v>1.7045454545454544E-2</v>
      </c>
      <c r="N79" s="72">
        <v>0.58333333333333337</v>
      </c>
      <c r="O79" s="72">
        <v>0.6</v>
      </c>
      <c r="P79" s="72">
        <v>0.45454545454545453</v>
      </c>
      <c r="Q79" s="72">
        <v>0.27272727272727271</v>
      </c>
      <c r="R79" s="72">
        <v>0.16666666666666666</v>
      </c>
      <c r="T79" s="72">
        <v>3.3898305084745763E-2</v>
      </c>
      <c r="U79" s="72">
        <v>3.9772727272727272E-2</v>
      </c>
      <c r="V79" s="72">
        <v>4.6511627906976744E-2</v>
      </c>
      <c r="W79" s="72">
        <v>0.04</v>
      </c>
      <c r="X79" s="72">
        <v>0.04</v>
      </c>
      <c r="Y79" s="72">
        <v>0.04</v>
      </c>
      <c r="Z79" s="72">
        <v>0.04</v>
      </c>
      <c r="AA79" s="72">
        <v>4.0229885057471264E-2</v>
      </c>
      <c r="AB79" s="72">
        <v>4.5977011494252873E-2</v>
      </c>
      <c r="AD79" s="232">
        <v>45.197740112994353</v>
      </c>
      <c r="AE79" s="232">
        <v>45.454545454545453</v>
      </c>
      <c r="AF79" s="232">
        <v>46.511627906976742</v>
      </c>
      <c r="AG79" s="232">
        <v>40</v>
      </c>
      <c r="AH79" s="232">
        <v>40</v>
      </c>
      <c r="AI79" s="232">
        <v>40</v>
      </c>
      <c r="AJ79" s="232">
        <v>40</v>
      </c>
      <c r="AK79" s="232">
        <v>45.977011494252871</v>
      </c>
      <c r="AL79" s="232">
        <v>45.977011494252871</v>
      </c>
    </row>
    <row r="80" spans="2:38" x14ac:dyDescent="0.25">
      <c r="B80" s="72">
        <v>5.0761421319796954E-2</v>
      </c>
      <c r="C80" s="72">
        <v>3.015075376884422E-2</v>
      </c>
      <c r="D80" s="72">
        <v>1.9607843137254902E-2</v>
      </c>
      <c r="E80" s="72">
        <v>4.8543689320388345E-3</v>
      </c>
      <c r="F80" s="72">
        <v>0</v>
      </c>
      <c r="H80" s="72">
        <v>6.0913705583756347E-2</v>
      </c>
      <c r="I80" s="72">
        <v>5.0251256281407038E-2</v>
      </c>
      <c r="J80" s="72">
        <v>4.9019607843137254E-2</v>
      </c>
      <c r="K80" s="72">
        <v>4.8543689320388349E-2</v>
      </c>
      <c r="L80" s="72">
        <v>4.784688995215311E-2</v>
      </c>
      <c r="N80" s="72">
        <v>0.4375</v>
      </c>
      <c r="O80" s="72">
        <v>0.33333333333333331</v>
      </c>
      <c r="P80" s="72">
        <v>0.1111111111111111</v>
      </c>
      <c r="Q80" s="72">
        <v>0.1111111111111111</v>
      </c>
      <c r="R80" s="72">
        <v>0.16666666666666666</v>
      </c>
      <c r="T80" s="72">
        <v>8.7378640776699032E-2</v>
      </c>
      <c r="U80" s="72">
        <v>7.8431372549019607E-2</v>
      </c>
      <c r="V80" s="72">
        <v>8.7804878048780483E-2</v>
      </c>
      <c r="W80" s="72">
        <v>6.4356435643564358E-2</v>
      </c>
      <c r="X80" s="72">
        <v>6.0913705583756347E-2</v>
      </c>
      <c r="Y80" s="72">
        <v>6.0913705583756347E-2</v>
      </c>
      <c r="Z80" s="72">
        <v>5.0761421319796954E-2</v>
      </c>
      <c r="AA80" s="72">
        <v>5.0761421319796954E-2</v>
      </c>
      <c r="AB80" s="72">
        <v>0.06</v>
      </c>
      <c r="AD80" s="232">
        <v>48.543689320388353</v>
      </c>
      <c r="AE80" s="232">
        <v>49.019607843137258</v>
      </c>
      <c r="AF80" s="232">
        <v>43.902439024390247</v>
      </c>
      <c r="AG80" s="232">
        <v>34.653465346534652</v>
      </c>
      <c r="AH80" s="232">
        <v>35.532994923857871</v>
      </c>
      <c r="AI80" s="232">
        <v>35.532994923857871</v>
      </c>
      <c r="AJ80" s="232">
        <v>35.532994923857871</v>
      </c>
      <c r="AK80" s="232">
        <v>40.609137055837564</v>
      </c>
      <c r="AL80" s="232">
        <v>45</v>
      </c>
    </row>
    <row r="81" spans="2:38" x14ac:dyDescent="0.25">
      <c r="B81" s="72">
        <v>5.4455445544554455E-2</v>
      </c>
      <c r="C81" s="72">
        <v>4.9261083743842367E-2</v>
      </c>
      <c r="D81" s="72">
        <v>3.482587064676617E-2</v>
      </c>
      <c r="E81" s="72">
        <v>1.0050251256281407E-2</v>
      </c>
      <c r="F81" s="72">
        <v>0</v>
      </c>
      <c r="H81" s="72">
        <v>4.4554455445544552E-2</v>
      </c>
      <c r="I81" s="72">
        <v>3.9408866995073892E-2</v>
      </c>
      <c r="J81" s="72">
        <v>3.482587064676617E-2</v>
      </c>
      <c r="K81" s="72">
        <v>3.5175879396984924E-2</v>
      </c>
      <c r="L81" s="72">
        <v>3.015075376884422E-2</v>
      </c>
      <c r="N81" s="72">
        <v>0.5714285714285714</v>
      </c>
      <c r="O81" s="72">
        <v>0.44444444444444442</v>
      </c>
      <c r="P81" s="72">
        <v>0.36363636363636365</v>
      </c>
      <c r="Q81" s="72">
        <v>0.30769230769230771</v>
      </c>
      <c r="R81" s="72">
        <v>0.23076923076923078</v>
      </c>
      <c r="T81" s="72">
        <v>4.8543689320388349E-2</v>
      </c>
      <c r="U81" s="72">
        <v>5.7971014492753624E-2</v>
      </c>
      <c r="V81" s="72">
        <v>4.878048780487805E-2</v>
      </c>
      <c r="W81" s="72">
        <v>6.280193236714976E-2</v>
      </c>
      <c r="X81" s="72">
        <v>4.4554455445544552E-2</v>
      </c>
      <c r="Y81" s="72">
        <v>4.4554455445544552E-2</v>
      </c>
      <c r="Z81" s="72">
        <v>3.9800995024875621E-2</v>
      </c>
      <c r="AA81" s="72">
        <v>4.4334975369458129E-2</v>
      </c>
      <c r="AB81" s="72">
        <v>4.9261083743842367E-2</v>
      </c>
      <c r="AD81" s="232">
        <v>29.126213592233011</v>
      </c>
      <c r="AE81" s="232">
        <v>24.154589371980677</v>
      </c>
      <c r="AF81" s="232">
        <v>24.390243902439025</v>
      </c>
      <c r="AG81" s="232">
        <v>24.154589371980677</v>
      </c>
      <c r="AH81" s="232">
        <v>19.801980198019802</v>
      </c>
      <c r="AI81" s="232">
        <v>19.801980198019802</v>
      </c>
      <c r="AJ81" s="232">
        <v>24.875621890547265</v>
      </c>
      <c r="AK81" s="232">
        <v>24.630541871921181</v>
      </c>
      <c r="AL81" s="232">
        <v>24.630541871921181</v>
      </c>
    </row>
    <row r="82" spans="2:38" x14ac:dyDescent="0.25">
      <c r="B82" s="72">
        <v>4.9723756906077346E-2</v>
      </c>
      <c r="C82" s="72">
        <v>3.3333333333333333E-2</v>
      </c>
      <c r="D82" s="72">
        <v>1.6666666666666666E-2</v>
      </c>
      <c r="E82" s="72">
        <v>5.5555555555555558E-3</v>
      </c>
      <c r="F82" s="72">
        <v>0</v>
      </c>
      <c r="H82" s="72">
        <v>1.6574585635359115E-2</v>
      </c>
      <c r="I82" s="72">
        <v>1.6666666666666666E-2</v>
      </c>
      <c r="J82" s="72">
        <v>1.6666666666666666E-2</v>
      </c>
      <c r="K82" s="72">
        <v>1.1111111111111112E-2</v>
      </c>
      <c r="L82" s="72">
        <v>1.098901098901099E-2</v>
      </c>
      <c r="N82" s="72">
        <v>0.625</v>
      </c>
      <c r="O82" s="72">
        <v>0.55555555555555558</v>
      </c>
      <c r="P82" s="72">
        <v>0.55555555555555558</v>
      </c>
      <c r="Q82" s="72">
        <v>0.44444444444444442</v>
      </c>
      <c r="R82" s="72">
        <v>0.4</v>
      </c>
      <c r="T82" s="72">
        <v>1.1428571428571429E-2</v>
      </c>
      <c r="U82" s="72">
        <v>1.1299435028248588E-2</v>
      </c>
      <c r="V82" s="72">
        <v>2.2727272727272728E-2</v>
      </c>
      <c r="W82" s="72">
        <v>2.2222222222222223E-2</v>
      </c>
      <c r="X82" s="72">
        <v>1.6574585635359115E-2</v>
      </c>
      <c r="Y82" s="72">
        <v>2.2222222222222223E-2</v>
      </c>
      <c r="Z82" s="72">
        <v>2.2099447513812154E-2</v>
      </c>
      <c r="AA82" s="72">
        <v>2.2099447513812154E-2</v>
      </c>
      <c r="AB82" s="72">
        <v>2.7472527472527472E-2</v>
      </c>
      <c r="AD82" s="232">
        <v>34.285714285714285</v>
      </c>
      <c r="AE82" s="232">
        <v>33.898305084745765</v>
      </c>
      <c r="AF82" s="232">
        <v>28.40909090909091</v>
      </c>
      <c r="AG82" s="232">
        <v>22.222222222222221</v>
      </c>
      <c r="AH82" s="232">
        <v>27.624309392265193</v>
      </c>
      <c r="AI82" s="232">
        <v>27.777777777777779</v>
      </c>
      <c r="AJ82" s="232">
        <v>27.624309392265193</v>
      </c>
      <c r="AK82" s="232">
        <v>22.099447513812155</v>
      </c>
      <c r="AL82" s="232">
        <v>21.978021978021978</v>
      </c>
    </row>
    <row r="83" spans="2:38" x14ac:dyDescent="0.25">
      <c r="B83" s="72">
        <v>4.4692737430167599E-2</v>
      </c>
      <c r="C83" s="72">
        <v>4.9723756906077346E-2</v>
      </c>
      <c r="D83" s="72">
        <v>2.2099447513812154E-2</v>
      </c>
      <c r="E83" s="72">
        <v>1.1049723756906077E-2</v>
      </c>
      <c r="F83" s="72">
        <v>5.4945054945054949E-3</v>
      </c>
      <c r="H83" s="72">
        <v>2.7932960893854747E-2</v>
      </c>
      <c r="I83" s="72">
        <v>2.7624309392265192E-2</v>
      </c>
      <c r="J83" s="72">
        <v>2.7624309392265192E-2</v>
      </c>
      <c r="K83" s="72">
        <v>2.7624309392265192E-2</v>
      </c>
      <c r="L83" s="72">
        <v>2.7472527472527472E-2</v>
      </c>
      <c r="N83" s="72">
        <v>0.375</v>
      </c>
      <c r="O83" s="72">
        <v>0.2</v>
      </c>
      <c r="P83" s="72">
        <v>0</v>
      </c>
      <c r="Q83" s="72">
        <v>0</v>
      </c>
      <c r="R83" s="72">
        <v>0</v>
      </c>
      <c r="T83" s="72">
        <v>2.8089887640449437E-2</v>
      </c>
      <c r="U83" s="72">
        <v>2.7932960893854747E-2</v>
      </c>
      <c r="V83" s="72">
        <v>3.3519553072625698E-2</v>
      </c>
      <c r="W83" s="72">
        <v>3.8674033149171269E-2</v>
      </c>
      <c r="X83" s="72">
        <v>2.7932960893854747E-2</v>
      </c>
      <c r="Y83" s="72">
        <v>2.7624309392265192E-2</v>
      </c>
      <c r="Z83" s="72">
        <v>2.7624309392265192E-2</v>
      </c>
      <c r="AA83" s="72">
        <v>2.7624309392265192E-2</v>
      </c>
      <c r="AB83" s="72">
        <v>2.7624309392265192E-2</v>
      </c>
      <c r="AD83" s="232">
        <v>33.707865168539328</v>
      </c>
      <c r="AE83" s="232">
        <v>16.759776536312849</v>
      </c>
      <c r="AF83" s="232">
        <v>16.759776536312849</v>
      </c>
      <c r="AG83" s="232">
        <v>16.574585635359117</v>
      </c>
      <c r="AH83" s="232">
        <v>16.759776536312849</v>
      </c>
      <c r="AI83" s="232">
        <v>11.049723756906078</v>
      </c>
      <c r="AJ83" s="232">
        <v>11.049723756906078</v>
      </c>
      <c r="AK83" s="232">
        <v>16.574585635359117</v>
      </c>
      <c r="AL83" s="232">
        <v>16.574585635359117</v>
      </c>
    </row>
    <row r="84" spans="2:38" x14ac:dyDescent="0.25">
      <c r="B84" s="72">
        <v>5.9523809523809521E-2</v>
      </c>
      <c r="C84" s="72">
        <v>4.1916167664670656E-2</v>
      </c>
      <c r="D84" s="72">
        <v>2.3809523809523808E-2</v>
      </c>
      <c r="E84" s="72">
        <v>1.2121212121212121E-2</v>
      </c>
      <c r="F84" s="72">
        <v>0</v>
      </c>
      <c r="H84" s="72">
        <v>2.976190476190476E-2</v>
      </c>
      <c r="I84" s="72">
        <v>1.1976047904191617E-2</v>
      </c>
      <c r="J84" s="72">
        <v>1.1904761904761904E-2</v>
      </c>
      <c r="K84" s="72">
        <v>6.0606060606060606E-3</v>
      </c>
      <c r="L84" s="72">
        <v>0</v>
      </c>
      <c r="N84" s="72">
        <v>0.5714285714285714</v>
      </c>
      <c r="O84" s="72">
        <v>0.5</v>
      </c>
      <c r="P84" s="72">
        <v>0.5714285714285714</v>
      </c>
      <c r="Q84" s="72">
        <v>0.4</v>
      </c>
      <c r="R84" s="72">
        <v>0.2</v>
      </c>
      <c r="T84" s="72">
        <v>3.7974683544303799E-2</v>
      </c>
      <c r="U84" s="72">
        <v>3.1055900621118012E-2</v>
      </c>
      <c r="V84" s="72">
        <v>3.6363636363636362E-2</v>
      </c>
      <c r="W84" s="72">
        <v>3.5928143712574849E-2</v>
      </c>
      <c r="X84" s="72">
        <v>2.976190476190476E-2</v>
      </c>
      <c r="Y84" s="72">
        <v>2.3952095808383235E-2</v>
      </c>
      <c r="Z84" s="72">
        <v>2.3809523809523808E-2</v>
      </c>
      <c r="AA84" s="72">
        <v>2.3809523809523808E-2</v>
      </c>
      <c r="AB84" s="72">
        <v>1.7441860465116279E-2</v>
      </c>
      <c r="AD84" s="232">
        <v>25.316455696202532</v>
      </c>
      <c r="AE84" s="232">
        <v>31.055900621118013</v>
      </c>
      <c r="AF84" s="232">
        <v>24.242424242424242</v>
      </c>
      <c r="AG84" s="232">
        <v>23.952095808383234</v>
      </c>
      <c r="AH84" s="232">
        <v>23.80952380952381</v>
      </c>
      <c r="AI84" s="232">
        <v>23.952095808383234</v>
      </c>
      <c r="AJ84" s="232">
        <v>23.80952380952381</v>
      </c>
      <c r="AK84" s="232">
        <v>23.80952380952381</v>
      </c>
      <c r="AL84" s="232">
        <v>23.255813953488371</v>
      </c>
    </row>
    <row r="85" spans="2:38" x14ac:dyDescent="0.25">
      <c r="B85" s="72">
        <v>5.8823529411764705E-2</v>
      </c>
      <c r="C85" s="72">
        <v>4.4334975369458129E-2</v>
      </c>
      <c r="D85" s="72">
        <v>2.0100502512562814E-2</v>
      </c>
      <c r="E85" s="72">
        <v>0</v>
      </c>
      <c r="F85" s="72">
        <v>0</v>
      </c>
      <c r="H85" s="72">
        <v>3.9215686274509803E-2</v>
      </c>
      <c r="I85" s="72">
        <v>3.4482758620689655E-2</v>
      </c>
      <c r="J85" s="72">
        <v>3.015075376884422E-2</v>
      </c>
      <c r="K85" s="72">
        <v>2.5380710659898477E-2</v>
      </c>
      <c r="L85" s="72">
        <v>2.0408163265306121E-2</v>
      </c>
      <c r="N85" s="72">
        <v>0.84615384615384615</v>
      </c>
      <c r="O85" s="72">
        <v>0.7142857142857143</v>
      </c>
      <c r="P85" s="72">
        <v>0.5</v>
      </c>
      <c r="Q85" s="72">
        <v>0.47058823529411764</v>
      </c>
      <c r="R85" s="72">
        <v>0.36842105263157893</v>
      </c>
      <c r="T85" s="72">
        <v>7.1065989847715741E-2</v>
      </c>
      <c r="U85" s="72">
        <v>5.9701492537313432E-2</v>
      </c>
      <c r="V85" s="72">
        <v>5.0505050505050504E-2</v>
      </c>
      <c r="W85" s="72">
        <v>4.9261083743842367E-2</v>
      </c>
      <c r="X85" s="72">
        <v>3.9215686274509803E-2</v>
      </c>
      <c r="Y85" s="72">
        <v>4.3902439024390241E-2</v>
      </c>
      <c r="Z85" s="72">
        <v>4.9504950495049507E-2</v>
      </c>
      <c r="AA85" s="72">
        <v>4.9261083743842367E-2</v>
      </c>
      <c r="AB85" s="72">
        <v>4.3902439024390241E-2</v>
      </c>
      <c r="AD85" s="232">
        <v>76.142131979695435</v>
      </c>
      <c r="AE85" s="232">
        <v>74.626865671641795</v>
      </c>
      <c r="AF85" s="232">
        <v>65.656565656565661</v>
      </c>
      <c r="AG85" s="232">
        <v>54.187192118226598</v>
      </c>
      <c r="AH85" s="232">
        <v>53.921568627450981</v>
      </c>
      <c r="AI85" s="232">
        <v>53.658536585365852</v>
      </c>
      <c r="AJ85" s="232">
        <v>59.405940594059409</v>
      </c>
      <c r="AK85" s="232">
        <v>59.11330049261084</v>
      </c>
      <c r="AL85" s="232">
        <v>39.024390243902438</v>
      </c>
    </row>
    <row r="86" spans="2:38" x14ac:dyDescent="0.25">
      <c r="B86" s="72">
        <v>6.4039408866995079E-2</v>
      </c>
      <c r="C86" s="72">
        <v>4.4554455445544552E-2</v>
      </c>
      <c r="D86" s="72">
        <v>3.9603960396039604E-2</v>
      </c>
      <c r="E86" s="72">
        <v>2.4752475247524754E-2</v>
      </c>
      <c r="F86" s="72">
        <v>0</v>
      </c>
      <c r="H86" s="72">
        <v>2.4630541871921183E-2</v>
      </c>
      <c r="I86" s="72">
        <v>2.4752475247524754E-2</v>
      </c>
      <c r="J86" s="72">
        <v>2.4752475247524754E-2</v>
      </c>
      <c r="K86" s="72">
        <v>2.4752475247524754E-2</v>
      </c>
      <c r="L86" s="72">
        <v>2.4630541871921183E-2</v>
      </c>
      <c r="N86" s="72">
        <v>0.66666666666666663</v>
      </c>
      <c r="O86" s="72">
        <v>0.6</v>
      </c>
      <c r="P86" s="72">
        <v>0.66666666666666663</v>
      </c>
      <c r="Q86" s="72">
        <v>0.5</v>
      </c>
      <c r="R86" s="72">
        <v>0.42857142857142855</v>
      </c>
      <c r="T86" s="72">
        <v>4.0201005025125629E-2</v>
      </c>
      <c r="U86" s="72">
        <v>5.4726368159203981E-2</v>
      </c>
      <c r="V86" s="72">
        <v>4.4999999999999998E-2</v>
      </c>
      <c r="W86" s="72">
        <v>2.9556650246305417E-2</v>
      </c>
      <c r="X86" s="72">
        <v>2.4630541871921183E-2</v>
      </c>
      <c r="Y86" s="72">
        <v>2.4509803921568627E-2</v>
      </c>
      <c r="Z86" s="72">
        <v>3.4313725490196081E-2</v>
      </c>
      <c r="AA86" s="72">
        <v>2.9268292682926831E-2</v>
      </c>
      <c r="AB86" s="72">
        <v>2.9411764705882353E-2</v>
      </c>
      <c r="AD86" s="232">
        <v>50.251256281407038</v>
      </c>
      <c r="AE86" s="232">
        <v>44.776119402985074</v>
      </c>
      <c r="AF86" s="232">
        <v>40</v>
      </c>
      <c r="AG86" s="232">
        <v>34.482758620689658</v>
      </c>
      <c r="AH86" s="232">
        <v>29.55665024630542</v>
      </c>
      <c r="AI86" s="232">
        <v>29.411764705882351</v>
      </c>
      <c r="AJ86" s="232">
        <v>34.313725490196077</v>
      </c>
      <c r="AK86" s="232">
        <v>24.390243902439025</v>
      </c>
      <c r="AL86" s="232">
        <v>24.509803921568629</v>
      </c>
    </row>
    <row r="87" spans="2:38" x14ac:dyDescent="0.25">
      <c r="B87" s="72">
        <v>7.8817733990147784E-2</v>
      </c>
      <c r="C87" s="72">
        <v>0.06</v>
      </c>
      <c r="D87" s="72">
        <v>4.9504950495049507E-2</v>
      </c>
      <c r="E87" s="72">
        <v>2.9702970297029702E-2</v>
      </c>
      <c r="F87" s="72">
        <v>0</v>
      </c>
      <c r="H87" s="72">
        <v>4.4334975369458129E-2</v>
      </c>
      <c r="I87" s="72">
        <v>0.04</v>
      </c>
      <c r="J87" s="72">
        <v>3.4653465346534656E-2</v>
      </c>
      <c r="K87" s="72">
        <v>3.4653465346534656E-2</v>
      </c>
      <c r="L87" s="72">
        <v>4.3902439024390241E-2</v>
      </c>
      <c r="N87" s="72">
        <v>0.5</v>
      </c>
      <c r="O87" s="72">
        <v>0.55555555555555558</v>
      </c>
      <c r="P87" s="72">
        <v>0.5714285714285714</v>
      </c>
      <c r="Q87" s="72">
        <v>0.5714285714285714</v>
      </c>
      <c r="R87" s="72">
        <v>0.66666666666666663</v>
      </c>
      <c r="T87" s="72">
        <v>4.3902439024390241E-2</v>
      </c>
      <c r="U87" s="72">
        <v>5.4455445544554455E-2</v>
      </c>
      <c r="V87" s="72">
        <v>5.5E-2</v>
      </c>
      <c r="W87" s="72">
        <v>4.9019607843137254E-2</v>
      </c>
      <c r="X87" s="72">
        <v>4.4334975369458129E-2</v>
      </c>
      <c r="Y87" s="72">
        <v>3.4313725490196081E-2</v>
      </c>
      <c r="Z87" s="72">
        <v>3.4146341463414637E-2</v>
      </c>
      <c r="AA87" s="72">
        <v>2.8985507246376812E-2</v>
      </c>
      <c r="AB87" s="72">
        <v>2.8846153846153848E-2</v>
      </c>
      <c r="AD87" s="232">
        <v>39.024390243902438</v>
      </c>
      <c r="AE87" s="232">
        <v>44.554455445544555</v>
      </c>
      <c r="AF87" s="232">
        <v>45</v>
      </c>
      <c r="AG87" s="232">
        <v>34.313725490196077</v>
      </c>
      <c r="AH87" s="232">
        <v>24.630541871921181</v>
      </c>
      <c r="AI87" s="232">
        <v>24.509803921568629</v>
      </c>
      <c r="AJ87" s="232">
        <v>19.512195121951219</v>
      </c>
      <c r="AK87" s="232">
        <v>14.492753623188406</v>
      </c>
      <c r="AL87" s="232">
        <v>14.423076923076923</v>
      </c>
    </row>
    <row r="88" spans="2:38" x14ac:dyDescent="0.25">
      <c r="B88" s="72">
        <v>6.8783068783068779E-2</v>
      </c>
      <c r="C88" s="72">
        <v>5.2910052910052907E-2</v>
      </c>
      <c r="D88" s="72">
        <v>3.1578947368421054E-2</v>
      </c>
      <c r="E88" s="72">
        <v>2.1052631578947368E-2</v>
      </c>
      <c r="F88" s="72">
        <v>0</v>
      </c>
      <c r="H88" s="72">
        <v>2.1164021164021163E-2</v>
      </c>
      <c r="I88" s="72">
        <v>2.6455026455026454E-2</v>
      </c>
      <c r="J88" s="72">
        <v>2.1052631578947368E-2</v>
      </c>
      <c r="K88" s="72">
        <v>1.5789473684210527E-2</v>
      </c>
      <c r="L88" s="72">
        <v>2.1052631578947368E-2</v>
      </c>
      <c r="N88" s="72">
        <v>0.375</v>
      </c>
      <c r="O88" s="72">
        <v>0.33333333333333331</v>
      </c>
      <c r="P88" s="72">
        <v>0.33333333333333331</v>
      </c>
      <c r="Q88" s="72">
        <v>0.375</v>
      </c>
      <c r="R88" s="72">
        <v>0.33333333333333331</v>
      </c>
      <c r="T88" s="72">
        <v>4.2328042328042326E-2</v>
      </c>
      <c r="U88" s="72">
        <v>3.7433155080213901E-2</v>
      </c>
      <c r="V88" s="72">
        <v>3.7037037037037035E-2</v>
      </c>
      <c r="W88" s="72">
        <v>3.1413612565445025E-2</v>
      </c>
      <c r="X88" s="72">
        <v>2.1164021164021163E-2</v>
      </c>
      <c r="Y88" s="72">
        <v>2.1164021164021163E-2</v>
      </c>
      <c r="Z88" s="72">
        <v>1.5789473684210527E-2</v>
      </c>
      <c r="AA88" s="72">
        <v>1.5873015873015872E-2</v>
      </c>
      <c r="AB88" s="72">
        <v>1.5957446808510637E-2</v>
      </c>
      <c r="AD88" s="232">
        <v>26.455026455026456</v>
      </c>
      <c r="AE88" s="232">
        <v>21.390374331550802</v>
      </c>
      <c r="AF88" s="232">
        <v>21.164021164021165</v>
      </c>
      <c r="AG88" s="232">
        <v>20.94240837696335</v>
      </c>
      <c r="AH88" s="232">
        <v>15.873015873015873</v>
      </c>
      <c r="AI88" s="232">
        <v>15.873015873015873</v>
      </c>
      <c r="AJ88" s="232">
        <v>15.789473684210526</v>
      </c>
      <c r="AK88" s="232">
        <v>15.873015873015873</v>
      </c>
      <c r="AL88" s="232">
        <v>15.957446808510639</v>
      </c>
    </row>
    <row r="89" spans="2:38" x14ac:dyDescent="0.25">
      <c r="B89" s="72">
        <v>7.3619631901840496E-2</v>
      </c>
      <c r="C89" s="72">
        <v>6.2111801242236024E-2</v>
      </c>
      <c r="D89" s="72">
        <v>4.9689440993788817E-2</v>
      </c>
      <c r="E89" s="72">
        <v>2.4844720496894408E-2</v>
      </c>
      <c r="F89" s="72">
        <v>0</v>
      </c>
      <c r="H89" s="72">
        <v>5.5214723926380369E-2</v>
      </c>
      <c r="I89" s="72">
        <v>5.5900621118012424E-2</v>
      </c>
      <c r="J89" s="72">
        <v>4.3478260869565216E-2</v>
      </c>
      <c r="K89" s="72">
        <v>2.4844720496894408E-2</v>
      </c>
      <c r="L89" s="72">
        <v>2.4691358024691357E-2</v>
      </c>
      <c r="N89" s="72">
        <v>0.625</v>
      </c>
      <c r="O89" s="72">
        <v>0.45454545454545453</v>
      </c>
      <c r="P89" s="72">
        <v>0.45454545454545453</v>
      </c>
      <c r="Q89" s="72">
        <v>0.45454545454545453</v>
      </c>
      <c r="R89" s="72">
        <v>0.33333333333333331</v>
      </c>
      <c r="T89" s="72">
        <v>5.7324840764331211E-2</v>
      </c>
      <c r="U89" s="72">
        <v>6.9182389937106917E-2</v>
      </c>
      <c r="V89" s="72">
        <v>4.9382716049382713E-2</v>
      </c>
      <c r="W89" s="72">
        <v>4.878048780487805E-2</v>
      </c>
      <c r="X89" s="72">
        <v>5.5214723926380369E-2</v>
      </c>
      <c r="Y89" s="72">
        <v>5.5555555555555552E-2</v>
      </c>
      <c r="Z89" s="72">
        <v>5.5555555555555552E-2</v>
      </c>
      <c r="AA89" s="72">
        <v>5.5555555555555552E-2</v>
      </c>
      <c r="AB89" s="72">
        <v>4.878048780487805E-2</v>
      </c>
      <c r="AD89" s="232">
        <v>44.585987261146499</v>
      </c>
      <c r="AE89" s="232">
        <v>37.735849056603776</v>
      </c>
      <c r="AF89" s="232">
        <v>43.209876543209873</v>
      </c>
      <c r="AG89" s="232">
        <v>30.487804878048781</v>
      </c>
      <c r="AH89" s="232">
        <v>30.674846625766872</v>
      </c>
      <c r="AI89" s="232">
        <v>30.864197530864196</v>
      </c>
      <c r="AJ89" s="232">
        <v>30.864197530864196</v>
      </c>
      <c r="AK89" s="232">
        <v>30.864197530864196</v>
      </c>
      <c r="AL89" s="232">
        <v>24.390243902439025</v>
      </c>
    </row>
    <row r="90" spans="2:38" x14ac:dyDescent="0.25">
      <c r="B90" s="72">
        <v>7.9365079365079361E-2</v>
      </c>
      <c r="C90" s="72">
        <v>3.7433155080213901E-2</v>
      </c>
      <c r="D90" s="72">
        <v>2.6315789473684209E-2</v>
      </c>
      <c r="E90" s="72">
        <v>2.6455026455026454E-2</v>
      </c>
      <c r="F90" s="72">
        <v>1.0471204188481676E-2</v>
      </c>
      <c r="H90" s="72">
        <v>4.2328042328042326E-2</v>
      </c>
      <c r="I90" s="72">
        <v>3.7433155080213901E-2</v>
      </c>
      <c r="J90" s="72">
        <v>3.6842105263157891E-2</v>
      </c>
      <c r="K90" s="72">
        <v>3.1746031746031744E-2</v>
      </c>
      <c r="L90" s="72">
        <v>3.6649214659685861E-2</v>
      </c>
      <c r="N90" s="72">
        <v>0.75</v>
      </c>
      <c r="O90" s="72">
        <v>0.55555555555555558</v>
      </c>
      <c r="P90" s="72">
        <v>0.5</v>
      </c>
      <c r="Q90" s="72">
        <v>0.33333333333333331</v>
      </c>
      <c r="R90" s="72">
        <v>0.25</v>
      </c>
      <c r="T90" s="72">
        <v>5.8201058201058198E-2</v>
      </c>
      <c r="U90" s="72">
        <v>4.7619047619047616E-2</v>
      </c>
      <c r="V90" s="72">
        <v>4.712041884816754E-2</v>
      </c>
      <c r="W90" s="72">
        <v>4.3010752688172046E-2</v>
      </c>
      <c r="X90" s="72">
        <v>4.2328042328042326E-2</v>
      </c>
      <c r="Y90" s="72">
        <v>4.2553191489361701E-2</v>
      </c>
      <c r="Z90" s="72">
        <v>3.7234042553191488E-2</v>
      </c>
      <c r="AA90" s="72">
        <v>4.2780748663101602E-2</v>
      </c>
      <c r="AB90" s="72">
        <v>4.2780748663101602E-2</v>
      </c>
      <c r="AD90" s="232">
        <v>58.201058201058203</v>
      </c>
      <c r="AE90" s="232">
        <v>52.910052910052912</v>
      </c>
      <c r="AF90" s="232">
        <v>41.8848167539267</v>
      </c>
      <c r="AG90" s="232">
        <v>43.01075268817204</v>
      </c>
      <c r="AH90" s="232">
        <v>31.746031746031747</v>
      </c>
      <c r="AI90" s="232">
        <v>31.914893617021278</v>
      </c>
      <c r="AJ90" s="232">
        <v>31.914893617021278</v>
      </c>
      <c r="AK90" s="232">
        <v>26.737967914438503</v>
      </c>
      <c r="AL90" s="232">
        <v>26.737967914438503</v>
      </c>
    </row>
    <row r="91" spans="2:38" x14ac:dyDescent="0.25">
      <c r="B91" s="72">
        <v>8.5106382978723402E-2</v>
      </c>
      <c r="C91" s="72">
        <v>6.3829787234042548E-2</v>
      </c>
      <c r="D91" s="72">
        <v>3.2432432432432434E-2</v>
      </c>
      <c r="E91" s="72">
        <v>1.6216216216216217E-2</v>
      </c>
      <c r="F91" s="72">
        <v>0</v>
      </c>
      <c r="H91" s="72">
        <v>2.6595744680851064E-2</v>
      </c>
      <c r="I91" s="72">
        <v>2.1276595744680851E-2</v>
      </c>
      <c r="J91" s="72">
        <v>2.1621621621621623E-2</v>
      </c>
      <c r="K91" s="72">
        <v>2.1621621621621623E-2</v>
      </c>
      <c r="L91" s="72">
        <v>2.1390374331550801E-2</v>
      </c>
      <c r="N91" s="72">
        <v>0.6875</v>
      </c>
      <c r="O91" s="72">
        <v>0.53333333333333333</v>
      </c>
      <c r="P91" s="72">
        <v>0.5</v>
      </c>
      <c r="Q91" s="72">
        <v>0.4375</v>
      </c>
      <c r="R91" s="72">
        <v>0.375</v>
      </c>
      <c r="T91" s="72">
        <v>3.2258064516129031E-2</v>
      </c>
      <c r="U91" s="72">
        <v>3.783783783783784E-2</v>
      </c>
      <c r="V91" s="72">
        <v>3.7433155080213901E-2</v>
      </c>
      <c r="W91" s="72">
        <v>3.7234042553191488E-2</v>
      </c>
      <c r="X91" s="72">
        <v>2.6595744680851064E-2</v>
      </c>
      <c r="Y91" s="72">
        <v>2.6737967914438502E-2</v>
      </c>
      <c r="Z91" s="72">
        <v>2.6737967914438502E-2</v>
      </c>
      <c r="AA91" s="72">
        <v>2.185792349726776E-2</v>
      </c>
      <c r="AB91" s="72">
        <v>1.6393442622950821E-2</v>
      </c>
      <c r="AD91" s="232">
        <v>69.892473118279568</v>
      </c>
      <c r="AE91" s="232">
        <v>75.675675675675677</v>
      </c>
      <c r="AF91" s="232">
        <v>69.518716577540104</v>
      </c>
      <c r="AG91" s="232">
        <v>63.829787234042556</v>
      </c>
      <c r="AH91" s="232">
        <v>58.51063829787234</v>
      </c>
      <c r="AI91" s="232">
        <v>58.823529411764703</v>
      </c>
      <c r="AJ91" s="232">
        <v>58.823529411764703</v>
      </c>
      <c r="AK91" s="232">
        <v>65.573770491803273</v>
      </c>
      <c r="AL91" s="232">
        <v>60.10928961748634</v>
      </c>
    </row>
    <row r="92" spans="2:38" x14ac:dyDescent="0.25">
      <c r="B92" s="72">
        <v>5.7894736842105263E-2</v>
      </c>
      <c r="C92" s="72">
        <v>5.128205128205128E-2</v>
      </c>
      <c r="D92" s="72">
        <v>4.0816326530612242E-2</v>
      </c>
      <c r="E92" s="72">
        <v>2.0408163265306121E-2</v>
      </c>
      <c r="F92" s="72">
        <v>0</v>
      </c>
      <c r="H92" s="72">
        <v>3.6842105263157891E-2</v>
      </c>
      <c r="I92" s="72">
        <v>3.5897435897435895E-2</v>
      </c>
      <c r="J92" s="72">
        <v>4.0816326530612242E-2</v>
      </c>
      <c r="K92" s="72">
        <v>3.0612244897959183E-2</v>
      </c>
      <c r="L92" s="72">
        <v>2.5380710659898477E-2</v>
      </c>
      <c r="N92" s="72">
        <v>0.41666666666666669</v>
      </c>
      <c r="O92" s="72">
        <v>0.2857142857142857</v>
      </c>
      <c r="P92" s="72">
        <v>0.33333333333333331</v>
      </c>
      <c r="Q92" s="72">
        <v>0.33333333333333331</v>
      </c>
      <c r="R92" s="72">
        <v>0.33333333333333331</v>
      </c>
      <c r="T92" s="72">
        <v>8.2901554404145081E-2</v>
      </c>
      <c r="U92" s="72">
        <v>7.7720207253886009E-2</v>
      </c>
      <c r="V92" s="72">
        <v>6.3492063492063489E-2</v>
      </c>
      <c r="W92" s="72">
        <v>3.6842105263157891E-2</v>
      </c>
      <c r="X92" s="72">
        <v>3.6842105263157891E-2</v>
      </c>
      <c r="Y92" s="72">
        <v>3.1914893617021274E-2</v>
      </c>
      <c r="Z92" s="72">
        <v>2.6737967914438502E-2</v>
      </c>
      <c r="AA92" s="72">
        <v>2.6595744680851064E-2</v>
      </c>
      <c r="AB92" s="72">
        <v>2.1052631578947368E-2</v>
      </c>
      <c r="AD92" s="232">
        <v>31.088082901554404</v>
      </c>
      <c r="AE92" s="232">
        <v>31.088082901554404</v>
      </c>
      <c r="AF92" s="232">
        <v>37.037037037037038</v>
      </c>
      <c r="AG92" s="232">
        <v>31.578947368421051</v>
      </c>
      <c r="AH92" s="232">
        <v>26.315789473684209</v>
      </c>
      <c r="AI92" s="232">
        <v>31.914893617021278</v>
      </c>
      <c r="AJ92" s="232">
        <v>32.085561497326204</v>
      </c>
      <c r="AK92" s="232">
        <v>31.914893617021278</v>
      </c>
      <c r="AL92" s="232">
        <v>31.578947368421051</v>
      </c>
    </row>
    <row r="93" spans="2:38" x14ac:dyDescent="0.25">
      <c r="B93" s="72">
        <v>7.3684210526315783E-2</v>
      </c>
      <c r="C93" s="72">
        <v>5.2910052910052907E-2</v>
      </c>
      <c r="D93" s="72">
        <v>4.8128342245989303E-2</v>
      </c>
      <c r="E93" s="72">
        <v>4.2553191489361701E-2</v>
      </c>
      <c r="F93" s="72">
        <v>0</v>
      </c>
      <c r="H93" s="72">
        <v>4.736842105263158E-2</v>
      </c>
      <c r="I93" s="72">
        <v>4.7619047619047616E-2</v>
      </c>
      <c r="J93" s="72">
        <v>3.7433155080213901E-2</v>
      </c>
      <c r="K93" s="72">
        <v>3.7234042553191488E-2</v>
      </c>
      <c r="L93" s="72">
        <v>3.2432432432432434E-2</v>
      </c>
      <c r="N93" s="72">
        <v>0.77777777777777779</v>
      </c>
      <c r="O93" s="72">
        <v>0.8</v>
      </c>
      <c r="P93" s="72">
        <v>0.66666666666666663</v>
      </c>
      <c r="Q93" s="72">
        <v>0.72727272727272729</v>
      </c>
      <c r="R93" s="72">
        <v>0.53846153846153844</v>
      </c>
      <c r="T93" s="72">
        <v>4.8913043478260872E-2</v>
      </c>
      <c r="U93" s="72">
        <v>5.9139784946236562E-2</v>
      </c>
      <c r="V93" s="72">
        <v>5.2356020942408377E-2</v>
      </c>
      <c r="W93" s="72">
        <v>4.7872340425531915E-2</v>
      </c>
      <c r="X93" s="72">
        <v>4.736842105263158E-2</v>
      </c>
      <c r="Y93" s="72">
        <v>4.1884816753926704E-2</v>
      </c>
      <c r="Z93" s="72">
        <v>4.1666666666666664E-2</v>
      </c>
      <c r="AA93" s="72">
        <v>4.1884816753926704E-2</v>
      </c>
      <c r="AB93" s="72">
        <v>3.608247422680412E-2</v>
      </c>
      <c r="AD93" s="232">
        <v>43.478260869565219</v>
      </c>
      <c r="AE93" s="232">
        <v>37.634408602150536</v>
      </c>
      <c r="AF93" s="232">
        <v>36.64921465968586</v>
      </c>
      <c r="AG93" s="232">
        <v>42.553191489361701</v>
      </c>
      <c r="AH93" s="232">
        <v>36.842105263157897</v>
      </c>
      <c r="AI93" s="232">
        <v>36.64921465968586</v>
      </c>
      <c r="AJ93" s="232">
        <v>36.458333333333336</v>
      </c>
      <c r="AK93" s="232">
        <v>36.64921465968586</v>
      </c>
      <c r="AL93" s="232">
        <v>30.927835051546392</v>
      </c>
    </row>
    <row r="94" spans="2:38" x14ac:dyDescent="0.25">
      <c r="B94" s="72">
        <v>8.0924855491329481E-2</v>
      </c>
      <c r="C94" s="72">
        <v>5.7803468208092484E-2</v>
      </c>
      <c r="D94" s="72">
        <v>3.4883720930232558E-2</v>
      </c>
      <c r="E94" s="72">
        <v>2.3391812865497075E-2</v>
      </c>
      <c r="F94" s="72">
        <v>0</v>
      </c>
      <c r="H94" s="72">
        <v>1.1560693641618497E-2</v>
      </c>
      <c r="I94" s="72">
        <v>5.7803468208092483E-3</v>
      </c>
      <c r="J94" s="72">
        <v>5.8139534883720929E-3</v>
      </c>
      <c r="K94" s="72">
        <v>5.8479532163742687E-3</v>
      </c>
      <c r="L94" s="72">
        <v>5.7803468208092483E-3</v>
      </c>
      <c r="N94" s="72">
        <v>1</v>
      </c>
      <c r="O94" s="72">
        <v>0.8571428571428571</v>
      </c>
      <c r="P94" s="72">
        <v>0.75</v>
      </c>
      <c r="Q94" s="72">
        <v>0.66666666666666663</v>
      </c>
      <c r="R94" s="72">
        <v>0.42857142857142855</v>
      </c>
      <c r="T94" s="72">
        <v>4.3209876543209874E-2</v>
      </c>
      <c r="U94" s="72">
        <v>3.5714285714285712E-2</v>
      </c>
      <c r="V94" s="72">
        <v>3.5294117647058823E-2</v>
      </c>
      <c r="W94" s="72">
        <v>2.9411764705882353E-2</v>
      </c>
      <c r="X94" s="72">
        <v>1.1560693641618497E-2</v>
      </c>
      <c r="Y94" s="72">
        <v>1.1494252873563218E-2</v>
      </c>
      <c r="Z94" s="72">
        <v>1.1428571428571429E-2</v>
      </c>
      <c r="AA94" s="72">
        <v>1.1428571428571429E-2</v>
      </c>
      <c r="AB94" s="72">
        <v>1.7142857142857144E-2</v>
      </c>
      <c r="AD94" s="232">
        <v>49.382716049382715</v>
      </c>
      <c r="AE94" s="232">
        <v>47.61904761904762</v>
      </c>
      <c r="AF94" s="232">
        <v>47.058823529411768</v>
      </c>
      <c r="AG94" s="232">
        <v>47.058823529411768</v>
      </c>
      <c r="AH94" s="232">
        <v>40.462427745664741</v>
      </c>
      <c r="AI94" s="232">
        <v>45.977011494252871</v>
      </c>
      <c r="AJ94" s="232">
        <v>45.714285714285715</v>
      </c>
      <c r="AK94" s="232">
        <v>51.428571428571431</v>
      </c>
      <c r="AL94" s="232">
        <v>51.428571428571431</v>
      </c>
    </row>
    <row r="95" spans="2:38" x14ac:dyDescent="0.25">
      <c r="B95" s="72">
        <v>5.7142857142857141E-2</v>
      </c>
      <c r="C95" s="72">
        <v>4.5977011494252873E-2</v>
      </c>
      <c r="D95" s="72">
        <v>0.04</v>
      </c>
      <c r="E95" s="72">
        <v>1.7142857142857144E-2</v>
      </c>
      <c r="F95" s="72">
        <v>0</v>
      </c>
      <c r="H95" s="72">
        <v>2.8571428571428571E-2</v>
      </c>
      <c r="I95" s="72">
        <v>2.2988505747126436E-2</v>
      </c>
      <c r="J95" s="72">
        <v>1.7142857142857144E-2</v>
      </c>
      <c r="K95" s="72">
        <v>1.1428571428571429E-2</v>
      </c>
      <c r="L95" s="72">
        <v>1.1363636363636364E-2</v>
      </c>
      <c r="N95" s="72">
        <v>0.75</v>
      </c>
      <c r="O95" s="72">
        <v>0.75</v>
      </c>
      <c r="P95" s="72">
        <v>0.5</v>
      </c>
      <c r="Q95" s="72">
        <v>0.5</v>
      </c>
      <c r="R95" s="72">
        <v>0.5</v>
      </c>
      <c r="T95" s="72">
        <v>0.04</v>
      </c>
      <c r="U95" s="72">
        <v>4.0697674418604654E-2</v>
      </c>
      <c r="V95" s="72">
        <v>4.046242774566474E-2</v>
      </c>
      <c r="W95" s="72">
        <v>4.0697674418604654E-2</v>
      </c>
      <c r="X95" s="72">
        <v>2.8571428571428571E-2</v>
      </c>
      <c r="Y95" s="72">
        <v>2.8901734104046242E-2</v>
      </c>
      <c r="Z95" s="72">
        <v>2.8735632183908046E-2</v>
      </c>
      <c r="AA95" s="72">
        <v>2.8735632183908046E-2</v>
      </c>
      <c r="AB95" s="72">
        <v>2.2988505747126436E-2</v>
      </c>
      <c r="AD95" s="232">
        <v>5.7142857142857144</v>
      </c>
      <c r="AE95" s="232">
        <v>11.627906976744185</v>
      </c>
      <c r="AF95" s="232">
        <v>5.7803468208092488</v>
      </c>
      <c r="AG95" s="232">
        <v>11.627906976744185</v>
      </c>
      <c r="AH95" s="232">
        <v>17.142857142857142</v>
      </c>
      <c r="AI95" s="232">
        <v>17.341040462427745</v>
      </c>
      <c r="AJ95" s="232">
        <v>11.494252873563218</v>
      </c>
      <c r="AK95" s="232">
        <v>11.494252873563218</v>
      </c>
      <c r="AL95" s="232">
        <v>11.494252873563218</v>
      </c>
    </row>
    <row r="96" spans="2:38" x14ac:dyDescent="0.25">
      <c r="B96" s="72">
        <v>8.6021505376344093E-2</v>
      </c>
      <c r="C96" s="72">
        <v>7.0270270270270274E-2</v>
      </c>
      <c r="D96" s="72">
        <v>5.3191489361702128E-2</v>
      </c>
      <c r="E96" s="72">
        <v>2.6881720430107527E-2</v>
      </c>
      <c r="F96" s="72">
        <v>0</v>
      </c>
      <c r="H96" s="72">
        <v>1.0752688172043012E-2</v>
      </c>
      <c r="I96" s="72">
        <v>1.0810810810810811E-2</v>
      </c>
      <c r="J96" s="72">
        <v>1.5957446808510637E-2</v>
      </c>
      <c r="K96" s="72">
        <v>1.6129032258064516E-2</v>
      </c>
      <c r="L96" s="72">
        <v>1.092896174863388E-2</v>
      </c>
      <c r="N96" s="72">
        <v>0.7142857142857143</v>
      </c>
      <c r="O96" s="72">
        <v>0.625</v>
      </c>
      <c r="P96" s="72">
        <v>0.5714285714285714</v>
      </c>
      <c r="Q96" s="72">
        <v>0.5</v>
      </c>
      <c r="R96" s="72">
        <v>0.3</v>
      </c>
      <c r="T96" s="72">
        <v>2.247191011235955E-2</v>
      </c>
      <c r="U96" s="72">
        <v>2.2099447513812154E-2</v>
      </c>
      <c r="V96" s="72">
        <v>1.6574585635359115E-2</v>
      </c>
      <c r="W96" s="72">
        <v>1.0638297872340425E-2</v>
      </c>
      <c r="X96" s="72">
        <v>1.0752688172043012E-2</v>
      </c>
      <c r="Y96" s="72">
        <v>1.0638297872340425E-2</v>
      </c>
      <c r="Z96" s="72">
        <v>1.0582010582010581E-2</v>
      </c>
      <c r="AA96" s="72">
        <v>1.0638297872340425E-2</v>
      </c>
      <c r="AB96" s="72">
        <v>1.06951871657754E-2</v>
      </c>
      <c r="AD96" s="232">
        <v>28.089887640449437</v>
      </c>
      <c r="AE96" s="232">
        <v>22.099447513812155</v>
      </c>
      <c r="AF96" s="232">
        <v>22.099447513812155</v>
      </c>
      <c r="AG96" s="232">
        <v>15.957446808510639</v>
      </c>
      <c r="AH96" s="232">
        <v>26.881720430107528</v>
      </c>
      <c r="AI96" s="232">
        <v>21.276595744680851</v>
      </c>
      <c r="AJ96" s="232">
        <v>21.164021164021165</v>
      </c>
      <c r="AK96" s="232">
        <v>21.276595744680851</v>
      </c>
      <c r="AL96" s="232">
        <v>21.390374331550802</v>
      </c>
    </row>
    <row r="97" spans="2:38" x14ac:dyDescent="0.25">
      <c r="B97" s="72">
        <v>6.1904761904761907E-2</v>
      </c>
      <c r="C97" s="72">
        <v>3.7735849056603772E-2</v>
      </c>
      <c r="D97" s="72">
        <v>1.8957345971563982E-2</v>
      </c>
      <c r="E97" s="72">
        <v>4.7393364928909956E-3</v>
      </c>
      <c r="F97" s="72">
        <v>0</v>
      </c>
      <c r="H97" s="72">
        <v>3.3333333333333333E-2</v>
      </c>
      <c r="I97" s="72">
        <v>3.3018867924528301E-2</v>
      </c>
      <c r="J97" s="72">
        <v>2.3696682464454975E-2</v>
      </c>
      <c r="K97" s="72">
        <v>1.8957345971563982E-2</v>
      </c>
      <c r="L97" s="72">
        <v>1.8867924528301886E-2</v>
      </c>
      <c r="N97" s="72">
        <v>0.8571428571428571</v>
      </c>
      <c r="O97" s="72">
        <v>0.76923076923076927</v>
      </c>
      <c r="P97" s="72">
        <v>0.6428571428571429</v>
      </c>
      <c r="Q97" s="72">
        <v>0.5714285714285714</v>
      </c>
      <c r="R97" s="72">
        <v>0.46153846153846156</v>
      </c>
      <c r="T97" s="72">
        <v>5.8252427184466021E-2</v>
      </c>
      <c r="U97" s="72">
        <v>5.7142857142857141E-2</v>
      </c>
      <c r="V97" s="72">
        <v>4.807692307692308E-2</v>
      </c>
      <c r="W97" s="72">
        <v>4.2654028436018961E-2</v>
      </c>
      <c r="X97" s="72">
        <v>3.3333333333333333E-2</v>
      </c>
      <c r="Y97" s="72">
        <v>2.8846153846153848E-2</v>
      </c>
      <c r="Z97" s="72">
        <v>2.8985507246376812E-2</v>
      </c>
      <c r="AA97" s="72">
        <v>2.8985507246376812E-2</v>
      </c>
      <c r="AB97" s="72">
        <v>2.4154589371980676E-2</v>
      </c>
      <c r="AD97" s="232">
        <v>67.961165048543691</v>
      </c>
      <c r="AE97" s="232">
        <v>61.904761904761905</v>
      </c>
      <c r="AF97" s="232">
        <v>62.5</v>
      </c>
      <c r="AG97" s="232">
        <v>52.132701421800945</v>
      </c>
      <c r="AH97" s="232">
        <v>57.142857142857146</v>
      </c>
      <c r="AI97" s="232">
        <v>57.692307692307693</v>
      </c>
      <c r="AJ97" s="232">
        <v>57.971014492753625</v>
      </c>
      <c r="AK97" s="232">
        <v>53.140096618357489</v>
      </c>
      <c r="AL97" s="232">
        <v>48.309178743961354</v>
      </c>
    </row>
    <row r="98" spans="2:38" x14ac:dyDescent="0.25">
      <c r="B98" s="72">
        <v>6.1111111111111109E-2</v>
      </c>
      <c r="C98" s="72">
        <v>4.4444444444444446E-2</v>
      </c>
      <c r="D98" s="72">
        <v>3.3149171270718231E-2</v>
      </c>
      <c r="E98" s="72">
        <v>2.1739130434782608E-2</v>
      </c>
      <c r="F98" s="72">
        <v>0</v>
      </c>
      <c r="H98" s="72">
        <v>5.5555555555555552E-2</v>
      </c>
      <c r="I98" s="72">
        <v>4.4444444444444446E-2</v>
      </c>
      <c r="J98" s="72">
        <v>4.4198895027624308E-2</v>
      </c>
      <c r="K98" s="72">
        <v>3.8043478260869568E-2</v>
      </c>
      <c r="L98" s="72">
        <v>3.2967032967032968E-2</v>
      </c>
      <c r="N98" s="72">
        <v>0.44444444444444442</v>
      </c>
      <c r="O98" s="72">
        <v>0.44444444444444442</v>
      </c>
      <c r="P98" s="72">
        <v>0.5</v>
      </c>
      <c r="Q98" s="72">
        <v>0.33333333333333331</v>
      </c>
      <c r="R98" s="72">
        <v>0.2857142857142857</v>
      </c>
      <c r="T98" s="72">
        <v>8.8757396449704137E-2</v>
      </c>
      <c r="U98" s="72">
        <v>7.4712643678160925E-2</v>
      </c>
      <c r="V98" s="72">
        <v>7.4285714285714288E-2</v>
      </c>
      <c r="W98" s="72">
        <v>6.1797752808988762E-2</v>
      </c>
      <c r="X98" s="72">
        <v>5.5555555555555552E-2</v>
      </c>
      <c r="Y98" s="72">
        <v>6.1111111111111109E-2</v>
      </c>
      <c r="Z98" s="72">
        <v>6.1111111111111109E-2</v>
      </c>
      <c r="AA98" s="72">
        <v>5.5865921787709494E-2</v>
      </c>
      <c r="AB98" s="72">
        <v>5.5555555555555552E-2</v>
      </c>
      <c r="AD98" s="232">
        <v>59.171597633136095</v>
      </c>
      <c r="AE98" s="232">
        <v>45.977011494252871</v>
      </c>
      <c r="AF98" s="232">
        <v>34.285714285714285</v>
      </c>
      <c r="AG98" s="232">
        <v>22.471910112359552</v>
      </c>
      <c r="AH98" s="232">
        <v>22.222222222222221</v>
      </c>
      <c r="AI98" s="232">
        <v>27.777777777777779</v>
      </c>
      <c r="AJ98" s="232">
        <v>27.777777777777779</v>
      </c>
      <c r="AK98" s="232">
        <v>27.932960893854748</v>
      </c>
      <c r="AL98" s="232">
        <v>27.777777777777779</v>
      </c>
    </row>
    <row r="99" spans="2:38" x14ac:dyDescent="0.25">
      <c r="B99" s="72">
        <v>6.8062827225130892E-2</v>
      </c>
      <c r="C99" s="72">
        <v>5.6994818652849742E-2</v>
      </c>
      <c r="D99" s="72">
        <v>3.6269430051813469E-2</v>
      </c>
      <c r="E99" s="72">
        <v>2.0618556701030927E-2</v>
      </c>
      <c r="F99" s="72">
        <v>0</v>
      </c>
      <c r="H99" s="72">
        <v>4.1884816753926704E-2</v>
      </c>
      <c r="I99" s="72">
        <v>3.6269430051813469E-2</v>
      </c>
      <c r="J99" s="72">
        <v>3.6269430051813469E-2</v>
      </c>
      <c r="K99" s="72">
        <v>2.5773195876288658E-2</v>
      </c>
      <c r="L99" s="72">
        <v>2.564102564102564E-2</v>
      </c>
      <c r="N99" s="72">
        <v>0.45454545454545453</v>
      </c>
      <c r="O99" s="72">
        <v>0.5</v>
      </c>
      <c r="P99" s="72">
        <v>0.5</v>
      </c>
      <c r="Q99" s="72">
        <v>0.44444444444444442</v>
      </c>
      <c r="R99" s="72">
        <v>0.5</v>
      </c>
      <c r="T99" s="72">
        <v>4.8913043478260872E-2</v>
      </c>
      <c r="U99" s="72">
        <v>4.8648648648648651E-2</v>
      </c>
      <c r="V99" s="72">
        <v>4.3243243243243246E-2</v>
      </c>
      <c r="W99" s="72">
        <v>3.1914893617021274E-2</v>
      </c>
      <c r="X99" s="72">
        <v>4.1884816753926704E-2</v>
      </c>
      <c r="Y99" s="72">
        <v>4.1884816753926704E-2</v>
      </c>
      <c r="Z99" s="72">
        <v>4.2105263157894736E-2</v>
      </c>
      <c r="AA99" s="72">
        <v>3.7234042553191488E-2</v>
      </c>
      <c r="AB99" s="72">
        <v>3.6649214659685861E-2</v>
      </c>
      <c r="AD99" s="232">
        <v>21.739130434782609</v>
      </c>
      <c r="AE99" s="232">
        <v>21.621621621621621</v>
      </c>
      <c r="AF99" s="232">
        <v>27.027027027027028</v>
      </c>
      <c r="AG99" s="232">
        <v>26.595744680851062</v>
      </c>
      <c r="AH99" s="232">
        <v>26.178010471204189</v>
      </c>
      <c r="AI99" s="232">
        <v>26.178010471204189</v>
      </c>
      <c r="AJ99" s="232">
        <v>26.315789473684209</v>
      </c>
      <c r="AK99" s="232">
        <v>26.595744680851062</v>
      </c>
      <c r="AL99" s="232">
        <v>26.178010471204189</v>
      </c>
    </row>
    <row r="100" spans="2:38" x14ac:dyDescent="0.25">
      <c r="B100" s="72">
        <v>5.6818181818181816E-2</v>
      </c>
      <c r="C100" s="72">
        <v>5.113636363636364E-2</v>
      </c>
      <c r="D100" s="72">
        <v>4.046242774566474E-2</v>
      </c>
      <c r="E100" s="72">
        <v>2.2988505747126436E-2</v>
      </c>
      <c r="F100" s="72">
        <v>0</v>
      </c>
      <c r="H100" s="72">
        <v>3.9772727272727272E-2</v>
      </c>
      <c r="I100" s="72">
        <v>3.9772727272727272E-2</v>
      </c>
      <c r="J100" s="72">
        <v>4.046242774566474E-2</v>
      </c>
      <c r="K100" s="72">
        <v>2.8735632183908046E-2</v>
      </c>
      <c r="L100" s="72">
        <v>2.2857142857142857E-2</v>
      </c>
      <c r="N100" s="72">
        <v>0.625</v>
      </c>
      <c r="O100" s="72">
        <v>0.625</v>
      </c>
      <c r="P100" s="72">
        <v>0.45454545454545453</v>
      </c>
      <c r="Q100" s="72">
        <v>0.22222222222222221</v>
      </c>
      <c r="R100" s="72">
        <v>0.25</v>
      </c>
      <c r="T100" s="72">
        <v>5.1724137931034482E-2</v>
      </c>
      <c r="U100" s="72">
        <v>2.8901734104046242E-2</v>
      </c>
      <c r="V100" s="72">
        <v>2.8571428571428571E-2</v>
      </c>
      <c r="W100" s="72">
        <v>3.9772727272727272E-2</v>
      </c>
      <c r="X100" s="72">
        <v>3.9772727272727272E-2</v>
      </c>
      <c r="Y100" s="72">
        <v>0.04</v>
      </c>
      <c r="Z100" s="72">
        <v>3.9772727272727272E-2</v>
      </c>
      <c r="AA100" s="72">
        <v>3.954802259887006E-2</v>
      </c>
      <c r="AB100" s="72">
        <v>3.9772727272727272E-2</v>
      </c>
      <c r="AD100" s="232">
        <v>28.735632183908045</v>
      </c>
      <c r="AE100" s="232">
        <v>28.901734104046241</v>
      </c>
      <c r="AF100" s="232">
        <v>28.571428571428573</v>
      </c>
      <c r="AG100" s="232">
        <v>22.727272727272727</v>
      </c>
      <c r="AH100" s="232">
        <v>28.40909090909091</v>
      </c>
      <c r="AI100" s="232">
        <v>28.571428571428573</v>
      </c>
      <c r="AJ100" s="232">
        <v>28.40909090909091</v>
      </c>
      <c r="AK100" s="232">
        <v>33.898305084745765</v>
      </c>
      <c r="AL100" s="232">
        <v>28.40909090909091</v>
      </c>
    </row>
    <row r="101" spans="2:38" x14ac:dyDescent="0.25">
      <c r="B101" s="72">
        <v>6.2146892655367235E-2</v>
      </c>
      <c r="C101" s="72">
        <v>3.3519553072625698E-2</v>
      </c>
      <c r="D101" s="72">
        <v>1.6759776536312849E-2</v>
      </c>
      <c r="E101" s="72">
        <v>5.5555555555555558E-3</v>
      </c>
      <c r="F101" s="72">
        <v>0</v>
      </c>
      <c r="H101" s="72">
        <v>2.2598870056497175E-2</v>
      </c>
      <c r="I101" s="72">
        <v>1.6759776536312849E-2</v>
      </c>
      <c r="J101" s="72">
        <v>1.6759776536312849E-2</v>
      </c>
      <c r="K101" s="72">
        <v>1.1111111111111112E-2</v>
      </c>
      <c r="L101" s="72">
        <v>1.1111111111111112E-2</v>
      </c>
      <c r="N101" s="72">
        <v>0.875</v>
      </c>
      <c r="O101" s="72">
        <v>0.625</v>
      </c>
      <c r="P101" s="72">
        <v>0.5</v>
      </c>
      <c r="Q101" s="72">
        <v>0.42857142857142855</v>
      </c>
      <c r="R101" s="72">
        <v>0.375</v>
      </c>
      <c r="T101" s="72">
        <v>7.0588235294117646E-2</v>
      </c>
      <c r="U101" s="72">
        <v>7.1428571428571425E-2</v>
      </c>
      <c r="V101" s="72">
        <v>5.9523809523809521E-2</v>
      </c>
      <c r="W101" s="72">
        <v>5.2023121387283239E-2</v>
      </c>
      <c r="X101" s="72">
        <v>2.2598870056497175E-2</v>
      </c>
      <c r="Y101" s="72">
        <v>2.247191011235955E-2</v>
      </c>
      <c r="Z101" s="72">
        <v>2.2598870056497175E-2</v>
      </c>
      <c r="AA101" s="72">
        <v>2.2598870056497175E-2</v>
      </c>
      <c r="AB101" s="72">
        <v>2.247191011235955E-2</v>
      </c>
      <c r="AD101" s="232">
        <v>64.705882352941174</v>
      </c>
      <c r="AE101" s="232">
        <v>59.523809523809526</v>
      </c>
      <c r="AF101" s="232">
        <v>53.571428571428569</v>
      </c>
      <c r="AG101" s="232">
        <v>46.24277456647399</v>
      </c>
      <c r="AH101" s="232">
        <v>39.548022598870055</v>
      </c>
      <c r="AI101" s="232">
        <v>39.325842696629216</v>
      </c>
      <c r="AJ101" s="232">
        <v>39.548022598870055</v>
      </c>
      <c r="AK101" s="232">
        <v>39.548022598870055</v>
      </c>
      <c r="AL101" s="232">
        <v>33.707865168539328</v>
      </c>
    </row>
    <row r="102" spans="2:38" x14ac:dyDescent="0.25">
      <c r="B102" s="72">
        <v>3.3018867924528301E-2</v>
      </c>
      <c r="C102" s="72">
        <v>2.3255813953488372E-2</v>
      </c>
      <c r="D102" s="72">
        <v>1.3824884792626729E-2</v>
      </c>
      <c r="E102" s="72">
        <v>9.2165898617511521E-3</v>
      </c>
      <c r="F102" s="72">
        <v>0</v>
      </c>
      <c r="H102" s="72">
        <v>2.8301886792452831E-2</v>
      </c>
      <c r="I102" s="72">
        <v>2.7906976744186046E-2</v>
      </c>
      <c r="J102" s="72">
        <v>2.7649769585253458E-2</v>
      </c>
      <c r="K102" s="72">
        <v>1.8433179723502304E-2</v>
      </c>
      <c r="L102" s="72">
        <v>1.8264840182648401E-2</v>
      </c>
      <c r="N102" s="72">
        <v>0.7142857142857143</v>
      </c>
      <c r="O102" s="72">
        <v>0.75</v>
      </c>
      <c r="P102" s="72">
        <v>0.7</v>
      </c>
      <c r="Q102" s="72">
        <v>0.7</v>
      </c>
      <c r="R102" s="72">
        <v>0.75</v>
      </c>
      <c r="T102" s="72">
        <v>4.4117647058823532E-2</v>
      </c>
      <c r="U102" s="72">
        <v>3.9408866995073892E-2</v>
      </c>
      <c r="V102" s="72">
        <v>3.9408866995073892E-2</v>
      </c>
      <c r="W102" s="72">
        <v>3.3980582524271843E-2</v>
      </c>
      <c r="X102" s="72">
        <v>2.8301886792452831E-2</v>
      </c>
      <c r="Y102" s="72">
        <v>2.843601895734597E-2</v>
      </c>
      <c r="Z102" s="72">
        <v>2.8169014084507043E-2</v>
      </c>
      <c r="AA102" s="72">
        <v>2.843601895734597E-2</v>
      </c>
      <c r="AB102" s="72">
        <v>2.8846153846153848E-2</v>
      </c>
      <c r="AD102" s="232">
        <v>53.921568627450981</v>
      </c>
      <c r="AE102" s="232">
        <v>59.11330049261084</v>
      </c>
      <c r="AF102" s="232">
        <v>59.11330049261084</v>
      </c>
      <c r="AG102" s="232">
        <v>48.543689320388353</v>
      </c>
      <c r="AH102" s="232">
        <v>47.169811320754718</v>
      </c>
      <c r="AI102" s="232">
        <v>52.132701421800945</v>
      </c>
      <c r="AJ102" s="232">
        <v>46.948356807511736</v>
      </c>
      <c r="AK102" s="232">
        <v>47.393364928909953</v>
      </c>
      <c r="AL102" s="232">
        <v>48.07692307692308</v>
      </c>
    </row>
    <row r="103" spans="2:38" x14ac:dyDescent="0.25">
      <c r="B103" s="72">
        <v>6.5326633165829151E-2</v>
      </c>
      <c r="C103" s="72">
        <v>5.0251256281407038E-2</v>
      </c>
      <c r="D103" s="72">
        <v>3.9408866995073892E-2</v>
      </c>
      <c r="E103" s="72">
        <v>2.4752475247524754E-2</v>
      </c>
      <c r="F103" s="72">
        <v>0</v>
      </c>
      <c r="H103" s="72">
        <v>3.5175879396984924E-2</v>
      </c>
      <c r="I103" s="72">
        <v>3.015075376884422E-2</v>
      </c>
      <c r="J103" s="72">
        <v>3.4482758620689655E-2</v>
      </c>
      <c r="K103" s="72">
        <v>3.4653465346534656E-2</v>
      </c>
      <c r="L103" s="72">
        <v>2.9850746268656716E-2</v>
      </c>
      <c r="N103" s="72">
        <v>0.8</v>
      </c>
      <c r="O103" s="72">
        <v>0.66666666666666663</v>
      </c>
      <c r="P103" s="72">
        <v>0.33333333333333331</v>
      </c>
      <c r="Q103" s="72">
        <v>0.2857142857142857</v>
      </c>
      <c r="R103" s="72">
        <v>0.14285714285714285</v>
      </c>
      <c r="T103" s="72">
        <v>5.8201058201058198E-2</v>
      </c>
      <c r="U103" s="72">
        <v>4.736842105263158E-2</v>
      </c>
      <c r="V103" s="72">
        <v>3.6649214659685861E-2</v>
      </c>
      <c r="W103" s="72">
        <v>2.5510204081632654E-2</v>
      </c>
      <c r="X103" s="72">
        <v>3.5175879396984924E-2</v>
      </c>
      <c r="Y103" s="72">
        <v>3.4653465346534656E-2</v>
      </c>
      <c r="Z103" s="72">
        <v>3.5000000000000003E-2</v>
      </c>
      <c r="AA103" s="72">
        <v>3.5175879396984924E-2</v>
      </c>
      <c r="AB103" s="72">
        <v>3.4653465346534656E-2</v>
      </c>
      <c r="AD103" s="232">
        <v>47.61904761904762</v>
      </c>
      <c r="AE103" s="232">
        <v>47.368421052631582</v>
      </c>
      <c r="AF103" s="232">
        <v>52.356020942408378</v>
      </c>
      <c r="AG103" s="232">
        <v>40.816326530612244</v>
      </c>
      <c r="AH103" s="232">
        <v>40.201005025125632</v>
      </c>
      <c r="AI103" s="232">
        <v>39.603960396039604</v>
      </c>
      <c r="AJ103" s="232">
        <v>40</v>
      </c>
      <c r="AK103" s="232">
        <v>40.201005025125632</v>
      </c>
      <c r="AL103" s="232">
        <v>44.554455445544555</v>
      </c>
    </row>
    <row r="104" spans="2:38" x14ac:dyDescent="0.25">
      <c r="B104" s="72">
        <v>4.5918367346938778E-2</v>
      </c>
      <c r="C104" s="72">
        <v>4.6875E-2</v>
      </c>
      <c r="D104" s="72">
        <v>4.6875E-2</v>
      </c>
      <c r="E104" s="72">
        <v>3.1578947368421054E-2</v>
      </c>
      <c r="F104" s="72">
        <v>0</v>
      </c>
      <c r="H104" s="72">
        <v>5.1020408163265307E-2</v>
      </c>
      <c r="I104" s="72">
        <v>5.2083333333333336E-2</v>
      </c>
      <c r="J104" s="72">
        <v>5.2083333333333336E-2</v>
      </c>
      <c r="K104" s="72">
        <v>4.2105263157894736E-2</v>
      </c>
      <c r="L104" s="72">
        <v>3.7234042553191488E-2</v>
      </c>
      <c r="N104" s="72">
        <v>0.66666666666666663</v>
      </c>
      <c r="O104" s="72">
        <v>0.44444444444444442</v>
      </c>
      <c r="P104" s="72">
        <v>0.44444444444444442</v>
      </c>
      <c r="Q104" s="72">
        <v>0.4</v>
      </c>
      <c r="R104" s="72">
        <v>0.33333333333333331</v>
      </c>
      <c r="T104" s="72">
        <v>5.6410256410256411E-2</v>
      </c>
      <c r="U104" s="72">
        <v>0.05</v>
      </c>
      <c r="V104" s="72">
        <v>4.975124378109453E-2</v>
      </c>
      <c r="W104" s="72">
        <v>4.5685279187817257E-2</v>
      </c>
      <c r="X104" s="72">
        <v>5.1020408163265307E-2</v>
      </c>
      <c r="Y104" s="72">
        <v>5.0761421319796954E-2</v>
      </c>
      <c r="Z104" s="72">
        <v>0.05</v>
      </c>
      <c r="AA104" s="72">
        <v>0.05</v>
      </c>
      <c r="AB104" s="72">
        <v>0.05</v>
      </c>
      <c r="AD104" s="232">
        <v>35.897435897435898</v>
      </c>
      <c r="AE104" s="232">
        <v>25</v>
      </c>
      <c r="AF104" s="232">
        <v>19.900497512437809</v>
      </c>
      <c r="AG104" s="232">
        <v>20.304568527918782</v>
      </c>
      <c r="AH104" s="232">
        <v>20.408163265306122</v>
      </c>
      <c r="AI104" s="232">
        <v>20.304568527918782</v>
      </c>
      <c r="AJ104" s="232">
        <v>20</v>
      </c>
      <c r="AK104" s="232">
        <v>20</v>
      </c>
      <c r="AL104" s="232">
        <v>20</v>
      </c>
    </row>
    <row r="105" spans="2:38" x14ac:dyDescent="0.25">
      <c r="B105" s="72">
        <v>7.1428571428571425E-2</v>
      </c>
      <c r="C105" s="72">
        <v>7.1856287425149698E-2</v>
      </c>
      <c r="D105" s="72">
        <v>5.4216867469879519E-2</v>
      </c>
      <c r="E105" s="72">
        <v>2.9940119760479042E-2</v>
      </c>
      <c r="F105" s="72">
        <v>0</v>
      </c>
      <c r="H105" s="72">
        <v>2.976190476190476E-2</v>
      </c>
      <c r="I105" s="72">
        <v>2.3952095808383235E-2</v>
      </c>
      <c r="J105" s="72">
        <v>1.8072289156626505E-2</v>
      </c>
      <c r="K105" s="72">
        <v>1.1976047904191617E-2</v>
      </c>
      <c r="L105" s="72">
        <v>1.1976047904191617E-2</v>
      </c>
      <c r="N105" s="72">
        <v>0.4</v>
      </c>
      <c r="O105" s="72">
        <v>0.33333333333333331</v>
      </c>
      <c r="P105" s="72">
        <v>0.2</v>
      </c>
      <c r="Q105" s="72">
        <v>0.2</v>
      </c>
      <c r="R105" s="72">
        <v>0.16666666666666666</v>
      </c>
      <c r="T105" s="72">
        <v>1.7751479289940829E-2</v>
      </c>
      <c r="U105" s="72">
        <v>1.7964071856287425E-2</v>
      </c>
      <c r="V105" s="72">
        <v>1.7857142857142856E-2</v>
      </c>
      <c r="W105" s="72">
        <v>2.3809523809523808E-2</v>
      </c>
      <c r="X105" s="72">
        <v>2.976190476190476E-2</v>
      </c>
      <c r="Y105" s="72">
        <v>3.0120481927710843E-2</v>
      </c>
      <c r="Z105" s="72">
        <v>2.9940119760479042E-2</v>
      </c>
      <c r="AA105" s="72">
        <v>2.9940119760479042E-2</v>
      </c>
      <c r="AB105" s="72">
        <v>2.9585798816568046E-2</v>
      </c>
      <c r="AD105" s="232">
        <v>23.668639053254438</v>
      </c>
      <c r="AE105" s="232">
        <v>23.952095808383234</v>
      </c>
      <c r="AF105" s="232">
        <v>17.857142857142858</v>
      </c>
      <c r="AG105" s="232">
        <v>17.857142857142858</v>
      </c>
      <c r="AH105" s="232">
        <v>11.904761904761905</v>
      </c>
      <c r="AI105" s="232">
        <v>12.048192771084338</v>
      </c>
      <c r="AJ105" s="232">
        <v>11.976047904191617</v>
      </c>
      <c r="AK105" s="232">
        <v>11.976047904191617</v>
      </c>
      <c r="AL105" s="232">
        <v>11.834319526627219</v>
      </c>
    </row>
    <row r="106" spans="2:38" x14ac:dyDescent="0.25">
      <c r="B106" s="72">
        <v>9.1954022988505746E-2</v>
      </c>
      <c r="C106" s="72">
        <v>6.8181818181818177E-2</v>
      </c>
      <c r="D106" s="72">
        <v>5.113636363636364E-2</v>
      </c>
      <c r="E106" s="72">
        <v>3.4682080924855488E-2</v>
      </c>
      <c r="F106" s="72">
        <v>0</v>
      </c>
      <c r="H106" s="72">
        <v>2.8735632183908046E-2</v>
      </c>
      <c r="I106" s="72">
        <v>2.8409090909090908E-2</v>
      </c>
      <c r="J106" s="72">
        <v>2.2727272727272728E-2</v>
      </c>
      <c r="K106" s="72">
        <v>1.1560693641618497E-2</v>
      </c>
      <c r="L106" s="72">
        <v>1.1627906976744186E-2</v>
      </c>
      <c r="N106" s="72">
        <v>0.75</v>
      </c>
      <c r="O106" s="72">
        <v>0.625</v>
      </c>
      <c r="P106" s="72">
        <v>0.5</v>
      </c>
      <c r="Q106" s="72">
        <v>0.4</v>
      </c>
      <c r="R106" s="72">
        <v>0.4</v>
      </c>
      <c r="T106" s="72">
        <v>1.1235955056179775E-2</v>
      </c>
      <c r="U106" s="72">
        <v>1.1235955056179775E-2</v>
      </c>
      <c r="V106" s="72">
        <v>1.6759776536312849E-2</v>
      </c>
      <c r="W106" s="72">
        <v>1.7045454545454544E-2</v>
      </c>
      <c r="X106" s="72">
        <v>2.8735632183908046E-2</v>
      </c>
      <c r="Y106" s="72">
        <v>3.954802259887006E-2</v>
      </c>
      <c r="Z106" s="72">
        <v>3.4090909090909088E-2</v>
      </c>
      <c r="AA106" s="72">
        <v>3.4285714285714287E-2</v>
      </c>
      <c r="AB106" s="72">
        <v>0.04</v>
      </c>
      <c r="AD106" s="232">
        <v>28.089887640449437</v>
      </c>
      <c r="AE106" s="232">
        <v>33.707865168539328</v>
      </c>
      <c r="AF106" s="232">
        <v>22.346368715083798</v>
      </c>
      <c r="AG106" s="232">
        <v>28.40909090909091</v>
      </c>
      <c r="AH106" s="232">
        <v>34.482758620689658</v>
      </c>
      <c r="AI106" s="232">
        <v>33.898305084745765</v>
      </c>
      <c r="AJ106" s="232">
        <v>34.090909090909093</v>
      </c>
      <c r="AK106" s="232">
        <v>40</v>
      </c>
      <c r="AL106" s="232">
        <v>45.714285714285715</v>
      </c>
    </row>
    <row r="107" spans="2:38" x14ac:dyDescent="0.25">
      <c r="B107" s="72">
        <v>5.9139784946236562E-2</v>
      </c>
      <c r="C107" s="72">
        <v>4.2780748663101602E-2</v>
      </c>
      <c r="D107" s="72">
        <v>4.2553191489361701E-2</v>
      </c>
      <c r="E107" s="72">
        <v>2.6178010471204188E-2</v>
      </c>
      <c r="F107" s="72">
        <v>0</v>
      </c>
      <c r="H107" s="72">
        <v>3.2258064516129031E-2</v>
      </c>
      <c r="I107" s="72">
        <v>2.6737967914438502E-2</v>
      </c>
      <c r="J107" s="72">
        <v>2.6595744680851064E-2</v>
      </c>
      <c r="K107" s="72">
        <v>3.1413612565445025E-2</v>
      </c>
      <c r="L107" s="72">
        <v>3.125E-2</v>
      </c>
      <c r="N107" s="72">
        <v>0.77777777777777779</v>
      </c>
      <c r="O107" s="72">
        <v>0.75</v>
      </c>
      <c r="P107" s="72">
        <v>0.75</v>
      </c>
      <c r="Q107" s="72">
        <v>0.66666666666666663</v>
      </c>
      <c r="R107" s="72">
        <v>0.5</v>
      </c>
      <c r="T107" s="72">
        <v>5.1428571428571428E-2</v>
      </c>
      <c r="U107" s="72">
        <v>5.113636363636364E-2</v>
      </c>
      <c r="V107" s="72">
        <v>5.0561797752808987E-2</v>
      </c>
      <c r="W107" s="72">
        <v>5.027932960893855E-2</v>
      </c>
      <c r="X107" s="72">
        <v>3.2258064516129031E-2</v>
      </c>
      <c r="Y107" s="72">
        <v>3.1914893617021274E-2</v>
      </c>
      <c r="Z107" s="72">
        <v>3.2258064516129031E-2</v>
      </c>
      <c r="AA107" s="72">
        <v>3.2432432432432434E-2</v>
      </c>
      <c r="AB107" s="72">
        <v>3.2608695652173912E-2</v>
      </c>
      <c r="AD107" s="232">
        <v>74.285714285714292</v>
      </c>
      <c r="AE107" s="232">
        <v>56.81818181818182</v>
      </c>
      <c r="AF107" s="232">
        <v>56.179775280898873</v>
      </c>
      <c r="AG107" s="232">
        <v>50.279329608938546</v>
      </c>
      <c r="AH107" s="232">
        <v>37.634408602150536</v>
      </c>
      <c r="AI107" s="232">
        <v>37.234042553191486</v>
      </c>
      <c r="AJ107" s="232">
        <v>37.634408602150536</v>
      </c>
      <c r="AK107" s="232">
        <v>37.837837837837839</v>
      </c>
      <c r="AL107" s="232">
        <v>38.043478260869563</v>
      </c>
    </row>
    <row r="108" spans="2:38" x14ac:dyDescent="0.25">
      <c r="B108" s="72">
        <v>8.8235294117647065E-2</v>
      </c>
      <c r="C108" s="72">
        <v>5.8823529411764705E-2</v>
      </c>
      <c r="D108" s="72">
        <v>4.4554455445544552E-2</v>
      </c>
      <c r="E108" s="72">
        <v>2.4875621890547265E-2</v>
      </c>
      <c r="F108" s="72">
        <v>0</v>
      </c>
      <c r="H108" s="72">
        <v>6.3725490196078427E-2</v>
      </c>
      <c r="I108" s="72">
        <v>4.4117647058823532E-2</v>
      </c>
      <c r="J108" s="72">
        <v>3.9603960396039604E-2</v>
      </c>
      <c r="K108" s="72">
        <v>3.482587064676617E-2</v>
      </c>
      <c r="L108" s="72">
        <v>3.5353535353535352E-2</v>
      </c>
      <c r="N108" s="72">
        <v>0.46666666666666667</v>
      </c>
      <c r="O108" s="72">
        <v>0.4375</v>
      </c>
      <c r="P108" s="72">
        <v>0.35294117647058826</v>
      </c>
      <c r="Q108" s="72">
        <v>0.33333333333333331</v>
      </c>
      <c r="R108" s="72">
        <v>0.19047619047619047</v>
      </c>
      <c r="T108" s="72">
        <v>8.8082901554404139E-2</v>
      </c>
      <c r="U108" s="72">
        <v>0.1</v>
      </c>
      <c r="V108" s="72">
        <v>8.9108910891089105E-2</v>
      </c>
      <c r="W108" s="72">
        <v>9.3137254901960786E-2</v>
      </c>
      <c r="X108" s="72">
        <v>6.3725490196078427E-2</v>
      </c>
      <c r="Y108" s="72">
        <v>6.3725490196078427E-2</v>
      </c>
      <c r="Z108" s="72">
        <v>5.9113300492610835E-2</v>
      </c>
      <c r="AA108" s="72">
        <v>5.4726368159203981E-2</v>
      </c>
      <c r="AB108" s="72">
        <v>4.4776119402985072E-2</v>
      </c>
      <c r="AD108" s="232">
        <v>88.082901554404145</v>
      </c>
      <c r="AE108" s="232">
        <v>75</v>
      </c>
      <c r="AF108" s="232">
        <v>59.405940594059409</v>
      </c>
      <c r="AG108" s="232">
        <v>39.215686274509807</v>
      </c>
      <c r="AH108" s="232">
        <v>34.313725490196077</v>
      </c>
      <c r="AI108" s="232">
        <v>34.313725490196077</v>
      </c>
      <c r="AJ108" s="232">
        <v>34.482758620689658</v>
      </c>
      <c r="AK108" s="232">
        <v>34.82587064676617</v>
      </c>
      <c r="AL108" s="232">
        <v>29.850746268656717</v>
      </c>
    </row>
  </sheetData>
  <mergeCells count="12">
    <mergeCell ref="B1:F1"/>
    <mergeCell ref="H1:L1"/>
    <mergeCell ref="B2:F2"/>
    <mergeCell ref="H2:L2"/>
    <mergeCell ref="AD2:AG2"/>
    <mergeCell ref="AD1:AL1"/>
    <mergeCell ref="AI2:AL2"/>
    <mergeCell ref="N1:R1"/>
    <mergeCell ref="N2:R2"/>
    <mergeCell ref="T1:AB1"/>
    <mergeCell ref="T2:W2"/>
    <mergeCell ref="Y2:AB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59999389629810485"/>
  </sheetPr>
  <dimension ref="A1:U503"/>
  <sheetViews>
    <sheetView showGridLines="0" tabSelected="1" workbookViewId="0">
      <selection activeCell="T32" sqref="T32"/>
    </sheetView>
  </sheetViews>
  <sheetFormatPr defaultRowHeight="15" x14ac:dyDescent="0.25"/>
  <cols>
    <col min="1" max="1" width="4" style="114" customWidth="1"/>
    <col min="2" max="3" width="13.140625" customWidth="1"/>
    <col min="4" max="4" width="3.140625" style="114" customWidth="1"/>
    <col min="5" max="6" width="10.7109375" customWidth="1"/>
    <col min="7" max="7" width="3.85546875" style="114" customWidth="1"/>
    <col min="8" max="9" width="11.42578125" customWidth="1"/>
    <col min="10" max="10" width="3.85546875" style="114" customWidth="1"/>
    <col min="11" max="11" width="13.28515625" style="114" customWidth="1"/>
    <col min="12" max="12" width="9.140625" style="114"/>
    <col min="13" max="13" width="4.42578125" style="114" customWidth="1"/>
    <col min="14" max="14" width="11" style="114" customWidth="1"/>
    <col min="15" max="15" width="10.28515625" style="114" customWidth="1"/>
    <col min="16" max="16" width="3.85546875" customWidth="1"/>
    <col min="17" max="17" width="13.28515625" customWidth="1"/>
    <col min="19" max="19" width="4.42578125" customWidth="1"/>
    <col min="20" max="20" width="11" customWidth="1"/>
    <col min="21" max="21" width="10.28515625" customWidth="1"/>
    <col min="27" max="27" width="9.140625" customWidth="1"/>
  </cols>
  <sheetData>
    <row r="1" spans="2:21" s="114" customFormat="1" x14ac:dyDescent="0.25"/>
    <row r="2" spans="2:21" s="233" customFormat="1" ht="51.75" customHeight="1" x14ac:dyDescent="0.25">
      <c r="B2" s="240" t="str">
        <f>'Scenario Analysis'!B1</f>
        <v>AEP Risk (CDC Definition)</v>
      </c>
      <c r="C2" s="240"/>
      <c r="E2" s="240" t="str">
        <f>'Scenario Analysis'!H1</f>
        <v>AEP Risk (Actual)</v>
      </c>
      <c r="F2" s="240"/>
      <c r="H2" s="240" t="str">
        <f>'Scenario Analysis'!N1</f>
        <v>% Unaware Pregancies Exposed to Alcohol</v>
      </c>
      <c r="I2" s="240"/>
      <c r="K2" s="240" t="str">
        <f>'Scenario Analysis'!T1</f>
        <v>AEP Risk (Actual)</v>
      </c>
      <c r="L2" s="240"/>
      <c r="N2" s="240" t="str">
        <f>'Scenario Analysis'!T1</f>
        <v>AEP Risk (Actual)</v>
      </c>
      <c r="O2" s="240"/>
      <c r="Q2" s="240" t="str">
        <f>'Scenario Analysis'!AD1</f>
        <v>AEP per 1,000 nonpregnant-aware, nonsteril women</v>
      </c>
      <c r="R2" s="240"/>
      <c r="T2" s="240" t="str">
        <f>'Scenario Analysis'!AD1</f>
        <v>AEP per 1,000 nonpregnant-aware, nonsteril women</v>
      </c>
      <c r="U2" s="240"/>
    </row>
    <row r="3" spans="2:21" x14ac:dyDescent="0.25">
      <c r="B3" s="234" t="s">
        <v>142</v>
      </c>
      <c r="C3" s="234" t="s">
        <v>143</v>
      </c>
      <c r="D3" s="125"/>
      <c r="E3" s="234" t="s">
        <v>142</v>
      </c>
      <c r="F3" s="234" t="s">
        <v>143</v>
      </c>
      <c r="H3" s="234" t="s">
        <v>142</v>
      </c>
      <c r="I3" s="234" t="s">
        <v>143</v>
      </c>
      <c r="K3" s="234" t="s">
        <v>134</v>
      </c>
      <c r="L3" s="234" t="s">
        <v>143</v>
      </c>
      <c r="N3" s="234" t="s">
        <v>133</v>
      </c>
      <c r="O3" s="234" t="s">
        <v>143</v>
      </c>
      <c r="Q3" s="234" t="s">
        <v>134</v>
      </c>
      <c r="R3" s="234" t="s">
        <v>143</v>
      </c>
      <c r="T3" s="234" t="s">
        <v>133</v>
      </c>
      <c r="U3" s="234" t="s">
        <v>143</v>
      </c>
    </row>
    <row r="4" spans="2:21" x14ac:dyDescent="0.25">
      <c r="B4" s="235">
        <v>0</v>
      </c>
      <c r="C4" s="72">
        <v>7.8125E-2</v>
      </c>
      <c r="E4" s="235">
        <v>0</v>
      </c>
      <c r="F4" s="72">
        <v>2.0833333333333332E-2</v>
      </c>
      <c r="H4" s="235">
        <v>0</v>
      </c>
      <c r="I4" s="72">
        <v>0.625</v>
      </c>
      <c r="K4" s="235">
        <v>-0.4</v>
      </c>
      <c r="L4" s="72">
        <v>2.6455026455026454E-2</v>
      </c>
      <c r="N4" s="235">
        <v>0</v>
      </c>
      <c r="O4" s="72">
        <v>2.0833333333333332E-2</v>
      </c>
      <c r="Q4" s="235">
        <v>-0.4</v>
      </c>
      <c r="R4" s="232">
        <v>26.455026455026456</v>
      </c>
      <c r="T4" s="235">
        <v>0</v>
      </c>
      <c r="U4" s="232">
        <v>26.041666666666668</v>
      </c>
    </row>
    <row r="5" spans="2:21" x14ac:dyDescent="0.25">
      <c r="B5" s="235">
        <v>0</v>
      </c>
      <c r="C5" s="72">
        <v>7.3298429319371722E-2</v>
      </c>
      <c r="E5" s="235">
        <v>0</v>
      </c>
      <c r="F5" s="72">
        <v>4.1884816753926704E-2</v>
      </c>
      <c r="H5" s="235">
        <v>0</v>
      </c>
      <c r="I5" s="72">
        <v>0.63636363636363635</v>
      </c>
      <c r="K5" s="235">
        <v>-0.4</v>
      </c>
      <c r="L5" s="72">
        <v>6.25E-2</v>
      </c>
      <c r="N5" s="235">
        <v>0</v>
      </c>
      <c r="O5" s="72">
        <v>4.1884816753926704E-2</v>
      </c>
      <c r="Q5" s="235">
        <v>-0.4</v>
      </c>
      <c r="R5" s="232">
        <v>36.458333333333336</v>
      </c>
      <c r="T5" s="235">
        <v>0</v>
      </c>
      <c r="U5" s="232">
        <v>36.64921465968586</v>
      </c>
    </row>
    <row r="6" spans="2:21" x14ac:dyDescent="0.25">
      <c r="B6" s="235">
        <v>0</v>
      </c>
      <c r="C6" s="72">
        <v>5.6701030927835051E-2</v>
      </c>
      <c r="E6" s="235">
        <v>0</v>
      </c>
      <c r="F6" s="72">
        <v>5.1546391752577317E-2</v>
      </c>
      <c r="H6" s="235">
        <v>0</v>
      </c>
      <c r="I6" s="72">
        <v>0.6</v>
      </c>
      <c r="K6" s="235">
        <v>-0.4</v>
      </c>
      <c r="L6" s="72">
        <v>4.7619047619047616E-2</v>
      </c>
      <c r="N6" s="235">
        <v>0</v>
      </c>
      <c r="O6" s="72">
        <v>5.1546391752577317E-2</v>
      </c>
      <c r="Q6" s="235">
        <v>-0.4</v>
      </c>
      <c r="R6" s="232">
        <v>31.746031746031747</v>
      </c>
      <c r="T6" s="235">
        <v>0</v>
      </c>
      <c r="U6" s="232">
        <v>30.927835051546392</v>
      </c>
    </row>
    <row r="7" spans="2:21" x14ac:dyDescent="0.25">
      <c r="B7" s="235">
        <v>0</v>
      </c>
      <c r="C7" s="72">
        <v>9.0909090909090912E-2</v>
      </c>
      <c r="E7" s="235">
        <v>0</v>
      </c>
      <c r="F7" s="72">
        <v>6.4171122994652413E-2</v>
      </c>
      <c r="H7" s="235">
        <v>0</v>
      </c>
      <c r="I7" s="72">
        <v>0.66666666666666663</v>
      </c>
      <c r="K7" s="235">
        <v>-0.4</v>
      </c>
      <c r="L7" s="72">
        <v>9.1891891891891897E-2</v>
      </c>
      <c r="N7" s="235">
        <v>0</v>
      </c>
      <c r="O7" s="72">
        <v>6.4171122994652413E-2</v>
      </c>
      <c r="Q7" s="235">
        <v>-0.4</v>
      </c>
      <c r="R7" s="232">
        <v>48.648648648648646</v>
      </c>
      <c r="T7" s="235">
        <v>0</v>
      </c>
      <c r="U7" s="232">
        <v>42.780748663101605</v>
      </c>
    </row>
    <row r="8" spans="2:21" x14ac:dyDescent="0.25">
      <c r="B8" s="235">
        <v>0</v>
      </c>
      <c r="C8" s="72">
        <v>5.6410256410256411E-2</v>
      </c>
      <c r="E8" s="235">
        <v>0</v>
      </c>
      <c r="F8" s="72">
        <v>3.5897435897435895E-2</v>
      </c>
      <c r="H8" s="235">
        <v>0</v>
      </c>
      <c r="I8" s="72">
        <v>0.7142857142857143</v>
      </c>
      <c r="K8" s="235">
        <v>-0.4</v>
      </c>
      <c r="L8" s="72">
        <v>3.7234042553191488E-2</v>
      </c>
      <c r="N8" s="235">
        <v>0</v>
      </c>
      <c r="O8" s="72">
        <v>3.5897435897435895E-2</v>
      </c>
      <c r="Q8" s="235">
        <v>-0.4</v>
      </c>
      <c r="R8" s="232">
        <v>26.595744680851062</v>
      </c>
      <c r="T8" s="235">
        <v>0</v>
      </c>
      <c r="U8" s="232">
        <v>25.641025641025642</v>
      </c>
    </row>
    <row r="9" spans="2:21" x14ac:dyDescent="0.25">
      <c r="B9" s="235">
        <v>0</v>
      </c>
      <c r="C9" s="72">
        <v>8.2872928176795577E-2</v>
      </c>
      <c r="E9" s="235">
        <v>0</v>
      </c>
      <c r="F9" s="72">
        <v>2.2099447513812154E-2</v>
      </c>
      <c r="H9" s="235">
        <v>0</v>
      </c>
      <c r="I9" s="72">
        <v>0.5</v>
      </c>
      <c r="K9" s="235">
        <v>-0.4</v>
      </c>
      <c r="L9" s="72">
        <v>4.6875E-2</v>
      </c>
      <c r="N9" s="235">
        <v>0</v>
      </c>
      <c r="O9" s="72">
        <v>2.2099447513812154E-2</v>
      </c>
      <c r="Q9" s="235">
        <v>-0.4</v>
      </c>
      <c r="R9" s="232">
        <v>20.833333333333332</v>
      </c>
      <c r="T9" s="235">
        <v>0</v>
      </c>
      <c r="U9" s="232">
        <v>16.574585635359117</v>
      </c>
    </row>
    <row r="10" spans="2:21" x14ac:dyDescent="0.25">
      <c r="B10" s="235">
        <v>0</v>
      </c>
      <c r="C10" s="72">
        <v>6.3953488372093026E-2</v>
      </c>
      <c r="E10" s="235">
        <v>0</v>
      </c>
      <c r="F10" s="72">
        <v>5.232558139534884E-2</v>
      </c>
      <c r="H10" s="235">
        <v>0</v>
      </c>
      <c r="I10" s="72">
        <v>0.7142857142857143</v>
      </c>
      <c r="K10" s="235">
        <v>-0.4</v>
      </c>
      <c r="L10" s="72">
        <v>4.6242774566473986E-2</v>
      </c>
      <c r="N10" s="235">
        <v>0</v>
      </c>
      <c r="O10" s="72">
        <v>5.232558139534884E-2</v>
      </c>
      <c r="Q10" s="235">
        <v>-0.4</v>
      </c>
      <c r="R10" s="232">
        <v>23.121387283236995</v>
      </c>
      <c r="T10" s="235">
        <v>0</v>
      </c>
      <c r="U10" s="232">
        <v>29.069767441860463</v>
      </c>
    </row>
    <row r="11" spans="2:21" x14ac:dyDescent="0.25">
      <c r="B11" s="235">
        <v>0</v>
      </c>
      <c r="C11" s="72">
        <v>4.2328042328042326E-2</v>
      </c>
      <c r="E11" s="235">
        <v>0</v>
      </c>
      <c r="F11" s="72">
        <v>3.7037037037037035E-2</v>
      </c>
      <c r="H11" s="235">
        <v>0</v>
      </c>
      <c r="I11" s="72">
        <v>0.58823529411764708</v>
      </c>
      <c r="K11" s="235">
        <v>-0.4</v>
      </c>
      <c r="L11" s="72">
        <v>5.4644808743169397E-2</v>
      </c>
      <c r="N11" s="235">
        <v>0</v>
      </c>
      <c r="O11" s="72">
        <v>3.7037037037037035E-2</v>
      </c>
      <c r="Q11" s="235">
        <v>-0.4</v>
      </c>
      <c r="R11" s="232">
        <v>54.644808743169399</v>
      </c>
      <c r="T11" s="235">
        <v>0</v>
      </c>
      <c r="U11" s="232">
        <v>52.910052910052912</v>
      </c>
    </row>
    <row r="12" spans="2:21" x14ac:dyDescent="0.25">
      <c r="B12" s="235">
        <v>0</v>
      </c>
      <c r="C12" s="72">
        <v>7.1428571428571425E-2</v>
      </c>
      <c r="E12" s="235">
        <v>0</v>
      </c>
      <c r="F12" s="72">
        <v>2.7472527472527472E-2</v>
      </c>
      <c r="H12" s="235">
        <v>0</v>
      </c>
      <c r="I12" s="72">
        <v>0.55555555555555558</v>
      </c>
      <c r="K12" s="235">
        <v>-0.4</v>
      </c>
      <c r="L12" s="72">
        <v>4.8648648648648651E-2</v>
      </c>
      <c r="N12" s="235">
        <v>0</v>
      </c>
      <c r="O12" s="72">
        <v>2.7472527472527472E-2</v>
      </c>
      <c r="Q12" s="235">
        <v>-0.4</v>
      </c>
      <c r="R12" s="232">
        <v>32.432432432432435</v>
      </c>
      <c r="T12" s="235">
        <v>0</v>
      </c>
      <c r="U12" s="232">
        <v>27.472527472527471</v>
      </c>
    </row>
    <row r="13" spans="2:21" x14ac:dyDescent="0.25">
      <c r="B13" s="235">
        <v>0</v>
      </c>
      <c r="C13" s="72">
        <v>6.7708333333333329E-2</v>
      </c>
      <c r="E13" s="235">
        <v>0</v>
      </c>
      <c r="F13" s="72">
        <v>2.6041666666666668E-2</v>
      </c>
      <c r="H13" s="235">
        <v>0</v>
      </c>
      <c r="I13" s="72">
        <v>0.63636363636363635</v>
      </c>
      <c r="K13" s="235">
        <v>-0.4</v>
      </c>
      <c r="L13" s="72">
        <v>3.2085561497326207E-2</v>
      </c>
      <c r="N13" s="235">
        <v>0</v>
      </c>
      <c r="O13" s="72">
        <v>2.6041666666666668E-2</v>
      </c>
      <c r="Q13" s="235">
        <v>-0.4</v>
      </c>
      <c r="R13" s="232">
        <v>53.475935828877006</v>
      </c>
      <c r="T13" s="235">
        <v>0</v>
      </c>
      <c r="U13" s="232">
        <v>36.458333333333336</v>
      </c>
    </row>
    <row r="14" spans="2:21" x14ac:dyDescent="0.25">
      <c r="B14" s="235">
        <v>0</v>
      </c>
      <c r="C14" s="72">
        <v>6.6666666666666666E-2</v>
      </c>
      <c r="E14" s="235">
        <v>0</v>
      </c>
      <c r="F14" s="72">
        <v>0.05</v>
      </c>
      <c r="H14" s="235">
        <v>0</v>
      </c>
      <c r="I14" s="72">
        <v>0.6</v>
      </c>
      <c r="K14" s="235">
        <v>-0.4</v>
      </c>
      <c r="L14" s="72">
        <v>6.9767441860465115E-2</v>
      </c>
      <c r="N14" s="235">
        <v>0</v>
      </c>
      <c r="O14" s="72">
        <v>0.05</v>
      </c>
      <c r="Q14" s="235">
        <v>-0.4</v>
      </c>
      <c r="R14" s="232">
        <v>40.697674418604649</v>
      </c>
      <c r="T14" s="235">
        <v>0</v>
      </c>
      <c r="U14" s="232">
        <v>33.333333333333336</v>
      </c>
    </row>
    <row r="15" spans="2:21" x14ac:dyDescent="0.25">
      <c r="B15" s="235">
        <v>0</v>
      </c>
      <c r="C15" s="72">
        <v>7.0000000000000007E-2</v>
      </c>
      <c r="E15" s="235">
        <v>0</v>
      </c>
      <c r="F15" s="72">
        <v>3.5000000000000003E-2</v>
      </c>
      <c r="H15" s="235">
        <v>0</v>
      </c>
      <c r="I15" s="72">
        <v>1</v>
      </c>
      <c r="K15" s="235">
        <v>-0.4</v>
      </c>
      <c r="L15" s="72">
        <v>5.7291666666666664E-2</v>
      </c>
      <c r="N15" s="235">
        <v>0</v>
      </c>
      <c r="O15" s="72">
        <v>3.5000000000000003E-2</v>
      </c>
      <c r="Q15" s="235">
        <v>-0.4</v>
      </c>
      <c r="R15" s="232">
        <v>41.666666666666664</v>
      </c>
      <c r="T15" s="235">
        <v>0</v>
      </c>
      <c r="U15" s="232">
        <v>20</v>
      </c>
    </row>
    <row r="16" spans="2:21" x14ac:dyDescent="0.25">
      <c r="B16" s="235">
        <v>0</v>
      </c>
      <c r="C16" s="72">
        <v>4.0201005025125629E-2</v>
      </c>
      <c r="E16" s="235">
        <v>0</v>
      </c>
      <c r="F16" s="72">
        <v>2.5125628140703519E-2</v>
      </c>
      <c r="H16" s="235">
        <v>0</v>
      </c>
      <c r="I16" s="72">
        <v>0.66666666666666663</v>
      </c>
      <c r="K16" s="235">
        <v>-0.4</v>
      </c>
      <c r="L16" s="72">
        <v>4.6391752577319589E-2</v>
      </c>
      <c r="N16" s="235">
        <v>0</v>
      </c>
      <c r="O16" s="72">
        <v>2.5125628140703519E-2</v>
      </c>
      <c r="Q16" s="235">
        <v>-0.4</v>
      </c>
      <c r="R16" s="232">
        <v>25.773195876288661</v>
      </c>
      <c r="T16" s="235">
        <v>0</v>
      </c>
      <c r="U16" s="232">
        <v>10.050251256281408</v>
      </c>
    </row>
    <row r="17" spans="2:21" x14ac:dyDescent="0.25">
      <c r="B17" s="235">
        <v>0</v>
      </c>
      <c r="C17" s="72">
        <v>6.5573770491803282E-2</v>
      </c>
      <c r="E17" s="235">
        <v>0</v>
      </c>
      <c r="F17" s="72">
        <v>2.185792349726776E-2</v>
      </c>
      <c r="H17" s="235">
        <v>0</v>
      </c>
      <c r="I17" s="72">
        <v>0.25</v>
      </c>
      <c r="K17" s="235">
        <v>-0.4</v>
      </c>
      <c r="L17" s="72">
        <v>2.23463687150838E-2</v>
      </c>
      <c r="N17" s="235">
        <v>0</v>
      </c>
      <c r="O17" s="72">
        <v>2.185792349726776E-2</v>
      </c>
      <c r="Q17" s="235">
        <v>-0.4</v>
      </c>
      <c r="R17" s="232">
        <v>16.759776536312849</v>
      </c>
      <c r="T17" s="235">
        <v>0</v>
      </c>
      <c r="U17" s="232">
        <v>16.393442622950818</v>
      </c>
    </row>
    <row r="18" spans="2:21" x14ac:dyDescent="0.25">
      <c r="B18" s="235">
        <v>0</v>
      </c>
      <c r="C18" s="72">
        <v>5.0505050505050504E-2</v>
      </c>
      <c r="E18" s="235">
        <v>0</v>
      </c>
      <c r="F18" s="72">
        <v>3.0303030303030304E-2</v>
      </c>
      <c r="H18" s="235">
        <v>0</v>
      </c>
      <c r="I18" s="72">
        <v>0.5</v>
      </c>
      <c r="K18" s="235">
        <v>-0.4</v>
      </c>
      <c r="L18" s="72">
        <v>3.0769230769230771E-2</v>
      </c>
      <c r="N18" s="235">
        <v>0</v>
      </c>
      <c r="O18" s="72">
        <v>3.0303030303030304E-2</v>
      </c>
      <c r="Q18" s="235">
        <v>-0.4</v>
      </c>
      <c r="R18" s="232">
        <v>20.512820512820515</v>
      </c>
      <c r="T18" s="235">
        <v>0</v>
      </c>
      <c r="U18" s="232">
        <v>20.202020202020201</v>
      </c>
    </row>
    <row r="19" spans="2:21" x14ac:dyDescent="0.25">
      <c r="B19" s="235">
        <v>0</v>
      </c>
      <c r="C19" s="72">
        <v>4.6511627906976744E-2</v>
      </c>
      <c r="E19" s="235">
        <v>0</v>
      </c>
      <c r="F19" s="72">
        <v>1.1627906976744186E-2</v>
      </c>
      <c r="H19" s="235">
        <v>0</v>
      </c>
      <c r="I19" s="72">
        <v>0.8</v>
      </c>
      <c r="K19" s="235">
        <v>-0.4</v>
      </c>
      <c r="L19" s="72">
        <v>4.5454545454545456E-2</v>
      </c>
      <c r="N19" s="235">
        <v>0</v>
      </c>
      <c r="O19" s="72">
        <v>1.1627906976744186E-2</v>
      </c>
      <c r="Q19" s="235">
        <v>-0.4</v>
      </c>
      <c r="R19" s="232">
        <v>28.40909090909091</v>
      </c>
      <c r="T19" s="235">
        <v>0</v>
      </c>
      <c r="U19" s="232">
        <v>46.511627906976742</v>
      </c>
    </row>
    <row r="20" spans="2:21" x14ac:dyDescent="0.25">
      <c r="B20" s="235">
        <v>0</v>
      </c>
      <c r="C20" s="72">
        <v>7.1038251366120214E-2</v>
      </c>
      <c r="E20" s="235">
        <v>0</v>
      </c>
      <c r="F20" s="72">
        <v>4.3715846994535519E-2</v>
      </c>
      <c r="H20" s="235">
        <v>0</v>
      </c>
      <c r="I20" s="72">
        <v>0.83333333333333337</v>
      </c>
      <c r="K20" s="235">
        <v>-0.4</v>
      </c>
      <c r="L20" s="72">
        <v>6.5934065934065936E-2</v>
      </c>
      <c r="N20" s="235">
        <v>0</v>
      </c>
      <c r="O20" s="72">
        <v>4.3715846994535519E-2</v>
      </c>
      <c r="Q20" s="235">
        <v>-0.4</v>
      </c>
      <c r="R20" s="232">
        <v>32.967032967032964</v>
      </c>
      <c r="T20" s="235">
        <v>0</v>
      </c>
      <c r="U20" s="232">
        <v>54.644808743169399</v>
      </c>
    </row>
    <row r="21" spans="2:21" x14ac:dyDescent="0.25">
      <c r="B21" s="235">
        <v>0</v>
      </c>
      <c r="C21" s="72">
        <v>7.179487179487179E-2</v>
      </c>
      <c r="E21" s="235">
        <v>0</v>
      </c>
      <c r="F21" s="72">
        <v>3.5897435897435895E-2</v>
      </c>
      <c r="H21" s="235">
        <v>0</v>
      </c>
      <c r="I21" s="72">
        <v>0.66666666666666663</v>
      </c>
      <c r="K21" s="235">
        <v>-0.4</v>
      </c>
      <c r="L21" s="72">
        <v>3.7037037037037035E-2</v>
      </c>
      <c r="N21" s="235">
        <v>0</v>
      </c>
      <c r="O21" s="72">
        <v>3.5897435897435895E-2</v>
      </c>
      <c r="Q21" s="235">
        <v>-0.4</v>
      </c>
      <c r="R21" s="232">
        <v>37.037037037037038</v>
      </c>
      <c r="T21" s="235">
        <v>0</v>
      </c>
      <c r="U21" s="232">
        <v>41.025641025641029</v>
      </c>
    </row>
    <row r="22" spans="2:21" x14ac:dyDescent="0.25">
      <c r="B22" s="235">
        <v>0</v>
      </c>
      <c r="C22" s="72">
        <v>8.8541666666666671E-2</v>
      </c>
      <c r="E22" s="235">
        <v>0</v>
      </c>
      <c r="F22" s="72">
        <v>3.6458333333333336E-2</v>
      </c>
      <c r="H22" s="235">
        <v>0</v>
      </c>
      <c r="I22" s="72">
        <v>0.5</v>
      </c>
      <c r="K22" s="235">
        <v>-0.4</v>
      </c>
      <c r="L22" s="72">
        <v>5.3475935828877004E-2</v>
      </c>
      <c r="N22" s="235">
        <v>0</v>
      </c>
      <c r="O22" s="72">
        <v>3.6458333333333336E-2</v>
      </c>
      <c r="Q22" s="235">
        <v>-0.4</v>
      </c>
      <c r="R22" s="232">
        <v>26.737967914438503</v>
      </c>
      <c r="T22" s="235">
        <v>0</v>
      </c>
      <c r="U22" s="232">
        <v>26.041666666666668</v>
      </c>
    </row>
    <row r="23" spans="2:21" x14ac:dyDescent="0.25">
      <c r="B23" s="235">
        <v>0</v>
      </c>
      <c r="C23" s="72">
        <v>0.1</v>
      </c>
      <c r="E23" s="235">
        <v>0</v>
      </c>
      <c r="F23" s="72">
        <v>2.3529411764705882E-2</v>
      </c>
      <c r="H23" s="235">
        <v>0</v>
      </c>
      <c r="I23" s="72">
        <v>0.66666666666666663</v>
      </c>
      <c r="K23" s="235">
        <v>-0.4</v>
      </c>
      <c r="L23" s="72">
        <v>4.1916167664670656E-2</v>
      </c>
      <c r="N23" s="235">
        <v>0</v>
      </c>
      <c r="O23" s="72">
        <v>2.3529411764705882E-2</v>
      </c>
      <c r="Q23" s="235">
        <v>-0.4</v>
      </c>
      <c r="R23" s="232">
        <v>5.9880239520958085</v>
      </c>
      <c r="T23" s="235">
        <v>0</v>
      </c>
      <c r="U23" s="232">
        <v>11.764705882352942</v>
      </c>
    </row>
    <row r="24" spans="2:21" x14ac:dyDescent="0.25">
      <c r="B24" s="235">
        <v>0</v>
      </c>
      <c r="C24" s="72">
        <v>6.8421052631578952E-2</v>
      </c>
      <c r="E24" s="235">
        <v>0</v>
      </c>
      <c r="F24" s="72">
        <v>1.5789473684210527E-2</v>
      </c>
      <c r="H24" s="235">
        <v>0</v>
      </c>
      <c r="I24" s="72">
        <v>0.7142857142857143</v>
      </c>
      <c r="K24" s="235">
        <v>-0.4</v>
      </c>
      <c r="L24" s="72">
        <v>2.2727272727272728E-2</v>
      </c>
      <c r="N24" s="235">
        <v>0</v>
      </c>
      <c r="O24" s="72">
        <v>1.5789473684210527E-2</v>
      </c>
      <c r="Q24" s="235">
        <v>-0.4</v>
      </c>
      <c r="R24" s="232">
        <v>45.454545454545453</v>
      </c>
      <c r="T24" s="235">
        <v>0</v>
      </c>
      <c r="U24" s="232">
        <v>26.315789473684209</v>
      </c>
    </row>
    <row r="25" spans="2:21" x14ac:dyDescent="0.25">
      <c r="B25" s="235">
        <v>0</v>
      </c>
      <c r="C25" s="72">
        <v>6.1224489795918366E-2</v>
      </c>
      <c r="E25" s="235">
        <v>0</v>
      </c>
      <c r="F25" s="72">
        <v>3.0612244897959183E-2</v>
      </c>
      <c r="H25" s="235">
        <v>0</v>
      </c>
      <c r="I25" s="72">
        <v>0.5</v>
      </c>
      <c r="K25" s="235">
        <v>-0.4</v>
      </c>
      <c r="L25" s="72">
        <v>4.6632124352331605E-2</v>
      </c>
      <c r="N25" s="235">
        <v>0</v>
      </c>
      <c r="O25" s="72">
        <v>3.0612244897959183E-2</v>
      </c>
      <c r="Q25" s="235">
        <v>-0.4</v>
      </c>
      <c r="R25" s="232">
        <v>20.725388601036268</v>
      </c>
      <c r="T25" s="235">
        <v>0</v>
      </c>
      <c r="U25" s="232">
        <v>20.408163265306122</v>
      </c>
    </row>
    <row r="26" spans="2:21" x14ac:dyDescent="0.25">
      <c r="B26" s="235">
        <v>0</v>
      </c>
      <c r="C26" s="72">
        <v>8.1632653061224483E-2</v>
      </c>
      <c r="E26" s="235">
        <v>0</v>
      </c>
      <c r="F26" s="72">
        <v>2.5510204081632654E-2</v>
      </c>
      <c r="H26" s="235">
        <v>0</v>
      </c>
      <c r="I26" s="72">
        <v>0.8</v>
      </c>
      <c r="K26" s="235">
        <v>-0.4</v>
      </c>
      <c r="L26" s="72">
        <v>4.5918367346938778E-2</v>
      </c>
      <c r="N26" s="235">
        <v>0</v>
      </c>
      <c r="O26" s="72">
        <v>2.5510204081632654E-2</v>
      </c>
      <c r="Q26" s="235">
        <v>-0.4</v>
      </c>
      <c r="R26" s="232">
        <v>45.918367346938773</v>
      </c>
      <c r="T26" s="235">
        <v>0</v>
      </c>
      <c r="U26" s="232">
        <v>40.816326530612244</v>
      </c>
    </row>
    <row r="27" spans="2:21" x14ac:dyDescent="0.25">
      <c r="B27" s="235">
        <v>0</v>
      </c>
      <c r="C27" s="72">
        <v>7.5268817204301078E-2</v>
      </c>
      <c r="E27" s="235">
        <v>0</v>
      </c>
      <c r="F27" s="72">
        <v>4.3010752688172046E-2</v>
      </c>
      <c r="H27" s="235">
        <v>0</v>
      </c>
      <c r="I27" s="72">
        <v>0.375</v>
      </c>
      <c r="K27" s="235">
        <v>-0.4</v>
      </c>
      <c r="L27" s="72">
        <v>4.4198895027624308E-2</v>
      </c>
      <c r="N27" s="235">
        <v>0</v>
      </c>
      <c r="O27" s="72">
        <v>4.3010752688172046E-2</v>
      </c>
      <c r="Q27" s="235">
        <v>-0.4</v>
      </c>
      <c r="R27" s="232">
        <v>44.19889502762431</v>
      </c>
      <c r="T27" s="235">
        <v>0</v>
      </c>
      <c r="U27" s="232">
        <v>16.129032258064516</v>
      </c>
    </row>
    <row r="28" spans="2:21" x14ac:dyDescent="0.25">
      <c r="B28" s="235">
        <v>0</v>
      </c>
      <c r="C28" s="72">
        <v>5.4726368159203981E-2</v>
      </c>
      <c r="E28" s="235">
        <v>0</v>
      </c>
      <c r="F28" s="72">
        <v>3.482587064676617E-2</v>
      </c>
      <c r="H28" s="235">
        <v>0</v>
      </c>
      <c r="I28" s="72">
        <v>0.75</v>
      </c>
      <c r="K28" s="235">
        <v>-0.4</v>
      </c>
      <c r="L28" s="72">
        <v>5.6410256410256411E-2</v>
      </c>
      <c r="N28" s="235">
        <v>0</v>
      </c>
      <c r="O28" s="72">
        <v>3.482587064676617E-2</v>
      </c>
      <c r="Q28" s="235">
        <v>-0.4</v>
      </c>
      <c r="R28" s="232">
        <v>30.76923076923077</v>
      </c>
      <c r="T28" s="235">
        <v>0</v>
      </c>
      <c r="U28" s="232">
        <v>14.925373134328359</v>
      </c>
    </row>
    <row r="29" spans="2:21" x14ac:dyDescent="0.25">
      <c r="B29" s="235">
        <v>0</v>
      </c>
      <c r="C29" s="72">
        <v>4.6632124352331605E-2</v>
      </c>
      <c r="E29" s="235">
        <v>0</v>
      </c>
      <c r="F29" s="72">
        <v>2.5906735751295335E-2</v>
      </c>
      <c r="H29" s="235">
        <v>0</v>
      </c>
      <c r="I29" s="72">
        <v>0.58333333333333337</v>
      </c>
      <c r="K29" s="235">
        <v>-0.4</v>
      </c>
      <c r="L29" s="72">
        <v>3.2967032967032968E-2</v>
      </c>
      <c r="N29" s="235">
        <v>0</v>
      </c>
      <c r="O29" s="72">
        <v>2.5906735751295335E-2</v>
      </c>
      <c r="Q29" s="235">
        <v>-0.4</v>
      </c>
      <c r="R29" s="232">
        <v>60.439560439560438</v>
      </c>
      <c r="T29" s="235">
        <v>0</v>
      </c>
      <c r="U29" s="232">
        <v>36.269430051813472</v>
      </c>
    </row>
    <row r="30" spans="2:21" x14ac:dyDescent="0.25">
      <c r="B30" s="235">
        <v>0</v>
      </c>
      <c r="C30" s="72">
        <v>9.6256684491978606E-2</v>
      </c>
      <c r="E30" s="235">
        <v>0</v>
      </c>
      <c r="F30" s="72">
        <v>4.2780748663101602E-2</v>
      </c>
      <c r="H30" s="235">
        <v>0</v>
      </c>
      <c r="I30" s="72">
        <v>0.7</v>
      </c>
      <c r="K30" s="235">
        <v>-0.4</v>
      </c>
      <c r="L30" s="72">
        <v>4.3243243243243246E-2</v>
      </c>
      <c r="N30" s="235">
        <v>0</v>
      </c>
      <c r="O30" s="72">
        <v>4.2780748663101602E-2</v>
      </c>
      <c r="Q30" s="235">
        <v>-0.4</v>
      </c>
      <c r="R30" s="232">
        <v>43.243243243243242</v>
      </c>
      <c r="T30" s="235">
        <v>0</v>
      </c>
      <c r="U30" s="232">
        <v>37.433155080213901</v>
      </c>
    </row>
    <row r="31" spans="2:21" x14ac:dyDescent="0.25">
      <c r="B31" s="235">
        <v>0</v>
      </c>
      <c r="C31" s="72">
        <v>5.4644808743169397E-2</v>
      </c>
      <c r="E31" s="235">
        <v>0</v>
      </c>
      <c r="F31" s="72">
        <v>5.4644808743169397E-2</v>
      </c>
      <c r="H31" s="235">
        <v>0</v>
      </c>
      <c r="I31" s="72">
        <v>0.66666666666666663</v>
      </c>
      <c r="K31" s="235">
        <v>-0.4</v>
      </c>
      <c r="L31" s="72">
        <v>6.8965517241379309E-2</v>
      </c>
      <c r="N31" s="235">
        <v>0</v>
      </c>
      <c r="O31" s="72">
        <v>5.4644808743169397E-2</v>
      </c>
      <c r="Q31" s="235">
        <v>-0.4</v>
      </c>
      <c r="R31" s="232">
        <v>28.735632183908045</v>
      </c>
      <c r="T31" s="235">
        <v>0</v>
      </c>
      <c r="U31" s="232">
        <v>21.857923497267759</v>
      </c>
    </row>
    <row r="32" spans="2:21" x14ac:dyDescent="0.25">
      <c r="B32" s="235">
        <v>0</v>
      </c>
      <c r="C32" s="72">
        <v>4.5226130653266333E-2</v>
      </c>
      <c r="E32" s="235">
        <v>0</v>
      </c>
      <c r="F32" s="72">
        <v>3.015075376884422E-2</v>
      </c>
      <c r="H32" s="235">
        <v>0</v>
      </c>
      <c r="I32" s="72">
        <v>0.63636363636363635</v>
      </c>
      <c r="K32" s="235">
        <v>-0.4</v>
      </c>
      <c r="L32" s="72">
        <v>3.4653465346534656E-2</v>
      </c>
      <c r="N32" s="235">
        <v>0</v>
      </c>
      <c r="O32" s="72">
        <v>3.015075376884422E-2</v>
      </c>
      <c r="Q32" s="235">
        <v>-0.4</v>
      </c>
      <c r="R32" s="232">
        <v>24.752475247524753</v>
      </c>
      <c r="T32" s="235">
        <v>0</v>
      </c>
      <c r="U32" s="232">
        <v>35.175879396984925</v>
      </c>
    </row>
    <row r="33" spans="2:21" x14ac:dyDescent="0.25">
      <c r="B33" s="235">
        <v>0</v>
      </c>
      <c r="C33" s="72">
        <v>8.2352941176470587E-2</v>
      </c>
      <c r="E33" s="235">
        <v>0</v>
      </c>
      <c r="F33" s="72">
        <v>3.5294117647058823E-2</v>
      </c>
      <c r="H33" s="235">
        <v>0</v>
      </c>
      <c r="I33" s="72">
        <v>0.7</v>
      </c>
      <c r="K33" s="235">
        <v>-0.4</v>
      </c>
      <c r="L33" s="72">
        <v>3.6809815950920248E-2</v>
      </c>
      <c r="N33" s="235">
        <v>0</v>
      </c>
      <c r="O33" s="72">
        <v>3.5294117647058823E-2</v>
      </c>
      <c r="Q33" s="235">
        <v>-0.4</v>
      </c>
      <c r="R33" s="232">
        <v>36.809815950920246</v>
      </c>
      <c r="T33" s="235">
        <v>0</v>
      </c>
      <c r="U33" s="232">
        <v>41.176470588235297</v>
      </c>
    </row>
    <row r="34" spans="2:21" x14ac:dyDescent="0.25">
      <c r="B34" s="235">
        <v>0</v>
      </c>
      <c r="C34" s="72">
        <v>6.1452513966480445E-2</v>
      </c>
      <c r="E34" s="235">
        <v>0</v>
      </c>
      <c r="F34" s="72">
        <v>2.7932960893854747E-2</v>
      </c>
      <c r="H34" s="235">
        <v>0</v>
      </c>
      <c r="I34" s="72">
        <v>1</v>
      </c>
      <c r="K34" s="235">
        <v>-0.4</v>
      </c>
      <c r="L34" s="72">
        <v>5.2631578947368418E-2</v>
      </c>
      <c r="N34" s="235">
        <v>0</v>
      </c>
      <c r="O34" s="72">
        <v>2.7932960893854747E-2</v>
      </c>
      <c r="Q34" s="235">
        <v>-0.4</v>
      </c>
      <c r="R34" s="232">
        <v>29.239766081871345</v>
      </c>
      <c r="T34" s="235">
        <v>0</v>
      </c>
      <c r="U34" s="232">
        <v>5.5865921787709496</v>
      </c>
    </row>
    <row r="35" spans="2:21" x14ac:dyDescent="0.25">
      <c r="B35" s="235">
        <v>0</v>
      </c>
      <c r="C35" s="72">
        <v>8.8082901554404139E-2</v>
      </c>
      <c r="E35" s="235">
        <v>0</v>
      </c>
      <c r="F35" s="72">
        <v>3.1088082901554404E-2</v>
      </c>
      <c r="H35" s="235">
        <v>0</v>
      </c>
      <c r="I35" s="72">
        <v>0.6</v>
      </c>
      <c r="K35" s="235">
        <v>-0.4</v>
      </c>
      <c r="L35" s="72">
        <v>5.2083333333333336E-2</v>
      </c>
      <c r="N35" s="235">
        <v>0</v>
      </c>
      <c r="O35" s="72">
        <v>3.1088082901554404E-2</v>
      </c>
      <c r="Q35" s="235">
        <v>-0.4</v>
      </c>
      <c r="R35" s="232">
        <v>52.083333333333336</v>
      </c>
      <c r="T35" s="235">
        <v>0</v>
      </c>
      <c r="U35" s="232">
        <v>31.088082901554404</v>
      </c>
    </row>
    <row r="36" spans="2:21" x14ac:dyDescent="0.25">
      <c r="B36" s="235">
        <v>0</v>
      </c>
      <c r="C36" s="72">
        <v>6.5656565656565663E-2</v>
      </c>
      <c r="E36" s="235">
        <v>0</v>
      </c>
      <c r="F36" s="72">
        <v>2.5252525252525252E-2</v>
      </c>
      <c r="H36" s="235">
        <v>0</v>
      </c>
      <c r="I36" s="72">
        <v>0.625</v>
      </c>
      <c r="K36" s="235">
        <v>-0.4</v>
      </c>
      <c r="L36" s="72">
        <v>5.5837563451776651E-2</v>
      </c>
      <c r="N36" s="235">
        <v>0</v>
      </c>
      <c r="O36" s="72">
        <v>2.5252525252525252E-2</v>
      </c>
      <c r="Q36" s="235">
        <v>-0.4</v>
      </c>
      <c r="R36" s="232">
        <v>45.685279187817258</v>
      </c>
      <c r="T36" s="235">
        <v>0</v>
      </c>
      <c r="U36" s="232">
        <v>25.252525252525253</v>
      </c>
    </row>
    <row r="37" spans="2:21" x14ac:dyDescent="0.25">
      <c r="B37" s="235">
        <v>0</v>
      </c>
      <c r="C37" s="72">
        <v>4.4198895027624308E-2</v>
      </c>
      <c r="E37" s="235">
        <v>0</v>
      </c>
      <c r="F37" s="72">
        <v>2.7624309392265192E-2</v>
      </c>
      <c r="H37" s="235">
        <v>0</v>
      </c>
      <c r="I37" s="72">
        <v>0.33333333333333331</v>
      </c>
      <c r="K37" s="235">
        <v>-0.4</v>
      </c>
      <c r="L37" s="72">
        <v>4.5454545454545456E-2</v>
      </c>
      <c r="N37" s="235">
        <v>0</v>
      </c>
      <c r="O37" s="72">
        <v>2.7624309392265192E-2</v>
      </c>
      <c r="Q37" s="235">
        <v>-0.4</v>
      </c>
      <c r="R37" s="232">
        <v>17.045454545454547</v>
      </c>
      <c r="T37" s="235">
        <v>0</v>
      </c>
      <c r="U37" s="232">
        <v>5.5248618784530388</v>
      </c>
    </row>
    <row r="38" spans="2:21" x14ac:dyDescent="0.25">
      <c r="B38" s="235">
        <v>0</v>
      </c>
      <c r="C38" s="72">
        <v>6.1855670103092786E-2</v>
      </c>
      <c r="E38" s="235">
        <v>0</v>
      </c>
      <c r="F38" s="72">
        <v>4.1237113402061855E-2</v>
      </c>
      <c r="H38" s="235">
        <v>0</v>
      </c>
      <c r="I38" s="72">
        <v>0.7</v>
      </c>
      <c r="K38" s="235">
        <v>-0.4</v>
      </c>
      <c r="L38" s="72">
        <v>4.3243243243243246E-2</v>
      </c>
      <c r="N38" s="235">
        <v>0</v>
      </c>
      <c r="O38" s="72">
        <v>4.1237113402061855E-2</v>
      </c>
      <c r="Q38" s="235">
        <v>-0.4</v>
      </c>
      <c r="R38" s="232">
        <v>32.432432432432435</v>
      </c>
      <c r="T38" s="235">
        <v>0</v>
      </c>
      <c r="U38" s="232">
        <v>36.082474226804123</v>
      </c>
    </row>
    <row r="39" spans="2:21" x14ac:dyDescent="0.25">
      <c r="B39" s="235">
        <v>0</v>
      </c>
      <c r="C39" s="72">
        <v>4.5226130653266333E-2</v>
      </c>
      <c r="E39" s="235">
        <v>0</v>
      </c>
      <c r="F39" s="72">
        <v>4.0201005025125629E-2</v>
      </c>
      <c r="H39" s="235">
        <v>0</v>
      </c>
      <c r="I39" s="72">
        <v>0.5</v>
      </c>
      <c r="K39" s="235">
        <v>-0.4</v>
      </c>
      <c r="L39" s="72">
        <v>7.179487179487179E-2</v>
      </c>
      <c r="N39" s="235">
        <v>0</v>
      </c>
      <c r="O39" s="72">
        <v>4.0201005025125629E-2</v>
      </c>
      <c r="Q39" s="235">
        <v>-0.4</v>
      </c>
      <c r="R39" s="232">
        <v>41.025641025641029</v>
      </c>
      <c r="T39" s="235">
        <v>0</v>
      </c>
      <c r="U39" s="232">
        <v>15.075376884422111</v>
      </c>
    </row>
    <row r="40" spans="2:21" x14ac:dyDescent="0.25">
      <c r="B40" s="235">
        <v>0</v>
      </c>
      <c r="C40" s="72">
        <v>6.5476190476190479E-2</v>
      </c>
      <c r="E40" s="235">
        <v>0</v>
      </c>
      <c r="F40" s="72">
        <v>2.976190476190476E-2</v>
      </c>
      <c r="H40" s="235">
        <v>0</v>
      </c>
      <c r="I40" s="72">
        <v>0.5</v>
      </c>
      <c r="K40" s="235">
        <v>-0.4</v>
      </c>
      <c r="L40" s="72">
        <v>2.3952095808383235E-2</v>
      </c>
      <c r="N40" s="235">
        <v>0</v>
      </c>
      <c r="O40" s="72">
        <v>2.976190476190476E-2</v>
      </c>
      <c r="Q40" s="235">
        <v>-0.4</v>
      </c>
      <c r="R40" s="232">
        <v>17.964071856287426</v>
      </c>
      <c r="T40" s="235">
        <v>0</v>
      </c>
      <c r="U40" s="232">
        <v>11.904761904761905</v>
      </c>
    </row>
    <row r="41" spans="2:21" x14ac:dyDescent="0.25">
      <c r="B41" s="235">
        <v>0</v>
      </c>
      <c r="C41" s="72">
        <v>8.4210526315789472E-2</v>
      </c>
      <c r="E41" s="235">
        <v>0</v>
      </c>
      <c r="F41" s="72">
        <v>3.6842105263157891E-2</v>
      </c>
      <c r="H41" s="235">
        <v>0</v>
      </c>
      <c r="I41" s="72">
        <v>0.8</v>
      </c>
      <c r="K41" s="235">
        <v>-0.4</v>
      </c>
      <c r="L41" s="72">
        <v>5.8510638297872342E-2</v>
      </c>
      <c r="N41" s="235">
        <v>0</v>
      </c>
      <c r="O41" s="72">
        <v>3.6842105263157891E-2</v>
      </c>
      <c r="Q41" s="235">
        <v>-0.4</v>
      </c>
      <c r="R41" s="232">
        <v>37.234042553191486</v>
      </c>
      <c r="T41" s="235">
        <v>0</v>
      </c>
      <c r="U41" s="232">
        <v>42.10526315789474</v>
      </c>
    </row>
    <row r="42" spans="2:21" x14ac:dyDescent="0.25">
      <c r="B42" s="235">
        <v>0</v>
      </c>
      <c r="C42" s="72">
        <v>5.4644808743169397E-2</v>
      </c>
      <c r="E42" s="235">
        <v>0</v>
      </c>
      <c r="F42" s="72">
        <v>2.7322404371584699E-2</v>
      </c>
      <c r="H42" s="235">
        <v>0</v>
      </c>
      <c r="I42" s="72">
        <v>0.6875</v>
      </c>
      <c r="K42" s="235">
        <v>-0.4</v>
      </c>
      <c r="L42" s="72">
        <v>3.7634408602150539E-2</v>
      </c>
      <c r="N42" s="235">
        <v>0</v>
      </c>
      <c r="O42" s="72">
        <v>2.7322404371584699E-2</v>
      </c>
      <c r="Q42" s="235">
        <v>-0.4</v>
      </c>
      <c r="R42" s="232">
        <v>64.516129032258064</v>
      </c>
      <c r="T42" s="235">
        <v>0</v>
      </c>
      <c r="U42" s="232">
        <v>60.10928961748634</v>
      </c>
    </row>
    <row r="43" spans="2:21" x14ac:dyDescent="0.25">
      <c r="B43" s="235">
        <v>0</v>
      </c>
      <c r="C43" s="72">
        <v>0.1111111111111111</v>
      </c>
      <c r="E43" s="235">
        <v>0</v>
      </c>
      <c r="F43" s="72">
        <v>2.3391812865497075E-2</v>
      </c>
      <c r="H43" s="235">
        <v>0</v>
      </c>
      <c r="I43" s="72">
        <v>0.14285714285714285</v>
      </c>
      <c r="K43" s="235">
        <v>-0.4</v>
      </c>
      <c r="L43" s="72">
        <v>4.2424242424242427E-2</v>
      </c>
      <c r="N43" s="235">
        <v>0</v>
      </c>
      <c r="O43" s="72">
        <v>2.3391812865497075E-2</v>
      </c>
      <c r="Q43" s="235">
        <v>-0.4</v>
      </c>
      <c r="R43" s="232">
        <v>48.484848484848484</v>
      </c>
      <c r="T43" s="235">
        <v>0</v>
      </c>
      <c r="U43" s="232">
        <v>5.8479532163742691</v>
      </c>
    </row>
    <row r="44" spans="2:21" x14ac:dyDescent="0.25">
      <c r="B44" s="235">
        <v>0</v>
      </c>
      <c r="C44" s="72">
        <v>7.2916666666666671E-2</v>
      </c>
      <c r="E44" s="235">
        <v>0</v>
      </c>
      <c r="F44" s="72">
        <v>3.125E-2</v>
      </c>
      <c r="H44" s="235">
        <v>0</v>
      </c>
      <c r="I44" s="72">
        <v>0.66666666666666663</v>
      </c>
      <c r="K44" s="235">
        <v>-0.4</v>
      </c>
      <c r="L44" s="72">
        <v>6.5573770491803282E-2</v>
      </c>
      <c r="N44" s="235">
        <v>0</v>
      </c>
      <c r="O44" s="72">
        <v>3.125E-2</v>
      </c>
      <c r="Q44" s="235">
        <v>-0.4</v>
      </c>
      <c r="R44" s="232">
        <v>60.10928961748634</v>
      </c>
      <c r="T44" s="235">
        <v>0</v>
      </c>
      <c r="U44" s="232">
        <v>52.083333333333336</v>
      </c>
    </row>
    <row r="45" spans="2:21" x14ac:dyDescent="0.25">
      <c r="B45" s="235">
        <v>0</v>
      </c>
      <c r="C45" s="72">
        <v>5.1020408163265307E-2</v>
      </c>
      <c r="E45" s="235">
        <v>0</v>
      </c>
      <c r="F45" s="72">
        <v>1.5306122448979591E-2</v>
      </c>
      <c r="H45" s="235">
        <v>0</v>
      </c>
      <c r="I45" s="72">
        <v>0.5714285714285714</v>
      </c>
      <c r="K45" s="235">
        <v>-0.4</v>
      </c>
      <c r="L45" s="72">
        <v>2.072538860103627E-2</v>
      </c>
      <c r="N45" s="235">
        <v>0</v>
      </c>
      <c r="O45" s="72">
        <v>1.5306122448979591E-2</v>
      </c>
      <c r="Q45" s="235">
        <v>-0.4</v>
      </c>
      <c r="R45" s="232">
        <v>36.269430051813472</v>
      </c>
      <c r="T45" s="235">
        <v>0</v>
      </c>
      <c r="U45" s="232">
        <v>20.408163265306122</v>
      </c>
    </row>
    <row r="46" spans="2:21" x14ac:dyDescent="0.25">
      <c r="B46" s="235">
        <v>0</v>
      </c>
      <c r="C46" s="72">
        <v>6.9148936170212769E-2</v>
      </c>
      <c r="E46" s="235">
        <v>0</v>
      </c>
      <c r="F46" s="72">
        <v>2.6595744680851064E-2</v>
      </c>
      <c r="H46" s="235">
        <v>0</v>
      </c>
      <c r="I46" s="72">
        <v>0.7142857142857143</v>
      </c>
      <c r="K46" s="235">
        <v>-0.4</v>
      </c>
      <c r="L46" s="72">
        <v>7.18232044198895E-2</v>
      </c>
      <c r="N46" s="235">
        <v>0</v>
      </c>
      <c r="O46" s="72">
        <v>2.6595744680851064E-2</v>
      </c>
      <c r="Q46" s="235">
        <v>-0.4</v>
      </c>
      <c r="R46" s="232">
        <v>49.723756906077348</v>
      </c>
      <c r="T46" s="235">
        <v>0</v>
      </c>
      <c r="U46" s="232">
        <v>26.595744680851062</v>
      </c>
    </row>
    <row r="47" spans="2:21" x14ac:dyDescent="0.25">
      <c r="B47" s="235">
        <v>0</v>
      </c>
      <c r="C47" s="72">
        <v>5.0505050505050504E-2</v>
      </c>
      <c r="E47" s="235">
        <v>0</v>
      </c>
      <c r="F47" s="72">
        <v>3.5353535353535352E-2</v>
      </c>
      <c r="H47" s="235">
        <v>0</v>
      </c>
      <c r="I47" s="72">
        <v>0.66666666666666663</v>
      </c>
      <c r="K47" s="235">
        <v>-0.4</v>
      </c>
      <c r="L47" s="72">
        <v>6.0606060606060608E-2</v>
      </c>
      <c r="N47" s="235">
        <v>0</v>
      </c>
      <c r="O47" s="72">
        <v>3.5353535353535352E-2</v>
      </c>
      <c r="Q47" s="235">
        <v>-0.4</v>
      </c>
      <c r="R47" s="232">
        <v>15.151515151515152</v>
      </c>
      <c r="T47" s="235">
        <v>0</v>
      </c>
      <c r="U47" s="232">
        <v>30.303030303030305</v>
      </c>
    </row>
    <row r="48" spans="2:21" x14ac:dyDescent="0.25">
      <c r="B48" s="235">
        <v>0</v>
      </c>
      <c r="C48" s="72">
        <v>8.4269662921348312E-2</v>
      </c>
      <c r="E48" s="235">
        <v>0</v>
      </c>
      <c r="F48" s="72">
        <v>5.0561797752808987E-2</v>
      </c>
      <c r="H48" s="235">
        <v>0</v>
      </c>
      <c r="I48" s="72">
        <v>0.22222222222222221</v>
      </c>
      <c r="K48" s="235">
        <v>-0.4</v>
      </c>
      <c r="L48" s="72">
        <v>3.4285714285714287E-2</v>
      </c>
      <c r="N48" s="235">
        <v>0</v>
      </c>
      <c r="O48" s="72">
        <v>5.0561797752808987E-2</v>
      </c>
      <c r="Q48" s="235">
        <v>-0.4</v>
      </c>
      <c r="R48" s="232">
        <v>40</v>
      </c>
      <c r="T48" s="235">
        <v>0</v>
      </c>
      <c r="U48" s="232">
        <v>11.235955056179776</v>
      </c>
    </row>
    <row r="49" spans="2:21" x14ac:dyDescent="0.25">
      <c r="B49" s="235">
        <v>0</v>
      </c>
      <c r="C49" s="72">
        <v>5.181347150259067E-2</v>
      </c>
      <c r="E49" s="235">
        <v>0</v>
      </c>
      <c r="F49" s="72">
        <v>7.2538860103626937E-2</v>
      </c>
      <c r="H49" s="235">
        <v>0</v>
      </c>
      <c r="I49" s="72">
        <v>0.66666666666666663</v>
      </c>
      <c r="K49" s="235">
        <v>-0.4</v>
      </c>
      <c r="L49" s="72">
        <v>5.1428571428571428E-2</v>
      </c>
      <c r="N49" s="235">
        <v>0</v>
      </c>
      <c r="O49" s="72">
        <v>7.2538860103626937E-2</v>
      </c>
      <c r="Q49" s="235">
        <v>-0.4</v>
      </c>
      <c r="R49" s="232">
        <v>28.571428571428573</v>
      </c>
      <c r="T49" s="235">
        <v>0</v>
      </c>
      <c r="U49" s="232">
        <v>10.362694300518134</v>
      </c>
    </row>
    <row r="50" spans="2:21" x14ac:dyDescent="0.25">
      <c r="B50" s="235">
        <v>0</v>
      </c>
      <c r="C50" s="72">
        <v>6.030150753768844E-2</v>
      </c>
      <c r="E50" s="235">
        <v>0</v>
      </c>
      <c r="F50" s="72">
        <v>4.0201005025125629E-2</v>
      </c>
      <c r="H50" s="235">
        <v>0</v>
      </c>
      <c r="I50" s="72">
        <v>0.625</v>
      </c>
      <c r="K50" s="235">
        <v>-0.4</v>
      </c>
      <c r="L50" s="72">
        <v>5.6701030927835051E-2</v>
      </c>
      <c r="N50" s="235">
        <v>0</v>
      </c>
      <c r="O50" s="72">
        <v>4.0201005025125629E-2</v>
      </c>
      <c r="Q50" s="235">
        <v>-0.4</v>
      </c>
      <c r="R50" s="232">
        <v>41.237113402061858</v>
      </c>
      <c r="T50" s="235">
        <v>0</v>
      </c>
      <c r="U50" s="232">
        <v>25.125628140703519</v>
      </c>
    </row>
    <row r="51" spans="2:21" x14ac:dyDescent="0.25">
      <c r="B51" s="235">
        <v>0</v>
      </c>
      <c r="C51" s="72">
        <v>4.8648648648648651E-2</v>
      </c>
      <c r="E51" s="235">
        <v>0</v>
      </c>
      <c r="F51" s="72">
        <v>3.783783783783784E-2</v>
      </c>
      <c r="H51" s="235">
        <v>0</v>
      </c>
      <c r="I51" s="72">
        <v>0.5714285714285714</v>
      </c>
      <c r="K51" s="235">
        <v>-0.4</v>
      </c>
      <c r="L51" s="72">
        <v>5.5865921787709494E-2</v>
      </c>
      <c r="N51" s="235">
        <v>0</v>
      </c>
      <c r="O51" s="72">
        <v>3.783783783783784E-2</v>
      </c>
      <c r="Q51" s="235">
        <v>-0.4</v>
      </c>
      <c r="R51" s="232">
        <v>5.5865921787709496</v>
      </c>
      <c r="T51" s="235">
        <v>0</v>
      </c>
      <c r="U51" s="232">
        <v>21.621621621621621</v>
      </c>
    </row>
    <row r="52" spans="2:21" x14ac:dyDescent="0.25">
      <c r="B52" s="235">
        <v>0</v>
      </c>
      <c r="C52" s="72">
        <v>9.0909090909090912E-2</v>
      </c>
      <c r="E52" s="235">
        <v>0</v>
      </c>
      <c r="F52" s="72">
        <v>1.6042780748663103E-2</v>
      </c>
      <c r="H52" s="235">
        <v>0</v>
      </c>
      <c r="I52" s="72">
        <v>0.7142857142857143</v>
      </c>
      <c r="K52" s="235">
        <v>-0.4</v>
      </c>
      <c r="L52" s="72">
        <v>4.9450549450549448E-2</v>
      </c>
      <c r="N52" s="235">
        <v>0</v>
      </c>
      <c r="O52" s="72">
        <v>1.6042780748663103E-2</v>
      </c>
      <c r="Q52" s="235">
        <v>-0.4</v>
      </c>
      <c r="R52" s="232">
        <v>49.450549450549453</v>
      </c>
      <c r="T52" s="235">
        <v>0</v>
      </c>
      <c r="U52" s="232">
        <v>26.737967914438503</v>
      </c>
    </row>
    <row r="53" spans="2:21" x14ac:dyDescent="0.25">
      <c r="B53" s="235">
        <v>0</v>
      </c>
      <c r="C53" s="72">
        <v>4.2857142857142858E-2</v>
      </c>
      <c r="E53" s="235">
        <v>0</v>
      </c>
      <c r="F53" s="72">
        <v>2.8571428571428571E-2</v>
      </c>
      <c r="H53" s="235">
        <v>0</v>
      </c>
      <c r="I53" s="72">
        <v>0.66666666666666663</v>
      </c>
      <c r="K53" s="235">
        <v>-0.4</v>
      </c>
      <c r="L53" s="72">
        <v>0.05</v>
      </c>
      <c r="N53" s="235">
        <v>0</v>
      </c>
      <c r="O53" s="72">
        <v>2.8571428571428571E-2</v>
      </c>
      <c r="Q53" s="235">
        <v>-0.4</v>
      </c>
      <c r="R53" s="232">
        <v>35</v>
      </c>
      <c r="T53" s="235">
        <v>0</v>
      </c>
      <c r="U53" s="232">
        <v>28.571428571428573</v>
      </c>
    </row>
    <row r="54" spans="2:21" x14ac:dyDescent="0.25">
      <c r="B54" s="235">
        <v>0</v>
      </c>
      <c r="C54" s="72">
        <v>8.98876404494382E-2</v>
      </c>
      <c r="E54" s="235">
        <v>0</v>
      </c>
      <c r="F54" s="72">
        <v>2.247191011235955E-2</v>
      </c>
      <c r="H54" s="235">
        <v>0</v>
      </c>
      <c r="I54" s="72">
        <v>0.625</v>
      </c>
      <c r="K54" s="235">
        <v>-0.4</v>
      </c>
      <c r="L54" s="72">
        <v>1.2195121951219513E-2</v>
      </c>
      <c r="N54" s="235">
        <v>0</v>
      </c>
      <c r="O54" s="72">
        <v>2.247191011235955E-2</v>
      </c>
      <c r="Q54" s="235">
        <v>-0.4</v>
      </c>
      <c r="R54" s="232">
        <v>36.585365853658537</v>
      </c>
      <c r="T54" s="235">
        <v>0</v>
      </c>
      <c r="U54" s="232">
        <v>28.089887640449437</v>
      </c>
    </row>
    <row r="55" spans="2:21" x14ac:dyDescent="0.25">
      <c r="B55" s="235">
        <v>0</v>
      </c>
      <c r="C55" s="72">
        <v>7.1038251366120214E-2</v>
      </c>
      <c r="E55" s="235">
        <v>0</v>
      </c>
      <c r="F55" s="72">
        <v>2.7322404371584699E-2</v>
      </c>
      <c r="H55" s="235">
        <v>0</v>
      </c>
      <c r="I55" s="72">
        <v>0.625</v>
      </c>
      <c r="K55" s="235">
        <v>-0.4</v>
      </c>
      <c r="L55" s="72">
        <v>3.7234042553191488E-2</v>
      </c>
      <c r="N55" s="235">
        <v>0</v>
      </c>
      <c r="O55" s="72">
        <v>2.7322404371584699E-2</v>
      </c>
      <c r="Q55" s="235">
        <v>-0.4</v>
      </c>
      <c r="R55" s="232">
        <v>15.957446808510639</v>
      </c>
      <c r="T55" s="235">
        <v>0</v>
      </c>
      <c r="U55" s="232">
        <v>27.3224043715847</v>
      </c>
    </row>
    <row r="56" spans="2:21" x14ac:dyDescent="0.25">
      <c r="B56" s="235">
        <v>0</v>
      </c>
      <c r="C56" s="72">
        <v>3.7634408602150539E-2</v>
      </c>
      <c r="E56" s="235">
        <v>0</v>
      </c>
      <c r="F56" s="72">
        <v>2.1505376344086023E-2</v>
      </c>
      <c r="H56" s="235">
        <v>0</v>
      </c>
      <c r="I56" s="72">
        <v>0.625</v>
      </c>
      <c r="K56" s="235">
        <v>-0.4</v>
      </c>
      <c r="L56" s="72">
        <v>3.3149171270718231E-2</v>
      </c>
      <c r="N56" s="235">
        <v>0</v>
      </c>
      <c r="O56" s="72">
        <v>2.1505376344086023E-2</v>
      </c>
      <c r="Q56" s="235">
        <v>-0.4</v>
      </c>
      <c r="R56" s="232">
        <v>44.19889502762431</v>
      </c>
      <c r="T56" s="235">
        <v>0</v>
      </c>
      <c r="U56" s="232">
        <v>26.881720430107528</v>
      </c>
    </row>
    <row r="57" spans="2:21" x14ac:dyDescent="0.25">
      <c r="B57" s="235">
        <v>0</v>
      </c>
      <c r="C57" s="72">
        <v>7.6023391812865493E-2</v>
      </c>
      <c r="E57" s="235">
        <v>0</v>
      </c>
      <c r="F57" s="72">
        <v>2.3391812865497075E-2</v>
      </c>
      <c r="H57" s="235">
        <v>0</v>
      </c>
      <c r="I57" s="72">
        <v>0.8</v>
      </c>
      <c r="K57" s="235">
        <v>-0.4</v>
      </c>
      <c r="L57" s="72">
        <v>2.5000000000000001E-2</v>
      </c>
      <c r="N57" s="235">
        <v>0</v>
      </c>
      <c r="O57" s="72">
        <v>2.3391812865497075E-2</v>
      </c>
      <c r="Q57" s="235">
        <v>-0.4</v>
      </c>
      <c r="R57" s="232">
        <v>37.5</v>
      </c>
      <c r="T57" s="235">
        <v>0</v>
      </c>
      <c r="U57" s="232">
        <v>46.783625730994153</v>
      </c>
    </row>
    <row r="58" spans="2:21" x14ac:dyDescent="0.25">
      <c r="B58" s="235">
        <v>0</v>
      </c>
      <c r="C58" s="72">
        <v>5.9113300492610835E-2</v>
      </c>
      <c r="E58" s="235">
        <v>0</v>
      </c>
      <c r="F58" s="72">
        <v>6.4039408866995079E-2</v>
      </c>
      <c r="H58" s="235">
        <v>0</v>
      </c>
      <c r="I58" s="72">
        <v>0.66666666666666663</v>
      </c>
      <c r="K58" s="235">
        <v>-0.4</v>
      </c>
      <c r="L58" s="72">
        <v>6.965174129353234E-2</v>
      </c>
      <c r="N58" s="235">
        <v>0</v>
      </c>
      <c r="O58" s="72">
        <v>6.4039408866995079E-2</v>
      </c>
      <c r="Q58" s="235">
        <v>-0.4</v>
      </c>
      <c r="R58" s="232">
        <v>39.800995024875618</v>
      </c>
      <c r="T58" s="235">
        <v>0</v>
      </c>
      <c r="U58" s="232">
        <v>49.261083743842363</v>
      </c>
    </row>
    <row r="59" spans="2:21" x14ac:dyDescent="0.25">
      <c r="B59" s="235">
        <v>0</v>
      </c>
      <c r="C59" s="72">
        <v>5.4644808743169397E-2</v>
      </c>
      <c r="E59" s="235">
        <v>0</v>
      </c>
      <c r="F59" s="72">
        <v>3.825136612021858E-2</v>
      </c>
      <c r="H59" s="235">
        <v>0</v>
      </c>
      <c r="I59" s="72">
        <v>0.54545454545454541</v>
      </c>
      <c r="K59" s="235">
        <v>-0.4</v>
      </c>
      <c r="L59" s="72">
        <v>6.6666666666666666E-2</v>
      </c>
      <c r="N59" s="235">
        <v>0</v>
      </c>
      <c r="O59" s="72">
        <v>3.825136612021858E-2</v>
      </c>
      <c r="Q59" s="235">
        <v>-0.4</v>
      </c>
      <c r="R59" s="232">
        <v>72.222222222222229</v>
      </c>
      <c r="T59" s="235">
        <v>0</v>
      </c>
      <c r="U59" s="232">
        <v>32.786885245901637</v>
      </c>
    </row>
    <row r="60" spans="2:21" x14ac:dyDescent="0.25">
      <c r="B60" s="235">
        <v>0</v>
      </c>
      <c r="C60" s="72">
        <v>0.10240963855421686</v>
      </c>
      <c r="E60" s="235">
        <v>0</v>
      </c>
      <c r="F60" s="72">
        <v>3.0120481927710843E-2</v>
      </c>
      <c r="H60" s="235">
        <v>0</v>
      </c>
      <c r="I60" s="72">
        <v>0.66666666666666663</v>
      </c>
      <c r="K60" s="235">
        <v>-0.4</v>
      </c>
      <c r="L60" s="72">
        <v>1.2269938650306749E-2</v>
      </c>
      <c r="N60" s="235">
        <v>0</v>
      </c>
      <c r="O60" s="72">
        <v>3.0120481927710843E-2</v>
      </c>
      <c r="Q60" s="235">
        <v>-0.4</v>
      </c>
      <c r="R60" s="232">
        <v>24.539877300613497</v>
      </c>
      <c r="T60" s="235">
        <v>0</v>
      </c>
      <c r="U60" s="232">
        <v>24.096385542168676</v>
      </c>
    </row>
    <row r="61" spans="2:21" x14ac:dyDescent="0.25">
      <c r="B61" s="235">
        <v>0</v>
      </c>
      <c r="C61" s="72">
        <v>4.2253521126760563E-2</v>
      </c>
      <c r="E61" s="235">
        <v>0</v>
      </c>
      <c r="F61" s="72">
        <v>3.7558685446009391E-2</v>
      </c>
      <c r="H61" s="235">
        <v>0</v>
      </c>
      <c r="I61" s="72">
        <v>0.75</v>
      </c>
      <c r="K61" s="235">
        <v>-0.4</v>
      </c>
      <c r="L61" s="72">
        <v>5.2631578947368418E-2</v>
      </c>
      <c r="N61" s="235">
        <v>0</v>
      </c>
      <c r="O61" s="72">
        <v>3.7558685446009391E-2</v>
      </c>
      <c r="Q61" s="235">
        <v>-0.4</v>
      </c>
      <c r="R61" s="232">
        <v>47.846889952153113</v>
      </c>
      <c r="T61" s="235">
        <v>0</v>
      </c>
      <c r="U61" s="232">
        <v>42.25352112676056</v>
      </c>
    </row>
    <row r="62" spans="2:21" x14ac:dyDescent="0.25">
      <c r="B62" s="235">
        <v>0</v>
      </c>
      <c r="C62" s="72">
        <v>7.2625698324022353E-2</v>
      </c>
      <c r="E62" s="235">
        <v>0</v>
      </c>
      <c r="F62" s="72">
        <v>1.6759776536312849E-2</v>
      </c>
      <c r="H62" s="235">
        <v>0</v>
      </c>
      <c r="I62" s="72">
        <v>0.66666666666666663</v>
      </c>
      <c r="K62" s="235">
        <v>-0.4</v>
      </c>
      <c r="L62" s="72">
        <v>2.197802197802198E-2</v>
      </c>
      <c r="N62" s="235">
        <v>0</v>
      </c>
      <c r="O62" s="72">
        <v>1.6759776536312849E-2</v>
      </c>
      <c r="Q62" s="235">
        <v>-0.4</v>
      </c>
      <c r="R62" s="232">
        <v>16.483516483516482</v>
      </c>
      <c r="T62" s="235">
        <v>0</v>
      </c>
      <c r="U62" s="232">
        <v>33.519553072625698</v>
      </c>
    </row>
    <row r="63" spans="2:21" x14ac:dyDescent="0.25">
      <c r="B63" s="235">
        <v>0</v>
      </c>
      <c r="C63" s="72">
        <v>5.4054054054054057E-2</v>
      </c>
      <c r="E63" s="235">
        <v>0</v>
      </c>
      <c r="F63" s="72">
        <v>3.783783783783784E-2</v>
      </c>
      <c r="H63" s="235">
        <v>0</v>
      </c>
      <c r="I63" s="72">
        <v>0.6</v>
      </c>
      <c r="K63" s="235">
        <v>-0.4</v>
      </c>
      <c r="L63" s="72">
        <v>3.4090909090909088E-2</v>
      </c>
      <c r="N63" s="235">
        <v>0</v>
      </c>
      <c r="O63" s="72">
        <v>3.783783783783784E-2</v>
      </c>
      <c r="Q63" s="235">
        <v>-0.4</v>
      </c>
      <c r="R63" s="232">
        <v>39.772727272727273</v>
      </c>
      <c r="T63" s="235">
        <v>0</v>
      </c>
      <c r="U63" s="232">
        <v>32.432432432432435</v>
      </c>
    </row>
    <row r="64" spans="2:21" x14ac:dyDescent="0.25">
      <c r="B64" s="235">
        <v>0</v>
      </c>
      <c r="C64" s="72">
        <v>8.8372093023255813E-2</v>
      </c>
      <c r="E64" s="235">
        <v>0</v>
      </c>
      <c r="F64" s="72">
        <v>2.7906976744186046E-2</v>
      </c>
      <c r="H64" s="235">
        <v>0</v>
      </c>
      <c r="I64" s="72">
        <v>0.5</v>
      </c>
      <c r="K64" s="235">
        <v>-0.4</v>
      </c>
      <c r="L64" s="72">
        <v>8.4507042253521125E-2</v>
      </c>
      <c r="N64" s="235">
        <v>0</v>
      </c>
      <c r="O64" s="72">
        <v>2.7906976744186046E-2</v>
      </c>
      <c r="Q64" s="235">
        <v>-0.4</v>
      </c>
      <c r="R64" s="232">
        <v>37.558685446009392</v>
      </c>
      <c r="T64" s="235">
        <v>0</v>
      </c>
      <c r="U64" s="232">
        <v>18.604651162790699</v>
      </c>
    </row>
    <row r="65" spans="2:21" x14ac:dyDescent="0.25">
      <c r="B65" s="235">
        <v>0</v>
      </c>
      <c r="C65" s="72">
        <v>0.10215053763440861</v>
      </c>
      <c r="E65" s="235">
        <v>0</v>
      </c>
      <c r="F65" s="72">
        <v>2.1505376344086023E-2</v>
      </c>
      <c r="H65" s="235">
        <v>0</v>
      </c>
      <c r="I65" s="72">
        <v>0.42857142857142855</v>
      </c>
      <c r="K65" s="235">
        <v>-0.4</v>
      </c>
      <c r="L65" s="72">
        <v>3.2786885245901641E-2</v>
      </c>
      <c r="N65" s="235">
        <v>0</v>
      </c>
      <c r="O65" s="72">
        <v>2.1505376344086023E-2</v>
      </c>
      <c r="Q65" s="235">
        <v>-0.4</v>
      </c>
      <c r="R65" s="232">
        <v>27.3224043715847</v>
      </c>
      <c r="T65" s="235">
        <v>0</v>
      </c>
      <c r="U65" s="232">
        <v>16.129032258064516</v>
      </c>
    </row>
    <row r="66" spans="2:21" x14ac:dyDescent="0.25">
      <c r="B66" s="235">
        <v>0</v>
      </c>
      <c r="C66" s="72">
        <v>8.5427135678391955E-2</v>
      </c>
      <c r="E66" s="235">
        <v>0</v>
      </c>
      <c r="F66" s="72">
        <v>3.015075376884422E-2</v>
      </c>
      <c r="H66" s="235">
        <v>0</v>
      </c>
      <c r="I66" s="72">
        <v>1</v>
      </c>
      <c r="K66" s="235">
        <v>-0.4</v>
      </c>
      <c r="L66" s="72">
        <v>4.3478260869565216E-2</v>
      </c>
      <c r="N66" s="235">
        <v>0</v>
      </c>
      <c r="O66" s="72">
        <v>3.015075376884422E-2</v>
      </c>
      <c r="Q66" s="235">
        <v>-0.4</v>
      </c>
      <c r="R66" s="232">
        <v>43.478260869565219</v>
      </c>
      <c r="T66" s="235">
        <v>0</v>
      </c>
      <c r="U66" s="232">
        <v>15.075376884422111</v>
      </c>
    </row>
    <row r="67" spans="2:21" x14ac:dyDescent="0.25">
      <c r="B67" s="235">
        <v>0</v>
      </c>
      <c r="C67" s="72">
        <v>7.4257425742574254E-2</v>
      </c>
      <c r="E67" s="235">
        <v>0</v>
      </c>
      <c r="F67" s="72">
        <v>2.9702970297029702E-2</v>
      </c>
      <c r="H67" s="235">
        <v>0</v>
      </c>
      <c r="I67" s="72">
        <v>0.42857142857142855</v>
      </c>
      <c r="K67" s="235">
        <v>-0.4</v>
      </c>
      <c r="L67" s="72">
        <v>5.0761421319796954E-2</v>
      </c>
      <c r="N67" s="235">
        <v>0</v>
      </c>
      <c r="O67" s="72">
        <v>2.9702970297029702E-2</v>
      </c>
      <c r="Q67" s="235">
        <v>-0.4</v>
      </c>
      <c r="R67" s="232">
        <v>30.456852791878173</v>
      </c>
      <c r="T67" s="235">
        <v>0</v>
      </c>
      <c r="U67" s="232">
        <v>14.851485148514852</v>
      </c>
    </row>
    <row r="68" spans="2:21" x14ac:dyDescent="0.25">
      <c r="B68" s="235">
        <v>0</v>
      </c>
      <c r="C68" s="72">
        <v>7.6086956521739135E-2</v>
      </c>
      <c r="E68" s="235">
        <v>0</v>
      </c>
      <c r="F68" s="72">
        <v>4.3478260869565216E-2</v>
      </c>
      <c r="H68" s="235">
        <v>0</v>
      </c>
      <c r="I68" s="72">
        <v>0.5</v>
      </c>
      <c r="K68" s="235">
        <v>-0.4</v>
      </c>
      <c r="L68" s="72">
        <v>5.6497175141242938E-2</v>
      </c>
      <c r="N68" s="235">
        <v>0</v>
      </c>
      <c r="O68" s="72">
        <v>4.3478260869565216E-2</v>
      </c>
      <c r="Q68" s="235">
        <v>-0.4</v>
      </c>
      <c r="R68" s="232">
        <v>33.898305084745765</v>
      </c>
      <c r="T68" s="235">
        <v>0</v>
      </c>
      <c r="U68" s="232">
        <v>21.739130434782609</v>
      </c>
    </row>
    <row r="69" spans="2:21" x14ac:dyDescent="0.25">
      <c r="B69" s="235">
        <v>0</v>
      </c>
      <c r="C69" s="72">
        <v>7.179487179487179E-2</v>
      </c>
      <c r="E69" s="235">
        <v>0</v>
      </c>
      <c r="F69" s="72">
        <v>4.1025641025641026E-2</v>
      </c>
      <c r="H69" s="235">
        <v>0</v>
      </c>
      <c r="I69" s="72">
        <v>0.5</v>
      </c>
      <c r="K69" s="235">
        <v>-0.4</v>
      </c>
      <c r="L69" s="72">
        <v>4.3956043956043959E-2</v>
      </c>
      <c r="N69" s="235">
        <v>0</v>
      </c>
      <c r="O69" s="72">
        <v>4.1025641025641026E-2</v>
      </c>
      <c r="Q69" s="235">
        <v>-0.4</v>
      </c>
      <c r="R69" s="232">
        <v>60.439560439560438</v>
      </c>
      <c r="T69" s="235">
        <v>0</v>
      </c>
      <c r="U69" s="232">
        <v>30.76923076923077</v>
      </c>
    </row>
    <row r="70" spans="2:21" x14ac:dyDescent="0.25">
      <c r="B70" s="235">
        <v>0</v>
      </c>
      <c r="C70" s="72">
        <v>6.25E-2</v>
      </c>
      <c r="E70" s="235">
        <v>0</v>
      </c>
      <c r="F70" s="72">
        <v>4.3269230769230768E-2</v>
      </c>
      <c r="H70" s="235">
        <v>0</v>
      </c>
      <c r="I70" s="72">
        <v>0.46153846153846156</v>
      </c>
      <c r="K70" s="235">
        <v>-0.4</v>
      </c>
      <c r="L70" s="72">
        <v>7.5376884422110546E-2</v>
      </c>
      <c r="N70" s="235">
        <v>0</v>
      </c>
      <c r="O70" s="72">
        <v>4.3269230769230768E-2</v>
      </c>
      <c r="Q70" s="235">
        <v>-0.4</v>
      </c>
      <c r="R70" s="232">
        <v>60.301507537688444</v>
      </c>
      <c r="T70" s="235">
        <v>0</v>
      </c>
      <c r="U70" s="232">
        <v>28.846153846153847</v>
      </c>
    </row>
    <row r="71" spans="2:21" x14ac:dyDescent="0.25">
      <c r="B71" s="235">
        <v>0</v>
      </c>
      <c r="C71" s="72">
        <v>3.8461538461538464E-2</v>
      </c>
      <c r="E71" s="235">
        <v>0</v>
      </c>
      <c r="F71" s="72">
        <v>1.4423076923076924E-2</v>
      </c>
      <c r="H71" s="235">
        <v>0</v>
      </c>
      <c r="I71" s="72">
        <v>0.16666666666666666</v>
      </c>
      <c r="K71" s="235">
        <v>-0.4</v>
      </c>
      <c r="L71" s="72">
        <v>0.04</v>
      </c>
      <c r="N71" s="235">
        <v>0</v>
      </c>
      <c r="O71" s="72">
        <v>1.4423076923076924E-2</v>
      </c>
      <c r="Q71" s="235">
        <v>-0.4</v>
      </c>
      <c r="R71" s="232">
        <v>35</v>
      </c>
      <c r="T71" s="235">
        <v>0</v>
      </c>
      <c r="U71" s="232">
        <v>4.8076923076923075</v>
      </c>
    </row>
    <row r="72" spans="2:21" x14ac:dyDescent="0.25">
      <c r="B72" s="235">
        <v>0</v>
      </c>
      <c r="C72" s="72">
        <v>8.3916083916083919E-2</v>
      </c>
      <c r="E72" s="235">
        <v>0</v>
      </c>
      <c r="F72" s="72">
        <v>4.195804195804196E-2</v>
      </c>
      <c r="H72" s="235">
        <v>0</v>
      </c>
      <c r="I72" s="72">
        <v>0.6</v>
      </c>
      <c r="K72" s="235">
        <v>-0.4</v>
      </c>
      <c r="L72" s="72">
        <v>7.1942446043165464E-2</v>
      </c>
      <c r="N72" s="235">
        <v>0</v>
      </c>
      <c r="O72" s="72">
        <v>4.195804195804196E-2</v>
      </c>
      <c r="Q72" s="235">
        <v>-0.4</v>
      </c>
      <c r="R72" s="232">
        <v>14.388489208633093</v>
      </c>
      <c r="T72" s="235">
        <v>0</v>
      </c>
      <c r="U72" s="232">
        <v>20.97902097902098</v>
      </c>
    </row>
    <row r="73" spans="2:21" x14ac:dyDescent="0.25">
      <c r="B73" s="235">
        <v>0</v>
      </c>
      <c r="C73" s="72">
        <v>5.6179775280898875E-2</v>
      </c>
      <c r="E73" s="235">
        <v>0</v>
      </c>
      <c r="F73" s="72">
        <v>2.8089887640449437E-2</v>
      </c>
      <c r="H73" s="235">
        <v>0</v>
      </c>
      <c r="I73" s="72">
        <v>0.36363636363636365</v>
      </c>
      <c r="K73" s="235">
        <v>-0.4</v>
      </c>
      <c r="L73" s="72">
        <v>4.0935672514619881E-2</v>
      </c>
      <c r="N73" s="235">
        <v>0</v>
      </c>
      <c r="O73" s="72">
        <v>2.8089887640449437E-2</v>
      </c>
      <c r="Q73" s="235">
        <v>-0.4</v>
      </c>
      <c r="R73" s="232">
        <v>17.543859649122808</v>
      </c>
      <c r="T73" s="235">
        <v>0</v>
      </c>
      <c r="U73" s="232">
        <v>22.471910112359552</v>
      </c>
    </row>
    <row r="74" spans="2:21" x14ac:dyDescent="0.25">
      <c r="B74" s="235">
        <v>0</v>
      </c>
      <c r="C74" s="72">
        <v>5.1428571428571428E-2</v>
      </c>
      <c r="E74" s="235">
        <v>0</v>
      </c>
      <c r="F74" s="72">
        <v>0.04</v>
      </c>
      <c r="H74" s="235">
        <v>0</v>
      </c>
      <c r="I74" s="72">
        <v>0.58333333333333337</v>
      </c>
      <c r="K74" s="235">
        <v>-0.4</v>
      </c>
      <c r="L74" s="72">
        <v>3.3898305084745763E-2</v>
      </c>
      <c r="N74" s="235">
        <v>0</v>
      </c>
      <c r="O74" s="72">
        <v>0.04</v>
      </c>
      <c r="Q74" s="235">
        <v>-0.4</v>
      </c>
      <c r="R74" s="232">
        <v>45.197740112994353</v>
      </c>
      <c r="T74" s="235">
        <v>0</v>
      </c>
      <c r="U74" s="232">
        <v>40</v>
      </c>
    </row>
    <row r="75" spans="2:21" x14ac:dyDescent="0.25">
      <c r="B75" s="235">
        <v>0</v>
      </c>
      <c r="C75" s="72">
        <v>5.0761421319796954E-2</v>
      </c>
      <c r="E75" s="235">
        <v>0</v>
      </c>
      <c r="F75" s="72">
        <v>6.0913705583756347E-2</v>
      </c>
      <c r="H75" s="235">
        <v>0</v>
      </c>
      <c r="I75" s="72">
        <v>0.4375</v>
      </c>
      <c r="K75" s="235">
        <v>-0.4</v>
      </c>
      <c r="L75" s="72">
        <v>8.7378640776699032E-2</v>
      </c>
      <c r="N75" s="235">
        <v>0</v>
      </c>
      <c r="O75" s="72">
        <v>6.0913705583756347E-2</v>
      </c>
      <c r="Q75" s="235">
        <v>-0.4</v>
      </c>
      <c r="R75" s="232">
        <v>48.543689320388353</v>
      </c>
      <c r="T75" s="235">
        <v>0</v>
      </c>
      <c r="U75" s="232">
        <v>35.532994923857871</v>
      </c>
    </row>
    <row r="76" spans="2:21" x14ac:dyDescent="0.25">
      <c r="B76" s="235">
        <v>0</v>
      </c>
      <c r="C76" s="72">
        <v>5.4455445544554455E-2</v>
      </c>
      <c r="E76" s="235">
        <v>0</v>
      </c>
      <c r="F76" s="72">
        <v>4.4554455445544552E-2</v>
      </c>
      <c r="H76" s="235">
        <v>0</v>
      </c>
      <c r="I76" s="72">
        <v>0.5714285714285714</v>
      </c>
      <c r="K76" s="235">
        <v>-0.4</v>
      </c>
      <c r="L76" s="72">
        <v>4.8543689320388349E-2</v>
      </c>
      <c r="N76" s="235">
        <v>0</v>
      </c>
      <c r="O76" s="72">
        <v>4.4554455445544552E-2</v>
      </c>
      <c r="Q76" s="235">
        <v>-0.4</v>
      </c>
      <c r="R76" s="232">
        <v>29.126213592233011</v>
      </c>
      <c r="T76" s="235">
        <v>0</v>
      </c>
      <c r="U76" s="232">
        <v>19.801980198019802</v>
      </c>
    </row>
    <row r="77" spans="2:21" x14ac:dyDescent="0.25">
      <c r="B77" s="235">
        <v>0</v>
      </c>
      <c r="C77" s="72">
        <v>4.9723756906077346E-2</v>
      </c>
      <c r="E77" s="235">
        <v>0</v>
      </c>
      <c r="F77" s="72">
        <v>1.6574585635359115E-2</v>
      </c>
      <c r="H77" s="235">
        <v>0</v>
      </c>
      <c r="I77" s="72">
        <v>0.625</v>
      </c>
      <c r="K77" s="235">
        <v>-0.4</v>
      </c>
      <c r="L77" s="72">
        <v>1.1428571428571429E-2</v>
      </c>
      <c r="N77" s="235">
        <v>0</v>
      </c>
      <c r="O77" s="72">
        <v>1.6574585635359115E-2</v>
      </c>
      <c r="Q77" s="235">
        <v>-0.4</v>
      </c>
      <c r="R77" s="232">
        <v>34.285714285714285</v>
      </c>
      <c r="T77" s="235">
        <v>0</v>
      </c>
      <c r="U77" s="232">
        <v>27.624309392265193</v>
      </c>
    </row>
    <row r="78" spans="2:21" x14ac:dyDescent="0.25">
      <c r="B78" s="235">
        <v>0</v>
      </c>
      <c r="C78" s="72">
        <v>4.4692737430167599E-2</v>
      </c>
      <c r="E78" s="235">
        <v>0</v>
      </c>
      <c r="F78" s="72">
        <v>2.7932960893854747E-2</v>
      </c>
      <c r="H78" s="235">
        <v>0</v>
      </c>
      <c r="I78" s="72">
        <v>0.375</v>
      </c>
      <c r="K78" s="235">
        <v>-0.4</v>
      </c>
      <c r="L78" s="72">
        <v>2.8089887640449437E-2</v>
      </c>
      <c r="N78" s="235">
        <v>0</v>
      </c>
      <c r="O78" s="72">
        <v>2.7932960893854747E-2</v>
      </c>
      <c r="Q78" s="235">
        <v>-0.4</v>
      </c>
      <c r="R78" s="232">
        <v>33.707865168539328</v>
      </c>
      <c r="T78" s="235">
        <v>0</v>
      </c>
      <c r="U78" s="232">
        <v>16.759776536312849</v>
      </c>
    </row>
    <row r="79" spans="2:21" x14ac:dyDescent="0.25">
      <c r="B79" s="235">
        <v>0</v>
      </c>
      <c r="C79" s="72">
        <v>5.9523809523809521E-2</v>
      </c>
      <c r="E79" s="235">
        <v>0</v>
      </c>
      <c r="F79" s="72">
        <v>2.976190476190476E-2</v>
      </c>
      <c r="H79" s="235">
        <v>0</v>
      </c>
      <c r="I79" s="72">
        <v>0.5714285714285714</v>
      </c>
      <c r="K79" s="235">
        <v>-0.4</v>
      </c>
      <c r="L79" s="72">
        <v>3.7974683544303799E-2</v>
      </c>
      <c r="N79" s="235">
        <v>0</v>
      </c>
      <c r="O79" s="72">
        <v>2.976190476190476E-2</v>
      </c>
      <c r="Q79" s="235">
        <v>-0.4</v>
      </c>
      <c r="R79" s="232">
        <v>25.316455696202532</v>
      </c>
      <c r="T79" s="235">
        <v>0</v>
      </c>
      <c r="U79" s="232">
        <v>23.80952380952381</v>
      </c>
    </row>
    <row r="80" spans="2:21" x14ac:dyDescent="0.25">
      <c r="B80" s="235">
        <v>0</v>
      </c>
      <c r="C80" s="72">
        <v>5.8823529411764705E-2</v>
      </c>
      <c r="E80" s="235">
        <v>0</v>
      </c>
      <c r="F80" s="72">
        <v>3.9215686274509803E-2</v>
      </c>
      <c r="H80" s="235">
        <v>0</v>
      </c>
      <c r="I80" s="72">
        <v>0.84615384615384615</v>
      </c>
      <c r="K80" s="235">
        <v>-0.4</v>
      </c>
      <c r="L80" s="72">
        <v>7.1065989847715741E-2</v>
      </c>
      <c r="N80" s="235">
        <v>0</v>
      </c>
      <c r="O80" s="72">
        <v>3.9215686274509803E-2</v>
      </c>
      <c r="Q80" s="235">
        <v>-0.4</v>
      </c>
      <c r="R80" s="232">
        <v>76.142131979695435</v>
      </c>
      <c r="T80" s="235">
        <v>0</v>
      </c>
      <c r="U80" s="232">
        <v>53.921568627450981</v>
      </c>
    </row>
    <row r="81" spans="2:21" x14ac:dyDescent="0.25">
      <c r="B81" s="235">
        <v>0</v>
      </c>
      <c r="C81" s="72">
        <v>6.4039408866995079E-2</v>
      </c>
      <c r="E81" s="235">
        <v>0</v>
      </c>
      <c r="F81" s="72">
        <v>2.4630541871921183E-2</v>
      </c>
      <c r="H81" s="235">
        <v>0</v>
      </c>
      <c r="I81" s="72">
        <v>0.66666666666666663</v>
      </c>
      <c r="K81" s="235">
        <v>-0.4</v>
      </c>
      <c r="L81" s="72">
        <v>4.0201005025125629E-2</v>
      </c>
      <c r="N81" s="235">
        <v>0</v>
      </c>
      <c r="O81" s="72">
        <v>2.4630541871921183E-2</v>
      </c>
      <c r="Q81" s="235">
        <v>-0.4</v>
      </c>
      <c r="R81" s="232">
        <v>50.251256281407038</v>
      </c>
      <c r="T81" s="235">
        <v>0</v>
      </c>
      <c r="U81" s="232">
        <v>29.55665024630542</v>
      </c>
    </row>
    <row r="82" spans="2:21" x14ac:dyDescent="0.25">
      <c r="B82" s="235">
        <v>0</v>
      </c>
      <c r="C82" s="72">
        <v>7.8817733990147784E-2</v>
      </c>
      <c r="E82" s="235">
        <v>0</v>
      </c>
      <c r="F82" s="72">
        <v>4.4334975369458129E-2</v>
      </c>
      <c r="H82" s="235">
        <v>0</v>
      </c>
      <c r="I82" s="72">
        <v>0.5</v>
      </c>
      <c r="K82" s="235">
        <v>-0.4</v>
      </c>
      <c r="L82" s="72">
        <v>4.3902439024390241E-2</v>
      </c>
      <c r="N82" s="235">
        <v>0</v>
      </c>
      <c r="O82" s="72">
        <v>4.4334975369458129E-2</v>
      </c>
      <c r="Q82" s="235">
        <v>-0.4</v>
      </c>
      <c r="R82" s="232">
        <v>39.024390243902438</v>
      </c>
      <c r="T82" s="235">
        <v>0</v>
      </c>
      <c r="U82" s="232">
        <v>24.630541871921181</v>
      </c>
    </row>
    <row r="83" spans="2:21" x14ac:dyDescent="0.25">
      <c r="B83" s="235">
        <v>0</v>
      </c>
      <c r="C83" s="72">
        <v>6.8783068783068779E-2</v>
      </c>
      <c r="E83" s="235">
        <v>0</v>
      </c>
      <c r="F83" s="72">
        <v>2.1164021164021163E-2</v>
      </c>
      <c r="H83" s="235">
        <v>0</v>
      </c>
      <c r="I83" s="72">
        <v>0.375</v>
      </c>
      <c r="K83" s="235">
        <v>-0.4</v>
      </c>
      <c r="L83" s="72">
        <v>4.2328042328042326E-2</v>
      </c>
      <c r="N83" s="235">
        <v>0</v>
      </c>
      <c r="O83" s="72">
        <v>2.1164021164021163E-2</v>
      </c>
      <c r="Q83" s="235">
        <v>-0.4</v>
      </c>
      <c r="R83" s="232">
        <v>26.455026455026456</v>
      </c>
      <c r="T83" s="235">
        <v>0</v>
      </c>
      <c r="U83" s="232">
        <v>15.873015873015873</v>
      </c>
    </row>
    <row r="84" spans="2:21" x14ac:dyDescent="0.25">
      <c r="B84" s="235">
        <v>0</v>
      </c>
      <c r="C84" s="72">
        <v>7.3619631901840496E-2</v>
      </c>
      <c r="E84" s="235">
        <v>0</v>
      </c>
      <c r="F84" s="72">
        <v>5.5214723926380369E-2</v>
      </c>
      <c r="H84" s="235">
        <v>0</v>
      </c>
      <c r="I84" s="72">
        <v>0.625</v>
      </c>
      <c r="K84" s="235">
        <v>-0.4</v>
      </c>
      <c r="L84" s="72">
        <v>5.7324840764331211E-2</v>
      </c>
      <c r="N84" s="235">
        <v>0</v>
      </c>
      <c r="O84" s="72">
        <v>5.5214723926380369E-2</v>
      </c>
      <c r="Q84" s="235">
        <v>-0.4</v>
      </c>
      <c r="R84" s="232">
        <v>44.585987261146499</v>
      </c>
      <c r="T84" s="235">
        <v>0</v>
      </c>
      <c r="U84" s="232">
        <v>30.674846625766872</v>
      </c>
    </row>
    <row r="85" spans="2:21" x14ac:dyDescent="0.25">
      <c r="B85" s="235">
        <v>0</v>
      </c>
      <c r="C85" s="72">
        <v>7.9365079365079361E-2</v>
      </c>
      <c r="E85" s="235">
        <v>0</v>
      </c>
      <c r="F85" s="72">
        <v>4.2328042328042326E-2</v>
      </c>
      <c r="H85" s="235">
        <v>0</v>
      </c>
      <c r="I85" s="72">
        <v>0.75</v>
      </c>
      <c r="K85" s="235">
        <v>-0.4</v>
      </c>
      <c r="L85" s="72">
        <v>5.8201058201058198E-2</v>
      </c>
      <c r="N85" s="235">
        <v>0</v>
      </c>
      <c r="O85" s="72">
        <v>4.2328042328042326E-2</v>
      </c>
      <c r="Q85" s="235">
        <v>-0.4</v>
      </c>
      <c r="R85" s="232">
        <v>58.201058201058203</v>
      </c>
      <c r="T85" s="235">
        <v>0</v>
      </c>
      <c r="U85" s="232">
        <v>31.746031746031747</v>
      </c>
    </row>
    <row r="86" spans="2:21" x14ac:dyDescent="0.25">
      <c r="B86" s="235">
        <v>0</v>
      </c>
      <c r="C86" s="72">
        <v>8.5106382978723402E-2</v>
      </c>
      <c r="E86" s="235">
        <v>0</v>
      </c>
      <c r="F86" s="72">
        <v>2.6595744680851064E-2</v>
      </c>
      <c r="H86" s="235">
        <v>0</v>
      </c>
      <c r="I86" s="72">
        <v>0.6875</v>
      </c>
      <c r="K86" s="235">
        <v>-0.4</v>
      </c>
      <c r="L86" s="72">
        <v>3.2258064516129031E-2</v>
      </c>
      <c r="N86" s="235">
        <v>0</v>
      </c>
      <c r="O86" s="72">
        <v>2.6595744680851064E-2</v>
      </c>
      <c r="Q86" s="235">
        <v>-0.4</v>
      </c>
      <c r="R86" s="232">
        <v>69.892473118279568</v>
      </c>
      <c r="T86" s="235">
        <v>0</v>
      </c>
      <c r="U86" s="232">
        <v>58.51063829787234</v>
      </c>
    </row>
    <row r="87" spans="2:21" x14ac:dyDescent="0.25">
      <c r="B87" s="235">
        <v>0</v>
      </c>
      <c r="C87" s="72">
        <v>5.7894736842105263E-2</v>
      </c>
      <c r="E87" s="235">
        <v>0</v>
      </c>
      <c r="F87" s="72">
        <v>3.6842105263157891E-2</v>
      </c>
      <c r="H87" s="235">
        <v>0</v>
      </c>
      <c r="I87" s="72">
        <v>0.41666666666666669</v>
      </c>
      <c r="K87" s="235">
        <v>-0.4</v>
      </c>
      <c r="L87" s="72">
        <v>8.2901554404145081E-2</v>
      </c>
      <c r="N87" s="235">
        <v>0</v>
      </c>
      <c r="O87" s="72">
        <v>3.6842105263157891E-2</v>
      </c>
      <c r="Q87" s="235">
        <v>-0.4</v>
      </c>
      <c r="R87" s="232">
        <v>31.088082901554404</v>
      </c>
      <c r="T87" s="235">
        <v>0</v>
      </c>
      <c r="U87" s="232">
        <v>26.315789473684209</v>
      </c>
    </row>
    <row r="88" spans="2:21" x14ac:dyDescent="0.25">
      <c r="B88" s="235">
        <v>0</v>
      </c>
      <c r="C88" s="72">
        <v>7.3684210526315783E-2</v>
      </c>
      <c r="E88" s="235">
        <v>0</v>
      </c>
      <c r="F88" s="72">
        <v>4.736842105263158E-2</v>
      </c>
      <c r="H88" s="235">
        <v>0</v>
      </c>
      <c r="I88" s="72">
        <v>0.77777777777777779</v>
      </c>
      <c r="K88" s="235">
        <v>-0.4</v>
      </c>
      <c r="L88" s="72">
        <v>4.8913043478260872E-2</v>
      </c>
      <c r="N88" s="235">
        <v>0</v>
      </c>
      <c r="O88" s="72">
        <v>4.736842105263158E-2</v>
      </c>
      <c r="Q88" s="235">
        <v>-0.4</v>
      </c>
      <c r="R88" s="232">
        <v>43.478260869565219</v>
      </c>
      <c r="T88" s="235">
        <v>0</v>
      </c>
      <c r="U88" s="232">
        <v>36.842105263157897</v>
      </c>
    </row>
    <row r="89" spans="2:21" x14ac:dyDescent="0.25">
      <c r="B89" s="235">
        <v>0</v>
      </c>
      <c r="C89" s="72">
        <v>8.0924855491329481E-2</v>
      </c>
      <c r="E89" s="235">
        <v>0</v>
      </c>
      <c r="F89" s="72">
        <v>1.1560693641618497E-2</v>
      </c>
      <c r="H89" s="235">
        <v>0</v>
      </c>
      <c r="I89" s="72">
        <v>1</v>
      </c>
      <c r="K89" s="235">
        <v>-0.4</v>
      </c>
      <c r="L89" s="72">
        <v>4.3209876543209874E-2</v>
      </c>
      <c r="N89" s="235">
        <v>0</v>
      </c>
      <c r="O89" s="72">
        <v>1.1560693641618497E-2</v>
      </c>
      <c r="Q89" s="235">
        <v>-0.4</v>
      </c>
      <c r="R89" s="232">
        <v>49.382716049382715</v>
      </c>
      <c r="T89" s="235">
        <v>0</v>
      </c>
      <c r="U89" s="232">
        <v>40.462427745664741</v>
      </c>
    </row>
    <row r="90" spans="2:21" x14ac:dyDescent="0.25">
      <c r="B90" s="235">
        <v>0</v>
      </c>
      <c r="C90" s="72">
        <v>5.7142857142857141E-2</v>
      </c>
      <c r="E90" s="235">
        <v>0</v>
      </c>
      <c r="F90" s="72">
        <v>2.8571428571428571E-2</v>
      </c>
      <c r="H90" s="235">
        <v>0</v>
      </c>
      <c r="I90" s="72">
        <v>0.75</v>
      </c>
      <c r="K90" s="235">
        <v>-0.4</v>
      </c>
      <c r="L90" s="72">
        <v>0.04</v>
      </c>
      <c r="N90" s="235">
        <v>0</v>
      </c>
      <c r="O90" s="72">
        <v>2.8571428571428571E-2</v>
      </c>
      <c r="Q90" s="235">
        <v>-0.4</v>
      </c>
      <c r="R90" s="232">
        <v>5.7142857142857144</v>
      </c>
      <c r="T90" s="235">
        <v>0</v>
      </c>
      <c r="U90" s="232">
        <v>17.142857142857142</v>
      </c>
    </row>
    <row r="91" spans="2:21" x14ac:dyDescent="0.25">
      <c r="B91" s="235">
        <v>0</v>
      </c>
      <c r="C91" s="72">
        <v>8.6021505376344093E-2</v>
      </c>
      <c r="E91" s="235">
        <v>0</v>
      </c>
      <c r="F91" s="72">
        <v>1.0752688172043012E-2</v>
      </c>
      <c r="H91" s="235">
        <v>0</v>
      </c>
      <c r="I91" s="72">
        <v>0.7142857142857143</v>
      </c>
      <c r="K91" s="235">
        <v>-0.4</v>
      </c>
      <c r="L91" s="72">
        <v>2.247191011235955E-2</v>
      </c>
      <c r="N91" s="235">
        <v>0</v>
      </c>
      <c r="O91" s="72">
        <v>1.0752688172043012E-2</v>
      </c>
      <c r="Q91" s="235">
        <v>-0.4</v>
      </c>
      <c r="R91" s="232">
        <v>28.089887640449437</v>
      </c>
      <c r="T91" s="235">
        <v>0</v>
      </c>
      <c r="U91" s="232">
        <v>26.881720430107528</v>
      </c>
    </row>
    <row r="92" spans="2:21" x14ac:dyDescent="0.25">
      <c r="B92" s="235">
        <v>0</v>
      </c>
      <c r="C92" s="72">
        <v>6.1904761904761907E-2</v>
      </c>
      <c r="E92" s="235">
        <v>0</v>
      </c>
      <c r="F92" s="72">
        <v>3.3333333333333333E-2</v>
      </c>
      <c r="H92" s="235">
        <v>0</v>
      </c>
      <c r="I92" s="72">
        <v>0.8571428571428571</v>
      </c>
      <c r="K92" s="235">
        <v>-0.4</v>
      </c>
      <c r="L92" s="72">
        <v>5.8252427184466021E-2</v>
      </c>
      <c r="N92" s="235">
        <v>0</v>
      </c>
      <c r="O92" s="72">
        <v>3.3333333333333333E-2</v>
      </c>
      <c r="Q92" s="235">
        <v>-0.4</v>
      </c>
      <c r="R92" s="232">
        <v>67.961165048543691</v>
      </c>
      <c r="T92" s="235">
        <v>0</v>
      </c>
      <c r="U92" s="232">
        <v>57.142857142857146</v>
      </c>
    </row>
    <row r="93" spans="2:21" x14ac:dyDescent="0.25">
      <c r="B93" s="235">
        <v>0</v>
      </c>
      <c r="C93" s="72">
        <v>6.1111111111111109E-2</v>
      </c>
      <c r="E93" s="235">
        <v>0</v>
      </c>
      <c r="F93" s="72">
        <v>5.5555555555555552E-2</v>
      </c>
      <c r="H93" s="235">
        <v>0</v>
      </c>
      <c r="I93" s="72">
        <v>0.44444444444444442</v>
      </c>
      <c r="K93" s="235">
        <v>-0.4</v>
      </c>
      <c r="L93" s="72">
        <v>8.8757396449704137E-2</v>
      </c>
      <c r="N93" s="235">
        <v>0</v>
      </c>
      <c r="O93" s="72">
        <v>5.5555555555555552E-2</v>
      </c>
      <c r="Q93" s="235">
        <v>-0.4</v>
      </c>
      <c r="R93" s="232">
        <v>59.171597633136095</v>
      </c>
      <c r="T93" s="235">
        <v>0</v>
      </c>
      <c r="U93" s="232">
        <v>22.222222222222221</v>
      </c>
    </row>
    <row r="94" spans="2:21" x14ac:dyDescent="0.25">
      <c r="B94" s="235">
        <v>0</v>
      </c>
      <c r="C94" s="72">
        <v>6.8062827225130892E-2</v>
      </c>
      <c r="E94" s="235">
        <v>0</v>
      </c>
      <c r="F94" s="72">
        <v>4.1884816753926704E-2</v>
      </c>
      <c r="H94" s="235">
        <v>0</v>
      </c>
      <c r="I94" s="72">
        <v>0.45454545454545453</v>
      </c>
      <c r="K94" s="235">
        <v>-0.4</v>
      </c>
      <c r="L94" s="72">
        <v>4.8913043478260872E-2</v>
      </c>
      <c r="N94" s="235">
        <v>0</v>
      </c>
      <c r="O94" s="72">
        <v>4.1884816753926704E-2</v>
      </c>
      <c r="Q94" s="235">
        <v>-0.4</v>
      </c>
      <c r="R94" s="232">
        <v>21.739130434782609</v>
      </c>
      <c r="T94" s="235">
        <v>0</v>
      </c>
      <c r="U94" s="232">
        <v>26.178010471204189</v>
      </c>
    </row>
    <row r="95" spans="2:21" x14ac:dyDescent="0.25">
      <c r="B95" s="235">
        <v>0</v>
      </c>
      <c r="C95" s="72">
        <v>5.6818181818181816E-2</v>
      </c>
      <c r="E95" s="235">
        <v>0</v>
      </c>
      <c r="F95" s="72">
        <v>3.9772727272727272E-2</v>
      </c>
      <c r="H95" s="235">
        <v>0</v>
      </c>
      <c r="I95" s="72">
        <v>0.625</v>
      </c>
      <c r="K95" s="235">
        <v>-0.4</v>
      </c>
      <c r="L95" s="72">
        <v>5.1724137931034482E-2</v>
      </c>
      <c r="N95" s="235">
        <v>0</v>
      </c>
      <c r="O95" s="72">
        <v>3.9772727272727272E-2</v>
      </c>
      <c r="Q95" s="235">
        <v>-0.4</v>
      </c>
      <c r="R95" s="232">
        <v>28.735632183908045</v>
      </c>
      <c r="T95" s="235">
        <v>0</v>
      </c>
      <c r="U95" s="232">
        <v>28.40909090909091</v>
      </c>
    </row>
    <row r="96" spans="2:21" x14ac:dyDescent="0.25">
      <c r="B96" s="235">
        <v>0</v>
      </c>
      <c r="C96" s="72">
        <v>6.2146892655367235E-2</v>
      </c>
      <c r="E96" s="235">
        <v>0</v>
      </c>
      <c r="F96" s="72">
        <v>2.2598870056497175E-2</v>
      </c>
      <c r="H96" s="235">
        <v>0</v>
      </c>
      <c r="I96" s="72">
        <v>0.875</v>
      </c>
      <c r="K96" s="235">
        <v>-0.4</v>
      </c>
      <c r="L96" s="72">
        <v>7.0588235294117646E-2</v>
      </c>
      <c r="N96" s="235">
        <v>0</v>
      </c>
      <c r="O96" s="72">
        <v>2.2598870056497175E-2</v>
      </c>
      <c r="Q96" s="235">
        <v>-0.4</v>
      </c>
      <c r="R96" s="232">
        <v>64.705882352941174</v>
      </c>
      <c r="T96" s="235">
        <v>0</v>
      </c>
      <c r="U96" s="232">
        <v>39.548022598870055</v>
      </c>
    </row>
    <row r="97" spans="2:21" x14ac:dyDescent="0.25">
      <c r="B97" s="235">
        <v>0</v>
      </c>
      <c r="C97" s="72">
        <v>3.3018867924528301E-2</v>
      </c>
      <c r="E97" s="235">
        <v>0</v>
      </c>
      <c r="F97" s="72">
        <v>2.8301886792452831E-2</v>
      </c>
      <c r="H97" s="235">
        <v>0</v>
      </c>
      <c r="I97" s="72">
        <v>0.7142857142857143</v>
      </c>
      <c r="K97" s="235">
        <v>-0.4</v>
      </c>
      <c r="L97" s="72">
        <v>4.4117647058823532E-2</v>
      </c>
      <c r="N97" s="235">
        <v>0</v>
      </c>
      <c r="O97" s="72">
        <v>2.8301886792452831E-2</v>
      </c>
      <c r="Q97" s="235">
        <v>-0.4</v>
      </c>
      <c r="R97" s="232">
        <v>53.921568627450981</v>
      </c>
      <c r="T97" s="235">
        <v>0</v>
      </c>
      <c r="U97" s="232">
        <v>47.169811320754718</v>
      </c>
    </row>
    <row r="98" spans="2:21" x14ac:dyDescent="0.25">
      <c r="B98" s="235">
        <v>0</v>
      </c>
      <c r="C98" s="72">
        <v>6.5326633165829151E-2</v>
      </c>
      <c r="E98" s="235">
        <v>0</v>
      </c>
      <c r="F98" s="72">
        <v>3.5175879396984924E-2</v>
      </c>
      <c r="H98" s="235">
        <v>0</v>
      </c>
      <c r="I98" s="72">
        <v>0.8</v>
      </c>
      <c r="K98" s="235">
        <v>-0.4</v>
      </c>
      <c r="L98" s="72">
        <v>5.8201058201058198E-2</v>
      </c>
      <c r="N98" s="235">
        <v>0</v>
      </c>
      <c r="O98" s="72">
        <v>3.5175879396984924E-2</v>
      </c>
      <c r="Q98" s="235">
        <v>-0.4</v>
      </c>
      <c r="R98" s="232">
        <v>47.61904761904762</v>
      </c>
      <c r="T98" s="235">
        <v>0</v>
      </c>
      <c r="U98" s="232">
        <v>40.201005025125632</v>
      </c>
    </row>
    <row r="99" spans="2:21" x14ac:dyDescent="0.25">
      <c r="B99" s="235">
        <v>0</v>
      </c>
      <c r="C99" s="72">
        <v>4.5918367346938778E-2</v>
      </c>
      <c r="E99" s="235">
        <v>0</v>
      </c>
      <c r="F99" s="72">
        <v>5.1020408163265307E-2</v>
      </c>
      <c r="H99" s="235">
        <v>0</v>
      </c>
      <c r="I99" s="72">
        <v>0.66666666666666663</v>
      </c>
      <c r="K99" s="235">
        <v>-0.4</v>
      </c>
      <c r="L99" s="72">
        <v>5.6410256410256411E-2</v>
      </c>
      <c r="N99" s="235">
        <v>0</v>
      </c>
      <c r="O99" s="72">
        <v>5.1020408163265307E-2</v>
      </c>
      <c r="Q99" s="235">
        <v>-0.4</v>
      </c>
      <c r="R99" s="232">
        <v>35.897435897435898</v>
      </c>
      <c r="T99" s="235">
        <v>0</v>
      </c>
      <c r="U99" s="232">
        <v>20.408163265306122</v>
      </c>
    </row>
    <row r="100" spans="2:21" x14ac:dyDescent="0.25">
      <c r="B100" s="235">
        <v>0</v>
      </c>
      <c r="C100" s="72">
        <v>7.1428571428571425E-2</v>
      </c>
      <c r="E100" s="235">
        <v>0</v>
      </c>
      <c r="F100" s="72">
        <v>2.976190476190476E-2</v>
      </c>
      <c r="H100" s="235">
        <v>0</v>
      </c>
      <c r="I100" s="72">
        <v>0.4</v>
      </c>
      <c r="K100" s="235">
        <v>-0.4</v>
      </c>
      <c r="L100" s="72">
        <v>1.7751479289940829E-2</v>
      </c>
      <c r="N100" s="235">
        <v>0</v>
      </c>
      <c r="O100" s="72">
        <v>2.976190476190476E-2</v>
      </c>
      <c r="Q100" s="235">
        <v>-0.4</v>
      </c>
      <c r="R100" s="232">
        <v>23.668639053254438</v>
      </c>
      <c r="T100" s="235">
        <v>0</v>
      </c>
      <c r="U100" s="232">
        <v>11.904761904761905</v>
      </c>
    </row>
    <row r="101" spans="2:21" x14ac:dyDescent="0.25">
      <c r="B101" s="235">
        <v>0</v>
      </c>
      <c r="C101" s="72">
        <v>9.1954022988505746E-2</v>
      </c>
      <c r="E101" s="235">
        <v>0</v>
      </c>
      <c r="F101" s="72">
        <v>2.8735632183908046E-2</v>
      </c>
      <c r="H101" s="235">
        <v>0</v>
      </c>
      <c r="I101" s="72">
        <v>0.75</v>
      </c>
      <c r="K101" s="235">
        <v>-0.4</v>
      </c>
      <c r="L101" s="72">
        <v>1.1235955056179775E-2</v>
      </c>
      <c r="N101" s="235">
        <v>0</v>
      </c>
      <c r="O101" s="72">
        <v>2.8735632183908046E-2</v>
      </c>
      <c r="Q101" s="235">
        <v>-0.4</v>
      </c>
      <c r="R101" s="232">
        <v>28.089887640449437</v>
      </c>
      <c r="T101" s="235">
        <v>0</v>
      </c>
      <c r="U101" s="232">
        <v>34.482758620689658</v>
      </c>
    </row>
    <row r="102" spans="2:21" x14ac:dyDescent="0.25">
      <c r="B102" s="235">
        <v>0</v>
      </c>
      <c r="C102" s="72">
        <v>5.9139784946236562E-2</v>
      </c>
      <c r="E102" s="235">
        <v>0</v>
      </c>
      <c r="F102" s="72">
        <v>3.2258064516129031E-2</v>
      </c>
      <c r="H102" s="235">
        <v>0</v>
      </c>
      <c r="I102" s="72">
        <v>0.77777777777777779</v>
      </c>
      <c r="K102" s="235">
        <v>-0.4</v>
      </c>
      <c r="L102" s="72">
        <v>5.1428571428571428E-2</v>
      </c>
      <c r="N102" s="235">
        <v>0</v>
      </c>
      <c r="O102" s="72">
        <v>3.2258064516129031E-2</v>
      </c>
      <c r="Q102" s="235">
        <v>-0.4</v>
      </c>
      <c r="R102" s="232">
        <v>74.285714285714292</v>
      </c>
      <c r="T102" s="235">
        <v>0</v>
      </c>
      <c r="U102" s="232">
        <v>37.634408602150536</v>
      </c>
    </row>
    <row r="103" spans="2:21" x14ac:dyDescent="0.25">
      <c r="B103" s="235">
        <v>0</v>
      </c>
      <c r="C103" s="72">
        <v>8.8235294117647065E-2</v>
      </c>
      <c r="E103" s="235">
        <v>0</v>
      </c>
      <c r="F103" s="72">
        <v>6.3725490196078427E-2</v>
      </c>
      <c r="H103" s="235">
        <v>0</v>
      </c>
      <c r="I103" s="72">
        <v>0.46666666666666667</v>
      </c>
      <c r="K103" s="235">
        <v>-0.4</v>
      </c>
      <c r="L103" s="72">
        <v>8.8082901554404139E-2</v>
      </c>
      <c r="N103" s="235">
        <v>0</v>
      </c>
      <c r="O103" s="72">
        <v>6.3725490196078427E-2</v>
      </c>
      <c r="Q103" s="235">
        <v>-0.4</v>
      </c>
      <c r="R103" s="232">
        <v>88.082901554404145</v>
      </c>
      <c r="T103" s="235">
        <v>0</v>
      </c>
      <c r="U103" s="232">
        <v>34.313725490196077</v>
      </c>
    </row>
    <row r="104" spans="2:21" x14ac:dyDescent="0.25">
      <c r="B104" s="235">
        <v>0.25</v>
      </c>
      <c r="C104" s="72">
        <v>4.1884816753926704E-2</v>
      </c>
      <c r="E104" s="235">
        <v>0.25</v>
      </c>
      <c r="F104" s="72">
        <v>1.5706806282722512E-2</v>
      </c>
      <c r="H104" s="235">
        <v>0.25</v>
      </c>
      <c r="I104" s="72">
        <v>0.55555555555555558</v>
      </c>
      <c r="K104" s="235">
        <v>-0.3</v>
      </c>
      <c r="L104" s="72">
        <v>2.6041666666666668E-2</v>
      </c>
      <c r="N104" s="235">
        <v>0.1</v>
      </c>
      <c r="O104" s="72">
        <v>2.0942408376963352E-2</v>
      </c>
      <c r="Q104" s="235">
        <v>-0.3</v>
      </c>
      <c r="R104" s="232">
        <v>26.041666666666668</v>
      </c>
      <c r="T104" s="235">
        <v>0.1</v>
      </c>
      <c r="U104" s="232">
        <v>31.413612565445025</v>
      </c>
    </row>
    <row r="105" spans="2:21" x14ac:dyDescent="0.25">
      <c r="B105" s="235">
        <v>0.25</v>
      </c>
      <c r="C105" s="72">
        <v>5.7591623036649213E-2</v>
      </c>
      <c r="E105" s="235">
        <v>0.25</v>
      </c>
      <c r="F105" s="72">
        <v>3.6649214659685861E-2</v>
      </c>
      <c r="H105" s="235">
        <v>0.25</v>
      </c>
      <c r="I105" s="72">
        <v>0.7</v>
      </c>
      <c r="K105" s="235">
        <v>-0.3</v>
      </c>
      <c r="L105" s="72">
        <v>7.3684210526315783E-2</v>
      </c>
      <c r="N105" s="235">
        <v>0.1</v>
      </c>
      <c r="O105" s="72">
        <v>3.6649214659685861E-2</v>
      </c>
      <c r="Q105" s="235">
        <v>-0.3</v>
      </c>
      <c r="R105" s="232">
        <v>36.842105263157897</v>
      </c>
      <c r="T105" s="235">
        <v>0.1</v>
      </c>
      <c r="U105" s="232">
        <v>31.413612565445025</v>
      </c>
    </row>
    <row r="106" spans="2:21" x14ac:dyDescent="0.25">
      <c r="B106" s="235">
        <v>0.25</v>
      </c>
      <c r="C106" s="72">
        <v>4.5685279187817257E-2</v>
      </c>
      <c r="E106" s="235">
        <v>0.25</v>
      </c>
      <c r="F106" s="72">
        <v>4.5685279187817257E-2</v>
      </c>
      <c r="H106" s="235">
        <v>0.25</v>
      </c>
      <c r="I106" s="72">
        <v>0.7142857142857143</v>
      </c>
      <c r="K106" s="235">
        <v>-0.3</v>
      </c>
      <c r="L106" s="72">
        <v>4.2553191489361701E-2</v>
      </c>
      <c r="N106" s="235">
        <v>0.1</v>
      </c>
      <c r="O106" s="72">
        <v>5.181347150259067E-2</v>
      </c>
      <c r="Q106" s="235">
        <v>-0.3</v>
      </c>
      <c r="R106" s="232">
        <v>31.914893617021278</v>
      </c>
      <c r="T106" s="235">
        <v>0.1</v>
      </c>
      <c r="U106" s="232">
        <v>31.088082901554404</v>
      </c>
    </row>
    <row r="107" spans="2:21" x14ac:dyDescent="0.25">
      <c r="B107" s="235">
        <v>0.25</v>
      </c>
      <c r="C107" s="72">
        <v>6.0109289617486336E-2</v>
      </c>
      <c r="E107" s="235">
        <v>0.25</v>
      </c>
      <c r="F107" s="72">
        <v>6.0109289617486336E-2</v>
      </c>
      <c r="H107" s="235">
        <v>0.25</v>
      </c>
      <c r="I107" s="72">
        <v>0.5</v>
      </c>
      <c r="K107" s="235">
        <v>-0.3</v>
      </c>
      <c r="L107" s="72">
        <v>7.0652173913043473E-2</v>
      </c>
      <c r="N107" s="235">
        <v>0.1</v>
      </c>
      <c r="O107" s="72">
        <v>6.3829787234042548E-2</v>
      </c>
      <c r="Q107" s="235">
        <v>-0.3</v>
      </c>
      <c r="R107" s="232">
        <v>48.913043478260867</v>
      </c>
      <c r="T107" s="235">
        <v>0.1</v>
      </c>
      <c r="U107" s="232">
        <v>37.234042553191486</v>
      </c>
    </row>
    <row r="108" spans="2:21" x14ac:dyDescent="0.25">
      <c r="B108" s="235">
        <v>0.25</v>
      </c>
      <c r="C108" s="72">
        <v>4.0816326530612242E-2</v>
      </c>
      <c r="E108" s="235">
        <v>0.25</v>
      </c>
      <c r="F108" s="72">
        <v>4.0816326530612242E-2</v>
      </c>
      <c r="H108" s="235">
        <v>0.25</v>
      </c>
      <c r="I108" s="72">
        <v>0.66666666666666663</v>
      </c>
      <c r="K108" s="235">
        <v>-0.3</v>
      </c>
      <c r="L108" s="72">
        <v>3.6649214659685861E-2</v>
      </c>
      <c r="N108" s="235">
        <v>0.1</v>
      </c>
      <c r="O108" s="72">
        <v>3.5897435897435895E-2</v>
      </c>
      <c r="Q108" s="235">
        <v>-0.3</v>
      </c>
      <c r="R108" s="232">
        <v>36.64921465968586</v>
      </c>
      <c r="T108" s="235">
        <v>0.1</v>
      </c>
      <c r="U108" s="232">
        <v>25.641025641025642</v>
      </c>
    </row>
    <row r="109" spans="2:21" x14ac:dyDescent="0.25">
      <c r="B109" s="235">
        <v>0.25</v>
      </c>
      <c r="C109" s="72">
        <v>6.0773480662983423E-2</v>
      </c>
      <c r="E109" s="235">
        <v>0.25</v>
      </c>
      <c r="F109" s="72">
        <v>2.2099447513812154E-2</v>
      </c>
      <c r="H109" s="235">
        <v>0.25</v>
      </c>
      <c r="I109" s="72">
        <v>0.5</v>
      </c>
      <c r="K109" s="235">
        <v>-0.3</v>
      </c>
      <c r="L109" s="72">
        <v>5.6994818652849742E-2</v>
      </c>
      <c r="N109" s="235">
        <v>0.1</v>
      </c>
      <c r="O109" s="72">
        <v>2.2099447513812154E-2</v>
      </c>
      <c r="Q109" s="235">
        <v>-0.3</v>
      </c>
      <c r="R109" s="232">
        <v>15.544041450777202</v>
      </c>
      <c r="T109" s="235">
        <v>0.1</v>
      </c>
      <c r="U109" s="232">
        <v>16.574585635359117</v>
      </c>
    </row>
    <row r="110" spans="2:21" x14ac:dyDescent="0.25">
      <c r="B110" s="235">
        <v>0.25</v>
      </c>
      <c r="C110" s="72">
        <v>4.0697674418604654E-2</v>
      </c>
      <c r="E110" s="235">
        <v>0.25</v>
      </c>
      <c r="F110" s="72">
        <v>4.6511627906976744E-2</v>
      </c>
      <c r="H110" s="235">
        <v>0.25</v>
      </c>
      <c r="I110" s="72">
        <v>0.7142857142857143</v>
      </c>
      <c r="K110" s="235">
        <v>-0.3</v>
      </c>
      <c r="L110" s="72">
        <v>4.5977011494252873E-2</v>
      </c>
      <c r="N110" s="235">
        <v>0.1</v>
      </c>
      <c r="O110" s="72">
        <v>5.7803468208092484E-2</v>
      </c>
      <c r="Q110" s="235">
        <v>-0.3</v>
      </c>
      <c r="R110" s="232">
        <v>22.988505747126435</v>
      </c>
      <c r="T110" s="235">
        <v>0.1</v>
      </c>
      <c r="U110" s="232">
        <v>28.901734104046241</v>
      </c>
    </row>
    <row r="111" spans="2:21" x14ac:dyDescent="0.25">
      <c r="B111" s="235">
        <v>0.25</v>
      </c>
      <c r="C111" s="72">
        <v>3.1914893617021274E-2</v>
      </c>
      <c r="E111" s="235">
        <v>0.25</v>
      </c>
      <c r="F111" s="72">
        <v>2.1276595744680851E-2</v>
      </c>
      <c r="H111" s="235">
        <v>0.25</v>
      </c>
      <c r="I111" s="72">
        <v>0.5625</v>
      </c>
      <c r="K111" s="235">
        <v>-0.3</v>
      </c>
      <c r="L111" s="72">
        <v>4.3715846994535519E-2</v>
      </c>
      <c r="N111" s="235">
        <v>0.1</v>
      </c>
      <c r="O111" s="72">
        <v>4.2328042328042326E-2</v>
      </c>
      <c r="Q111" s="235">
        <v>-0.3</v>
      </c>
      <c r="R111" s="232">
        <v>54.644808743169399</v>
      </c>
      <c r="T111" s="235">
        <v>0.1</v>
      </c>
      <c r="U111" s="232">
        <v>52.910052910052912</v>
      </c>
    </row>
    <row r="112" spans="2:21" x14ac:dyDescent="0.25">
      <c r="B112" s="235">
        <v>0.25</v>
      </c>
      <c r="C112" s="72">
        <v>5.5248618784530384E-2</v>
      </c>
      <c r="E112" s="235">
        <v>0.25</v>
      </c>
      <c r="F112" s="72">
        <v>2.2099447513812154E-2</v>
      </c>
      <c r="H112" s="235">
        <v>0.25</v>
      </c>
      <c r="I112" s="72">
        <v>0.5</v>
      </c>
      <c r="K112" s="235">
        <v>-0.3</v>
      </c>
      <c r="L112" s="72">
        <v>4.8128342245989303E-2</v>
      </c>
      <c r="N112" s="235">
        <v>0.1</v>
      </c>
      <c r="O112" s="72">
        <v>3.2432432432432434E-2</v>
      </c>
      <c r="Q112" s="235">
        <v>-0.3</v>
      </c>
      <c r="R112" s="232">
        <v>21.390374331550802</v>
      </c>
      <c r="T112" s="235">
        <v>0.1</v>
      </c>
      <c r="U112" s="232">
        <v>27.027027027027028</v>
      </c>
    </row>
    <row r="113" spans="2:21" x14ac:dyDescent="0.25">
      <c r="B113" s="235">
        <v>0.25</v>
      </c>
      <c r="C113" s="72">
        <v>5.7291666666666664E-2</v>
      </c>
      <c r="E113" s="235">
        <v>0.25</v>
      </c>
      <c r="F113" s="72">
        <v>2.0833333333333332E-2</v>
      </c>
      <c r="H113" s="235">
        <v>0.25</v>
      </c>
      <c r="I113" s="72">
        <v>0.54545454545454541</v>
      </c>
      <c r="K113" s="235">
        <v>-0.3</v>
      </c>
      <c r="L113" s="72">
        <v>2.6315789473684209E-2</v>
      </c>
      <c r="N113" s="235">
        <v>0.1</v>
      </c>
      <c r="O113" s="72">
        <v>2.6041666666666668E-2</v>
      </c>
      <c r="Q113" s="235">
        <v>-0.3</v>
      </c>
      <c r="R113" s="232">
        <v>47.368421052631582</v>
      </c>
      <c r="T113" s="235">
        <v>0.1</v>
      </c>
      <c r="U113" s="232">
        <v>36.458333333333336</v>
      </c>
    </row>
    <row r="114" spans="2:21" x14ac:dyDescent="0.25">
      <c r="B114" s="235">
        <v>0.25</v>
      </c>
      <c r="C114" s="72">
        <v>6.1452513966480445E-2</v>
      </c>
      <c r="E114" s="235">
        <v>0.25</v>
      </c>
      <c r="F114" s="72">
        <v>5.027932960893855E-2</v>
      </c>
      <c r="H114" s="235">
        <v>0.25</v>
      </c>
      <c r="I114" s="72">
        <v>0.5</v>
      </c>
      <c r="K114" s="235">
        <v>-0.3</v>
      </c>
      <c r="L114" s="72">
        <v>7.5144508670520235E-2</v>
      </c>
      <c r="N114" s="235">
        <v>0.1</v>
      </c>
      <c r="O114" s="72">
        <v>4.4198895027624308E-2</v>
      </c>
      <c r="Q114" s="235">
        <v>-0.3</v>
      </c>
      <c r="R114" s="232">
        <v>40.462427745664741</v>
      </c>
      <c r="T114" s="235">
        <v>0.1</v>
      </c>
      <c r="U114" s="232">
        <v>27.624309392265193</v>
      </c>
    </row>
    <row r="115" spans="2:21" x14ac:dyDescent="0.25">
      <c r="B115" s="235">
        <v>0.25</v>
      </c>
      <c r="C115" s="72">
        <v>3.4482758620689655E-2</v>
      </c>
      <c r="E115" s="235">
        <v>0.25</v>
      </c>
      <c r="F115" s="72">
        <v>2.9556650246305417E-2</v>
      </c>
      <c r="H115" s="235">
        <v>0.25</v>
      </c>
      <c r="I115" s="72">
        <v>1</v>
      </c>
      <c r="K115" s="235">
        <v>-0.3</v>
      </c>
      <c r="L115" s="72">
        <v>4.5918367346938778E-2</v>
      </c>
      <c r="N115" s="235">
        <v>0.1</v>
      </c>
      <c r="O115" s="72">
        <v>3.4653465346534656E-2</v>
      </c>
      <c r="Q115" s="235">
        <v>-0.3</v>
      </c>
      <c r="R115" s="232">
        <v>25.510204081632654</v>
      </c>
      <c r="T115" s="235">
        <v>0.1</v>
      </c>
      <c r="U115" s="232">
        <v>19.801980198019802</v>
      </c>
    </row>
    <row r="116" spans="2:21" x14ac:dyDescent="0.25">
      <c r="B116" s="235">
        <v>0.25</v>
      </c>
      <c r="C116" s="72">
        <v>3.015075376884422E-2</v>
      </c>
      <c r="E116" s="235">
        <v>0.25</v>
      </c>
      <c r="F116" s="72">
        <v>2.5125628140703519E-2</v>
      </c>
      <c r="H116" s="235">
        <v>0.25</v>
      </c>
      <c r="I116" s="72">
        <v>0.66666666666666663</v>
      </c>
      <c r="K116" s="235">
        <v>-0.3</v>
      </c>
      <c r="L116" s="72">
        <v>4.145077720207254E-2</v>
      </c>
      <c r="N116" s="235">
        <v>0.1</v>
      </c>
      <c r="O116" s="72">
        <v>2.5000000000000001E-2</v>
      </c>
      <c r="Q116" s="235">
        <v>-0.3</v>
      </c>
      <c r="R116" s="232">
        <v>15.544041450777202</v>
      </c>
      <c r="T116" s="235">
        <v>0.1</v>
      </c>
      <c r="U116" s="232">
        <v>10</v>
      </c>
    </row>
    <row r="117" spans="2:21" x14ac:dyDescent="0.25">
      <c r="B117" s="235">
        <v>0.25</v>
      </c>
      <c r="C117" s="72">
        <v>4.9450549450549448E-2</v>
      </c>
      <c r="E117" s="235">
        <v>0.25</v>
      </c>
      <c r="F117" s="72">
        <v>2.197802197802198E-2</v>
      </c>
      <c r="H117" s="235">
        <v>0.25</v>
      </c>
      <c r="I117" s="72">
        <v>0.25</v>
      </c>
      <c r="K117" s="235">
        <v>-0.3</v>
      </c>
      <c r="L117" s="72">
        <v>2.2099447513812154E-2</v>
      </c>
      <c r="N117" s="235">
        <v>0.1</v>
      </c>
      <c r="O117" s="72">
        <v>2.2099447513812154E-2</v>
      </c>
      <c r="Q117" s="235">
        <v>-0.3</v>
      </c>
      <c r="R117" s="232">
        <v>16.574585635359117</v>
      </c>
      <c r="T117" s="235">
        <v>0.1</v>
      </c>
      <c r="U117" s="232">
        <v>16.574585635359117</v>
      </c>
    </row>
    <row r="118" spans="2:21" x14ac:dyDescent="0.25">
      <c r="B118" s="235">
        <v>0.25</v>
      </c>
      <c r="C118" s="72">
        <v>4.5454545454545456E-2</v>
      </c>
      <c r="E118" s="235">
        <v>0.25</v>
      </c>
      <c r="F118" s="72">
        <v>3.0303030303030304E-2</v>
      </c>
      <c r="H118" s="235">
        <v>0.25</v>
      </c>
      <c r="I118" s="72">
        <v>0.5</v>
      </c>
      <c r="K118" s="235">
        <v>-0.3</v>
      </c>
      <c r="L118" s="72">
        <v>3.5353535353535352E-2</v>
      </c>
      <c r="N118" s="235">
        <v>0.1</v>
      </c>
      <c r="O118" s="72">
        <v>3.0456852791878174E-2</v>
      </c>
      <c r="Q118" s="235">
        <v>-0.3</v>
      </c>
      <c r="R118" s="232">
        <v>25.252525252525253</v>
      </c>
      <c r="T118" s="235">
        <v>0.1</v>
      </c>
      <c r="U118" s="232">
        <v>25.380710659898476</v>
      </c>
    </row>
    <row r="119" spans="2:21" x14ac:dyDescent="0.25">
      <c r="B119" s="235">
        <v>0.25</v>
      </c>
      <c r="C119" s="72">
        <v>2.9069767441860465E-2</v>
      </c>
      <c r="E119" s="235">
        <v>0.25</v>
      </c>
      <c r="F119" s="72">
        <v>1.1627906976744186E-2</v>
      </c>
      <c r="H119" s="235">
        <v>0.25</v>
      </c>
      <c r="I119" s="72">
        <v>0.6</v>
      </c>
      <c r="K119" s="235">
        <v>-0.3</v>
      </c>
      <c r="L119" s="72">
        <v>3.4285714285714287E-2</v>
      </c>
      <c r="N119" s="235">
        <v>0.1</v>
      </c>
      <c r="O119" s="72">
        <v>1.7341040462427744E-2</v>
      </c>
      <c r="Q119" s="235">
        <v>-0.3</v>
      </c>
      <c r="R119" s="232">
        <v>34.285714285714285</v>
      </c>
      <c r="T119" s="235">
        <v>0.1</v>
      </c>
      <c r="U119" s="232">
        <v>46.24277456647399</v>
      </c>
    </row>
    <row r="120" spans="2:21" x14ac:dyDescent="0.25">
      <c r="B120" s="235">
        <v>0.25</v>
      </c>
      <c r="C120" s="72">
        <v>6.4864864864864868E-2</v>
      </c>
      <c r="E120" s="235">
        <v>0.25</v>
      </c>
      <c r="F120" s="72">
        <v>4.3243243243243246E-2</v>
      </c>
      <c r="H120" s="235">
        <v>0.25</v>
      </c>
      <c r="I120" s="72">
        <v>0.72727272727272729</v>
      </c>
      <c r="K120" s="235">
        <v>-0.3</v>
      </c>
      <c r="L120" s="72">
        <v>6.1111111111111109E-2</v>
      </c>
      <c r="N120" s="235">
        <v>0.1</v>
      </c>
      <c r="O120" s="72">
        <v>4.3478260869565216E-2</v>
      </c>
      <c r="Q120" s="235">
        <v>-0.3</v>
      </c>
      <c r="R120" s="232">
        <v>38.888888888888886</v>
      </c>
      <c r="T120" s="235">
        <v>0.1</v>
      </c>
      <c r="U120" s="232">
        <v>54.347826086956523</v>
      </c>
    </row>
    <row r="121" spans="2:21" x14ac:dyDescent="0.25">
      <c r="B121" s="235">
        <v>0.25</v>
      </c>
      <c r="C121" s="72">
        <v>5.5837563451776651E-2</v>
      </c>
      <c r="E121" s="235">
        <v>0.25</v>
      </c>
      <c r="F121" s="72">
        <v>2.5380710659898477E-2</v>
      </c>
      <c r="H121" s="235">
        <v>0.25</v>
      </c>
      <c r="I121" s="72">
        <v>0.5</v>
      </c>
      <c r="K121" s="235">
        <v>-0.3</v>
      </c>
      <c r="L121" s="72">
        <v>4.2105263157894736E-2</v>
      </c>
      <c r="N121" s="235">
        <v>0.1</v>
      </c>
      <c r="O121" s="72">
        <v>3.553299492385787E-2</v>
      </c>
      <c r="Q121" s="235">
        <v>-0.3</v>
      </c>
      <c r="R121" s="232">
        <v>36.842105263157897</v>
      </c>
      <c r="T121" s="235">
        <v>0.1</v>
      </c>
      <c r="U121" s="232">
        <v>40.609137055837564</v>
      </c>
    </row>
    <row r="122" spans="2:21" x14ac:dyDescent="0.25">
      <c r="B122" s="235">
        <v>0.25</v>
      </c>
      <c r="C122" s="72">
        <v>6.3157894736842107E-2</v>
      </c>
      <c r="E122" s="235">
        <v>0.25</v>
      </c>
      <c r="F122" s="72">
        <v>3.6842105263157891E-2</v>
      </c>
      <c r="H122" s="235">
        <v>0.25</v>
      </c>
      <c r="I122" s="72">
        <v>0.41666666666666669</v>
      </c>
      <c r="K122" s="235">
        <v>-0.3</v>
      </c>
      <c r="L122" s="72">
        <v>5.1546391752577317E-2</v>
      </c>
      <c r="N122" s="235">
        <v>0.1</v>
      </c>
      <c r="O122" s="72">
        <v>3.6649214659685861E-2</v>
      </c>
      <c r="Q122" s="235">
        <v>-0.3</v>
      </c>
      <c r="R122" s="232">
        <v>25.773195876288661</v>
      </c>
      <c r="T122" s="235">
        <v>0.1</v>
      </c>
      <c r="U122" s="232">
        <v>26.178010471204189</v>
      </c>
    </row>
    <row r="123" spans="2:21" x14ac:dyDescent="0.25">
      <c r="B123" s="235">
        <v>0.25</v>
      </c>
      <c r="C123" s="72">
        <v>7.1428571428571425E-2</v>
      </c>
      <c r="E123" s="235">
        <v>0.25</v>
      </c>
      <c r="F123" s="72">
        <v>2.3809523809523808E-2</v>
      </c>
      <c r="H123" s="235">
        <v>0.25</v>
      </c>
      <c r="I123" s="72">
        <v>0.5</v>
      </c>
      <c r="K123" s="235">
        <v>-0.3</v>
      </c>
      <c r="L123" s="72">
        <v>4.142011834319527E-2</v>
      </c>
      <c r="N123" s="235">
        <v>0.1</v>
      </c>
      <c r="O123" s="72">
        <v>2.3391812865497075E-2</v>
      </c>
      <c r="Q123" s="235">
        <v>-0.3</v>
      </c>
      <c r="R123" s="232">
        <v>11.834319526627219</v>
      </c>
      <c r="T123" s="235">
        <v>0.1</v>
      </c>
      <c r="U123" s="232">
        <v>11.695906432748538</v>
      </c>
    </row>
    <row r="124" spans="2:21" x14ac:dyDescent="0.25">
      <c r="B124" s="235">
        <v>0.25</v>
      </c>
      <c r="C124" s="72">
        <v>6.3157894736842107E-2</v>
      </c>
      <c r="E124" s="235">
        <v>0.25</v>
      </c>
      <c r="F124" s="72">
        <v>1.5789473684210527E-2</v>
      </c>
      <c r="H124" s="235">
        <v>0.25</v>
      </c>
      <c r="I124" s="72">
        <v>0.7142857142857143</v>
      </c>
      <c r="K124" s="235">
        <v>-0.3</v>
      </c>
      <c r="L124" s="72">
        <v>2.2222222222222223E-2</v>
      </c>
      <c r="N124" s="235">
        <v>0.1</v>
      </c>
      <c r="O124" s="72">
        <v>1.5873015873015872E-2</v>
      </c>
      <c r="Q124" s="235">
        <v>-0.3</v>
      </c>
      <c r="R124" s="232">
        <v>33.333333333333336</v>
      </c>
      <c r="T124" s="235">
        <v>0.1</v>
      </c>
      <c r="U124" s="232">
        <v>26.455026455026456</v>
      </c>
    </row>
    <row r="125" spans="2:21" x14ac:dyDescent="0.25">
      <c r="B125" s="235">
        <v>0.25</v>
      </c>
      <c r="C125" s="72">
        <v>4.5454545454545456E-2</v>
      </c>
      <c r="E125" s="235">
        <v>0.25</v>
      </c>
      <c r="F125" s="72">
        <v>2.0202020202020204E-2</v>
      </c>
      <c r="H125" s="235">
        <v>0.25</v>
      </c>
      <c r="I125" s="72">
        <v>0.5</v>
      </c>
      <c r="K125" s="235">
        <v>-0.3</v>
      </c>
      <c r="L125" s="72">
        <v>3.125E-2</v>
      </c>
      <c r="N125" s="235">
        <v>0.1</v>
      </c>
      <c r="O125" s="72">
        <v>3.0612244897959183E-2</v>
      </c>
      <c r="Q125" s="235">
        <v>-0.3</v>
      </c>
      <c r="R125" s="232">
        <v>20.833333333333332</v>
      </c>
      <c r="T125" s="235">
        <v>0.1</v>
      </c>
      <c r="U125" s="232">
        <v>20.408163265306122</v>
      </c>
    </row>
    <row r="126" spans="2:21" x14ac:dyDescent="0.25">
      <c r="B126" s="235">
        <v>0.25</v>
      </c>
      <c r="C126" s="72">
        <v>6.6326530612244902E-2</v>
      </c>
      <c r="E126" s="235">
        <v>0.25</v>
      </c>
      <c r="F126" s="72">
        <v>2.5510204081632654E-2</v>
      </c>
      <c r="H126" s="235">
        <v>0.25</v>
      </c>
      <c r="I126" s="72">
        <v>0.6</v>
      </c>
      <c r="K126" s="235">
        <v>-0.3</v>
      </c>
      <c r="L126" s="72">
        <v>2.9556650246305417E-2</v>
      </c>
      <c r="N126" s="235">
        <v>0.1</v>
      </c>
      <c r="O126" s="72">
        <v>2.030456852791878E-2</v>
      </c>
      <c r="Q126" s="235">
        <v>-0.3</v>
      </c>
      <c r="R126" s="232">
        <v>39.408866995073893</v>
      </c>
      <c r="T126" s="235">
        <v>0.1</v>
      </c>
      <c r="U126" s="232">
        <v>40.609137055837564</v>
      </c>
    </row>
    <row r="127" spans="2:21" x14ac:dyDescent="0.25">
      <c r="B127" s="235">
        <v>0.25</v>
      </c>
      <c r="C127" s="72">
        <v>6.4516129032258063E-2</v>
      </c>
      <c r="E127" s="235">
        <v>0.25</v>
      </c>
      <c r="F127" s="72">
        <v>4.3010752688172046E-2</v>
      </c>
      <c r="H127" s="235">
        <v>0.25</v>
      </c>
      <c r="I127" s="72">
        <v>0.22222222222222221</v>
      </c>
      <c r="K127" s="235">
        <v>-0.3</v>
      </c>
      <c r="L127" s="72">
        <v>4.3956043956043959E-2</v>
      </c>
      <c r="N127" s="235">
        <v>0.1</v>
      </c>
      <c r="O127" s="72">
        <v>4.3010752688172046E-2</v>
      </c>
      <c r="Q127" s="235">
        <v>-0.3</v>
      </c>
      <c r="R127" s="232">
        <v>38.46153846153846</v>
      </c>
      <c r="T127" s="235">
        <v>0.1</v>
      </c>
      <c r="U127" s="232">
        <v>16.129032258064516</v>
      </c>
    </row>
    <row r="128" spans="2:21" x14ac:dyDescent="0.25">
      <c r="B128" s="235">
        <v>0.25</v>
      </c>
      <c r="C128" s="72">
        <v>3.482587064676617E-2</v>
      </c>
      <c r="E128" s="235">
        <v>0.25</v>
      </c>
      <c r="F128" s="72">
        <v>2.9850746268656716E-2</v>
      </c>
      <c r="H128" s="235">
        <v>0.25</v>
      </c>
      <c r="I128" s="72">
        <v>0.75</v>
      </c>
      <c r="K128" s="235">
        <v>-0.3</v>
      </c>
      <c r="L128" s="72">
        <v>5.128205128205128E-2</v>
      </c>
      <c r="N128" s="235">
        <v>0.1</v>
      </c>
      <c r="O128" s="72">
        <v>3.4653465346534656E-2</v>
      </c>
      <c r="Q128" s="235">
        <v>-0.3</v>
      </c>
      <c r="R128" s="232">
        <v>25.641025641025642</v>
      </c>
      <c r="T128" s="235">
        <v>0.1</v>
      </c>
      <c r="U128" s="232">
        <v>14.851485148514852</v>
      </c>
    </row>
    <row r="129" spans="2:21" x14ac:dyDescent="0.25">
      <c r="B129" s="235">
        <v>0.25</v>
      </c>
      <c r="C129" s="72">
        <v>3.553299492385787E-2</v>
      </c>
      <c r="E129" s="235">
        <v>0.25</v>
      </c>
      <c r="F129" s="72">
        <v>2.5380710659898477E-2</v>
      </c>
      <c r="H129" s="235">
        <v>0.25</v>
      </c>
      <c r="I129" s="72">
        <v>0.5714285714285714</v>
      </c>
      <c r="K129" s="235">
        <v>-0.3</v>
      </c>
      <c r="L129" s="72">
        <v>2.7624309392265192E-2</v>
      </c>
      <c r="N129" s="235">
        <v>0.1</v>
      </c>
      <c r="O129" s="72">
        <v>2.564102564102564E-2</v>
      </c>
      <c r="Q129" s="235">
        <v>-0.3</v>
      </c>
      <c r="R129" s="232">
        <v>60.773480662983424</v>
      </c>
      <c r="T129" s="235">
        <v>0.1</v>
      </c>
      <c r="U129" s="232">
        <v>35.897435897435898</v>
      </c>
    </row>
    <row r="130" spans="2:21" x14ac:dyDescent="0.25">
      <c r="B130" s="235">
        <v>0.25</v>
      </c>
      <c r="C130" s="72">
        <v>4.8128342245989303E-2</v>
      </c>
      <c r="E130" s="235">
        <v>0.25</v>
      </c>
      <c r="F130" s="72">
        <v>4.2780748663101602E-2</v>
      </c>
      <c r="H130" s="235">
        <v>0.25</v>
      </c>
      <c r="I130" s="72">
        <v>0.6</v>
      </c>
      <c r="K130" s="235">
        <v>-0.3</v>
      </c>
      <c r="L130" s="72">
        <v>4.3478260869565216E-2</v>
      </c>
      <c r="N130" s="235">
        <v>0.1</v>
      </c>
      <c r="O130" s="72">
        <v>4.2553191489361701E-2</v>
      </c>
      <c r="Q130" s="235">
        <v>-0.3</v>
      </c>
      <c r="R130" s="232">
        <v>48.913043478260867</v>
      </c>
      <c r="T130" s="235">
        <v>0.1</v>
      </c>
      <c r="U130" s="232">
        <v>37.234042553191486</v>
      </c>
    </row>
    <row r="131" spans="2:21" x14ac:dyDescent="0.25">
      <c r="B131" s="235">
        <v>0.25</v>
      </c>
      <c r="C131" s="72">
        <v>4.3715846994535519E-2</v>
      </c>
      <c r="E131" s="235">
        <v>0.25</v>
      </c>
      <c r="F131" s="72">
        <v>5.4644808743169397E-2</v>
      </c>
      <c r="H131" s="235">
        <v>0.25</v>
      </c>
      <c r="I131" s="72">
        <v>0.66666666666666663</v>
      </c>
      <c r="K131" s="235">
        <v>-0.3</v>
      </c>
      <c r="L131" s="72">
        <v>6.6298342541436461E-2</v>
      </c>
      <c r="N131" s="235">
        <v>0.1</v>
      </c>
      <c r="O131" s="72">
        <v>5.4644808743169397E-2</v>
      </c>
      <c r="Q131" s="235">
        <v>-0.3</v>
      </c>
      <c r="R131" s="232">
        <v>33.149171270718234</v>
      </c>
      <c r="T131" s="235">
        <v>0.1</v>
      </c>
      <c r="U131" s="232">
        <v>21.857923497267759</v>
      </c>
    </row>
    <row r="132" spans="2:21" x14ac:dyDescent="0.25">
      <c r="B132" s="235">
        <v>0.25</v>
      </c>
      <c r="C132" s="72">
        <v>3.0456852791878174E-2</v>
      </c>
      <c r="E132" s="235">
        <v>0.25</v>
      </c>
      <c r="F132" s="72">
        <v>2.5380710659898477E-2</v>
      </c>
      <c r="H132" s="235">
        <v>0.25</v>
      </c>
      <c r="I132" s="72">
        <v>0.53846153846153844</v>
      </c>
      <c r="K132" s="235">
        <v>-0.3</v>
      </c>
      <c r="L132" s="72">
        <v>3.4653465346534656E-2</v>
      </c>
      <c r="N132" s="235">
        <v>0.1</v>
      </c>
      <c r="O132" s="72">
        <v>0.03</v>
      </c>
      <c r="Q132" s="235">
        <v>-0.3</v>
      </c>
      <c r="R132" s="232">
        <v>24.752475247524753</v>
      </c>
      <c r="T132" s="235">
        <v>0.1</v>
      </c>
      <c r="U132" s="232">
        <v>30</v>
      </c>
    </row>
    <row r="133" spans="2:21" x14ac:dyDescent="0.25">
      <c r="B133" s="235">
        <v>0.25</v>
      </c>
      <c r="C133" s="72">
        <v>5.8823529411764705E-2</v>
      </c>
      <c r="E133" s="235">
        <v>0.25</v>
      </c>
      <c r="F133" s="72">
        <v>2.9411764705882353E-2</v>
      </c>
      <c r="H133" s="235">
        <v>0.25</v>
      </c>
      <c r="I133" s="72">
        <v>0.44444444444444442</v>
      </c>
      <c r="K133" s="235">
        <v>-0.3</v>
      </c>
      <c r="L133" s="72">
        <v>3.5928143712574849E-2</v>
      </c>
      <c r="N133" s="235">
        <v>0.1</v>
      </c>
      <c r="O133" s="72">
        <v>4.1176470588235294E-2</v>
      </c>
      <c r="Q133" s="235">
        <v>-0.3</v>
      </c>
      <c r="R133" s="232">
        <v>29.940119760479043</v>
      </c>
      <c r="T133" s="235">
        <v>0.1</v>
      </c>
      <c r="U133" s="232">
        <v>41.176470588235297</v>
      </c>
    </row>
    <row r="134" spans="2:21" x14ac:dyDescent="0.25">
      <c r="B134" s="235">
        <v>0.25</v>
      </c>
      <c r="C134" s="72">
        <v>3.9325842696629212E-2</v>
      </c>
      <c r="E134" s="235">
        <v>0.25</v>
      </c>
      <c r="F134" s="72">
        <v>2.8089887640449437E-2</v>
      </c>
      <c r="H134" s="235">
        <v>0.25</v>
      </c>
      <c r="I134" s="72">
        <v>0.5</v>
      </c>
      <c r="K134" s="235">
        <v>-0.3</v>
      </c>
      <c r="L134" s="72">
        <v>5.1724137931034482E-2</v>
      </c>
      <c r="N134" s="235">
        <v>0.1</v>
      </c>
      <c r="O134" s="72">
        <v>2.7472527472527472E-2</v>
      </c>
      <c r="Q134" s="235">
        <v>-0.3</v>
      </c>
      <c r="R134" s="232">
        <v>17.241379310344829</v>
      </c>
      <c r="T134" s="235">
        <v>0.1</v>
      </c>
      <c r="U134" s="232">
        <v>5.4945054945054945</v>
      </c>
    </row>
    <row r="135" spans="2:21" x14ac:dyDescent="0.25">
      <c r="B135" s="235">
        <v>0.25</v>
      </c>
      <c r="C135" s="72">
        <v>7.3684210526315783E-2</v>
      </c>
      <c r="E135" s="235">
        <v>0.25</v>
      </c>
      <c r="F135" s="72">
        <v>1.5789473684210527E-2</v>
      </c>
      <c r="H135" s="235">
        <v>0.25</v>
      </c>
      <c r="I135" s="72">
        <v>0.45454545454545453</v>
      </c>
      <c r="K135" s="235">
        <v>-0.3</v>
      </c>
      <c r="L135" s="72">
        <v>4.145077720207254E-2</v>
      </c>
      <c r="N135" s="235">
        <v>0.1</v>
      </c>
      <c r="O135" s="72">
        <v>2.564102564102564E-2</v>
      </c>
      <c r="Q135" s="235">
        <v>-0.3</v>
      </c>
      <c r="R135" s="232">
        <v>51.813471502590673</v>
      </c>
      <c r="T135" s="235">
        <v>0.1</v>
      </c>
      <c r="U135" s="232">
        <v>25.641025641025642</v>
      </c>
    </row>
    <row r="136" spans="2:21" x14ac:dyDescent="0.25">
      <c r="B136" s="235">
        <v>0.25</v>
      </c>
      <c r="C136" s="72">
        <v>5.0761421319796954E-2</v>
      </c>
      <c r="E136" s="235">
        <v>0.25</v>
      </c>
      <c r="F136" s="72">
        <v>2.5380710659898477E-2</v>
      </c>
      <c r="H136" s="235">
        <v>0.25</v>
      </c>
      <c r="I136" s="72">
        <v>0.2857142857142857</v>
      </c>
      <c r="K136" s="235">
        <v>-0.3</v>
      </c>
      <c r="L136" s="72">
        <v>4.0816326530612242E-2</v>
      </c>
      <c r="N136" s="235">
        <v>0.1</v>
      </c>
      <c r="O136" s="72">
        <v>2.5380710659898477E-2</v>
      </c>
      <c r="Q136" s="235">
        <v>-0.3</v>
      </c>
      <c r="R136" s="232">
        <v>40.816326530612244</v>
      </c>
      <c r="T136" s="235">
        <v>0.1</v>
      </c>
      <c r="U136" s="232">
        <v>25.380710659898476</v>
      </c>
    </row>
    <row r="137" spans="2:21" x14ac:dyDescent="0.25">
      <c r="B137" s="235">
        <v>0.25</v>
      </c>
      <c r="C137" s="72">
        <v>3.8461538461538464E-2</v>
      </c>
      <c r="E137" s="235">
        <v>0.25</v>
      </c>
      <c r="F137" s="72">
        <v>2.7472527472527472E-2</v>
      </c>
      <c r="H137" s="235">
        <v>0.25</v>
      </c>
      <c r="I137" s="72">
        <v>0.33333333333333331</v>
      </c>
      <c r="K137" s="235">
        <v>-0.3</v>
      </c>
      <c r="L137" s="72">
        <v>0.04</v>
      </c>
      <c r="N137" s="235">
        <v>0.1</v>
      </c>
      <c r="O137" s="72">
        <v>2.7472527472527472E-2</v>
      </c>
      <c r="Q137" s="235">
        <v>-0.3</v>
      </c>
      <c r="R137" s="232">
        <v>17.142857142857142</v>
      </c>
      <c r="T137" s="235">
        <v>0.1</v>
      </c>
      <c r="U137" s="232">
        <v>5.4945054945054945</v>
      </c>
    </row>
    <row r="138" spans="2:21" x14ac:dyDescent="0.25">
      <c r="B138" s="235">
        <v>0.25</v>
      </c>
      <c r="C138" s="72">
        <v>5.2083333333333336E-2</v>
      </c>
      <c r="E138" s="235">
        <v>0.25</v>
      </c>
      <c r="F138" s="72">
        <v>4.1666666666666664E-2</v>
      </c>
      <c r="H138" s="235">
        <v>0.25</v>
      </c>
      <c r="I138" s="72">
        <v>0.72727272727272729</v>
      </c>
      <c r="K138" s="235">
        <v>-0.3</v>
      </c>
      <c r="L138" s="72">
        <v>3.783783783783784E-2</v>
      </c>
      <c r="N138" s="235">
        <v>0.1</v>
      </c>
      <c r="O138" s="72">
        <v>3.6269430051813469E-2</v>
      </c>
      <c r="Q138" s="235">
        <v>-0.3</v>
      </c>
      <c r="R138" s="232">
        <v>21.621621621621621</v>
      </c>
      <c r="T138" s="235">
        <v>0.1</v>
      </c>
      <c r="U138" s="232">
        <v>36.269430051813472</v>
      </c>
    </row>
    <row r="139" spans="2:21" x14ac:dyDescent="0.25">
      <c r="B139" s="235">
        <v>0.25</v>
      </c>
      <c r="C139" s="72">
        <v>3.5000000000000003E-2</v>
      </c>
      <c r="E139" s="235">
        <v>0.25</v>
      </c>
      <c r="F139" s="72">
        <v>3.5000000000000003E-2</v>
      </c>
      <c r="H139" s="235">
        <v>0.25</v>
      </c>
      <c r="I139" s="72">
        <v>0.4</v>
      </c>
      <c r="K139" s="235">
        <v>-0.3</v>
      </c>
      <c r="L139" s="72">
        <v>6.0606060606060608E-2</v>
      </c>
      <c r="N139" s="235">
        <v>0.1</v>
      </c>
      <c r="O139" s="72">
        <v>4.0201005025125629E-2</v>
      </c>
      <c r="Q139" s="235">
        <v>-0.3</v>
      </c>
      <c r="R139" s="232">
        <v>25.252525252525253</v>
      </c>
      <c r="T139" s="235">
        <v>0.1</v>
      </c>
      <c r="U139" s="232">
        <v>15.075376884422111</v>
      </c>
    </row>
    <row r="140" spans="2:21" x14ac:dyDescent="0.25">
      <c r="B140" s="235">
        <v>0.25</v>
      </c>
      <c r="C140" s="72">
        <v>5.2631578947368418E-2</v>
      </c>
      <c r="E140" s="235">
        <v>0.25</v>
      </c>
      <c r="F140" s="72">
        <v>2.3391812865497075E-2</v>
      </c>
      <c r="H140" s="235">
        <v>0.25</v>
      </c>
      <c r="I140" s="72">
        <v>0</v>
      </c>
      <c r="K140" s="235">
        <v>-0.3</v>
      </c>
      <c r="L140" s="72">
        <v>1.7647058823529412E-2</v>
      </c>
      <c r="N140" s="235">
        <v>0.1</v>
      </c>
      <c r="O140" s="72">
        <v>2.9411764705882353E-2</v>
      </c>
      <c r="Q140" s="235">
        <v>-0.3</v>
      </c>
      <c r="R140" s="232">
        <v>11.764705882352942</v>
      </c>
      <c r="T140" s="235">
        <v>0.1</v>
      </c>
      <c r="U140" s="232">
        <v>11.764705882352942</v>
      </c>
    </row>
    <row r="141" spans="2:21" x14ac:dyDescent="0.25">
      <c r="B141" s="235">
        <v>0.25</v>
      </c>
      <c r="C141" s="72">
        <v>7.4468085106382975E-2</v>
      </c>
      <c r="E141" s="235">
        <v>0.25</v>
      </c>
      <c r="F141" s="72">
        <v>2.6595744680851064E-2</v>
      </c>
      <c r="H141" s="235">
        <v>0.25</v>
      </c>
      <c r="I141" s="72">
        <v>0.7</v>
      </c>
      <c r="K141" s="235">
        <v>-0.3</v>
      </c>
      <c r="L141" s="72">
        <v>4.7619047619047616E-2</v>
      </c>
      <c r="N141" s="235">
        <v>0.1</v>
      </c>
      <c r="O141" s="72">
        <v>3.6458333333333336E-2</v>
      </c>
      <c r="Q141" s="235">
        <v>-0.3</v>
      </c>
      <c r="R141" s="232">
        <v>42.328042328042329</v>
      </c>
      <c r="T141" s="235">
        <v>0.1</v>
      </c>
      <c r="U141" s="232">
        <v>46.875</v>
      </c>
    </row>
    <row r="142" spans="2:21" x14ac:dyDescent="0.25">
      <c r="B142" s="235">
        <v>0.25</v>
      </c>
      <c r="C142" s="72">
        <v>4.8913043478260872E-2</v>
      </c>
      <c r="E142" s="235">
        <v>0.25</v>
      </c>
      <c r="F142" s="72">
        <v>2.1739130434782608E-2</v>
      </c>
      <c r="H142" s="235">
        <v>0.25</v>
      </c>
      <c r="I142" s="72">
        <v>0.66666666666666663</v>
      </c>
      <c r="K142" s="235">
        <v>-0.3</v>
      </c>
      <c r="L142" s="72">
        <v>3.7634408602150539E-2</v>
      </c>
      <c r="N142" s="235">
        <v>0.1</v>
      </c>
      <c r="O142" s="72">
        <v>2.6881720430107527E-2</v>
      </c>
      <c r="Q142" s="235">
        <v>-0.3</v>
      </c>
      <c r="R142" s="232">
        <v>53.763440860215056</v>
      </c>
      <c r="T142" s="235">
        <v>0.1</v>
      </c>
      <c r="U142" s="232">
        <v>53.763440860215056</v>
      </c>
    </row>
    <row r="143" spans="2:21" x14ac:dyDescent="0.25">
      <c r="B143" s="235">
        <v>0.25</v>
      </c>
      <c r="C143" s="72">
        <v>9.3567251461988299E-2</v>
      </c>
      <c r="E143" s="235">
        <v>0.25</v>
      </c>
      <c r="F143" s="72">
        <v>2.3391812865497075E-2</v>
      </c>
      <c r="H143" s="235">
        <v>0.25</v>
      </c>
      <c r="I143" s="72">
        <v>0.14285714285714285</v>
      </c>
      <c r="K143" s="235">
        <v>-0.3</v>
      </c>
      <c r="L143" s="72">
        <v>4.1666666666666664E-2</v>
      </c>
      <c r="N143" s="235">
        <v>0.1</v>
      </c>
      <c r="O143" s="72">
        <v>2.3391812865497075E-2</v>
      </c>
      <c r="Q143" s="235">
        <v>-0.3</v>
      </c>
      <c r="R143" s="232">
        <v>29.761904761904763</v>
      </c>
      <c r="T143" s="235">
        <v>0.1</v>
      </c>
      <c r="U143" s="232">
        <v>5.8479532163742691</v>
      </c>
    </row>
    <row r="144" spans="2:21" x14ac:dyDescent="0.25">
      <c r="B144" s="235">
        <v>0.25</v>
      </c>
      <c r="C144" s="72">
        <v>6.1855670103092786E-2</v>
      </c>
      <c r="E144" s="235">
        <v>0.25</v>
      </c>
      <c r="F144" s="72">
        <v>3.0927835051546393E-2</v>
      </c>
      <c r="H144" s="235">
        <v>0.25</v>
      </c>
      <c r="I144" s="72">
        <v>0.66666666666666663</v>
      </c>
      <c r="K144" s="235">
        <v>-0.3</v>
      </c>
      <c r="L144" s="72">
        <v>4.7619047619047616E-2</v>
      </c>
      <c r="N144" s="235">
        <v>0.1</v>
      </c>
      <c r="O144" s="72">
        <v>3.6458333333333336E-2</v>
      </c>
      <c r="Q144" s="235">
        <v>-0.3</v>
      </c>
      <c r="R144" s="232">
        <v>42.328042328042329</v>
      </c>
      <c r="T144" s="235">
        <v>0.1</v>
      </c>
      <c r="U144" s="232">
        <v>52.083333333333336</v>
      </c>
    </row>
    <row r="145" spans="2:21" x14ac:dyDescent="0.25">
      <c r="B145" s="235">
        <v>0.25</v>
      </c>
      <c r="C145" s="72">
        <v>3.0612244897959183E-2</v>
      </c>
      <c r="E145" s="235">
        <v>0.25</v>
      </c>
      <c r="F145" s="72">
        <v>1.5306122448979591E-2</v>
      </c>
      <c r="H145" s="235">
        <v>0.25</v>
      </c>
      <c r="I145" s="72">
        <v>0.5714285714285714</v>
      </c>
      <c r="K145" s="235">
        <v>-0.3</v>
      </c>
      <c r="L145" s="72">
        <v>2.5510204081632654E-2</v>
      </c>
      <c r="N145" s="235">
        <v>0.1</v>
      </c>
      <c r="O145" s="72">
        <v>1.5306122448979591E-2</v>
      </c>
      <c r="Q145" s="235">
        <v>-0.3</v>
      </c>
      <c r="R145" s="232">
        <v>35.714285714285715</v>
      </c>
      <c r="T145" s="235">
        <v>0.1</v>
      </c>
      <c r="U145" s="232">
        <v>20.408163265306122</v>
      </c>
    </row>
    <row r="146" spans="2:21" x14ac:dyDescent="0.25">
      <c r="B146" s="235">
        <v>0.25</v>
      </c>
      <c r="C146" s="72">
        <v>5.8510638297872342E-2</v>
      </c>
      <c r="E146" s="235">
        <v>0.25</v>
      </c>
      <c r="F146" s="72">
        <v>2.1276595744680851E-2</v>
      </c>
      <c r="H146" s="235">
        <v>0.25</v>
      </c>
      <c r="I146" s="72">
        <v>0.8571428571428571</v>
      </c>
      <c r="K146" s="235">
        <v>-0.3</v>
      </c>
      <c r="L146" s="72">
        <v>7.0652173913043473E-2</v>
      </c>
      <c r="N146" s="235">
        <v>0.1</v>
      </c>
      <c r="O146" s="72">
        <v>2.6737967914438502E-2</v>
      </c>
      <c r="Q146" s="235">
        <v>-0.3</v>
      </c>
      <c r="R146" s="232">
        <v>43.478260869565219</v>
      </c>
      <c r="T146" s="235">
        <v>0.1</v>
      </c>
      <c r="U146" s="232">
        <v>26.737967914438503</v>
      </c>
    </row>
    <row r="147" spans="2:21" x14ac:dyDescent="0.25">
      <c r="B147" s="235">
        <v>0.25</v>
      </c>
      <c r="C147" s="72">
        <v>3.5175879396984924E-2</v>
      </c>
      <c r="E147" s="235">
        <v>0.25</v>
      </c>
      <c r="F147" s="72">
        <v>4.0201005025125629E-2</v>
      </c>
      <c r="H147" s="235">
        <v>0.25</v>
      </c>
      <c r="I147" s="72">
        <v>0.75</v>
      </c>
      <c r="K147" s="235">
        <v>-0.3</v>
      </c>
      <c r="L147" s="72">
        <v>5.5276381909547742E-2</v>
      </c>
      <c r="N147" s="235">
        <v>0.1</v>
      </c>
      <c r="O147" s="72">
        <v>3.5353535353535352E-2</v>
      </c>
      <c r="Q147" s="235">
        <v>-0.3</v>
      </c>
      <c r="R147" s="232">
        <v>20.100502512562816</v>
      </c>
      <c r="T147" s="235">
        <v>0.1</v>
      </c>
      <c r="U147" s="232">
        <v>30.303030303030305</v>
      </c>
    </row>
    <row r="148" spans="2:21" x14ac:dyDescent="0.25">
      <c r="B148" s="235">
        <v>0.25</v>
      </c>
      <c r="C148" s="72">
        <v>6.1797752808988762E-2</v>
      </c>
      <c r="E148" s="235">
        <v>0.25</v>
      </c>
      <c r="F148" s="72">
        <v>3.3707865168539325E-2</v>
      </c>
      <c r="H148" s="235">
        <v>0.25</v>
      </c>
      <c r="I148" s="72">
        <v>0.1111111111111111</v>
      </c>
      <c r="K148" s="235">
        <v>-0.3</v>
      </c>
      <c r="L148" s="72">
        <v>0.04</v>
      </c>
      <c r="N148" s="235">
        <v>0.1</v>
      </c>
      <c r="O148" s="72">
        <v>4.519774011299435E-2</v>
      </c>
      <c r="Q148" s="235">
        <v>-0.3</v>
      </c>
      <c r="R148" s="232">
        <v>40</v>
      </c>
      <c r="T148" s="235">
        <v>0.1</v>
      </c>
      <c r="U148" s="232">
        <v>11.299435028248588</v>
      </c>
    </row>
    <row r="149" spans="2:21" x14ac:dyDescent="0.25">
      <c r="B149" s="235">
        <v>0.25</v>
      </c>
      <c r="C149" s="72">
        <v>4.6632124352331605E-2</v>
      </c>
      <c r="E149" s="235">
        <v>0.25</v>
      </c>
      <c r="F149" s="72">
        <v>6.7357512953367879E-2</v>
      </c>
      <c r="H149" s="235">
        <v>0.25</v>
      </c>
      <c r="I149" s="72">
        <v>0.66666666666666663</v>
      </c>
      <c r="K149" s="235">
        <v>-0.3</v>
      </c>
      <c r="L149" s="72">
        <v>0.05</v>
      </c>
      <c r="N149" s="235">
        <v>0.1</v>
      </c>
      <c r="O149" s="72">
        <v>7.2916666666666671E-2</v>
      </c>
      <c r="Q149" s="235">
        <v>-0.3</v>
      </c>
      <c r="R149" s="232">
        <v>27.777777777777779</v>
      </c>
      <c r="T149" s="235">
        <v>0.1</v>
      </c>
      <c r="U149" s="232">
        <v>15.625</v>
      </c>
    </row>
    <row r="150" spans="2:21" x14ac:dyDescent="0.25">
      <c r="B150" s="235">
        <v>0.25</v>
      </c>
      <c r="C150" s="72">
        <v>5.0251256281407038E-2</v>
      </c>
      <c r="E150" s="235">
        <v>0.25</v>
      </c>
      <c r="F150" s="72">
        <v>3.5175879396984924E-2</v>
      </c>
      <c r="H150" s="235">
        <v>0.25</v>
      </c>
      <c r="I150" s="72">
        <v>0.5</v>
      </c>
      <c r="K150" s="235">
        <v>-0.3</v>
      </c>
      <c r="L150" s="72">
        <v>5.6122448979591837E-2</v>
      </c>
      <c r="N150" s="235">
        <v>0.1</v>
      </c>
      <c r="O150" s="72">
        <v>4.0201005025125629E-2</v>
      </c>
      <c r="Q150" s="235">
        <v>-0.3</v>
      </c>
      <c r="R150" s="232">
        <v>35.714285714285715</v>
      </c>
      <c r="T150" s="235">
        <v>0.1</v>
      </c>
      <c r="U150" s="232">
        <v>20.100502512562816</v>
      </c>
    </row>
    <row r="151" spans="2:21" x14ac:dyDescent="0.25">
      <c r="B151" s="235">
        <v>0.25</v>
      </c>
      <c r="C151" s="72">
        <v>3.7634408602150539E-2</v>
      </c>
      <c r="E151" s="235">
        <v>0.25</v>
      </c>
      <c r="F151" s="72">
        <v>3.7634408602150539E-2</v>
      </c>
      <c r="H151" s="235">
        <v>0.25</v>
      </c>
      <c r="I151" s="72">
        <v>0.5714285714285714</v>
      </c>
      <c r="K151" s="235">
        <v>-0.3</v>
      </c>
      <c r="L151" s="72">
        <v>4.9723756906077346E-2</v>
      </c>
      <c r="N151" s="235">
        <v>0.1</v>
      </c>
      <c r="O151" s="72">
        <v>3.8043478260869568E-2</v>
      </c>
      <c r="Q151" s="235">
        <v>-0.3</v>
      </c>
      <c r="R151" s="232">
        <v>11.049723756906078</v>
      </c>
      <c r="T151" s="235">
        <v>0.1</v>
      </c>
      <c r="U151" s="232">
        <v>27.173913043478262</v>
      </c>
    </row>
    <row r="152" spans="2:21" x14ac:dyDescent="0.25">
      <c r="B152" s="235">
        <v>0.25</v>
      </c>
      <c r="C152" s="72">
        <v>7.4866310160427801E-2</v>
      </c>
      <c r="E152" s="235">
        <v>0.25</v>
      </c>
      <c r="F152" s="72">
        <v>1.06951871657754E-2</v>
      </c>
      <c r="H152" s="235">
        <v>0.25</v>
      </c>
      <c r="I152" s="72">
        <v>0.66666666666666663</v>
      </c>
      <c r="K152" s="235">
        <v>-0.3</v>
      </c>
      <c r="L152" s="72">
        <v>3.3149171270718231E-2</v>
      </c>
      <c r="N152" s="235">
        <v>0.1</v>
      </c>
      <c r="O152" s="72">
        <v>1.5873015873015872E-2</v>
      </c>
      <c r="Q152" s="235">
        <v>-0.3</v>
      </c>
      <c r="R152" s="232">
        <v>49.723756906077348</v>
      </c>
      <c r="T152" s="235">
        <v>0.1</v>
      </c>
      <c r="U152" s="232">
        <v>26.455026455026456</v>
      </c>
    </row>
    <row r="153" spans="2:21" x14ac:dyDescent="0.25">
      <c r="B153" s="235">
        <v>0.25</v>
      </c>
      <c r="C153" s="72">
        <v>3.8277511961722487E-2</v>
      </c>
      <c r="E153" s="235">
        <v>0.25</v>
      </c>
      <c r="F153" s="72">
        <v>2.8708133971291867E-2</v>
      </c>
      <c r="H153" s="235">
        <v>0.25</v>
      </c>
      <c r="I153" s="72">
        <v>0.66666666666666663</v>
      </c>
      <c r="K153" s="235">
        <v>-0.3</v>
      </c>
      <c r="L153" s="72">
        <v>3.4313725490196081E-2</v>
      </c>
      <c r="N153" s="235">
        <v>0.1</v>
      </c>
      <c r="O153" s="72">
        <v>2.8708133971291867E-2</v>
      </c>
      <c r="Q153" s="235">
        <v>-0.3</v>
      </c>
      <c r="R153" s="232">
        <v>24.509803921568629</v>
      </c>
      <c r="T153" s="235">
        <v>0.1</v>
      </c>
      <c r="U153" s="232">
        <v>28.708133971291865</v>
      </c>
    </row>
    <row r="154" spans="2:21" x14ac:dyDescent="0.25">
      <c r="B154" s="235">
        <v>0.25</v>
      </c>
      <c r="C154" s="72">
        <v>7.8212290502793297E-2</v>
      </c>
      <c r="E154" s="235">
        <v>0.25</v>
      </c>
      <c r="F154" s="72">
        <v>2.23463687150838E-2</v>
      </c>
      <c r="H154" s="235">
        <v>0.25</v>
      </c>
      <c r="I154" s="72">
        <v>0.42857142857142855</v>
      </c>
      <c r="K154" s="235">
        <v>-0.3</v>
      </c>
      <c r="L154" s="72">
        <v>1.7751479289940829E-2</v>
      </c>
      <c r="N154" s="235">
        <v>0.1</v>
      </c>
      <c r="O154" s="72">
        <v>2.2222222222222223E-2</v>
      </c>
      <c r="Q154" s="235">
        <v>-0.3</v>
      </c>
      <c r="R154" s="232">
        <v>41.420118343195263</v>
      </c>
      <c r="T154" s="235">
        <v>0.1</v>
      </c>
      <c r="U154" s="232">
        <v>27.777777777777779</v>
      </c>
    </row>
    <row r="155" spans="2:21" x14ac:dyDescent="0.25">
      <c r="B155" s="235">
        <v>0.25</v>
      </c>
      <c r="C155" s="72">
        <v>5.9782608695652176E-2</v>
      </c>
      <c r="E155" s="235">
        <v>0.25</v>
      </c>
      <c r="F155" s="72">
        <v>1.6304347826086956E-2</v>
      </c>
      <c r="H155" s="235">
        <v>0.25</v>
      </c>
      <c r="I155" s="72">
        <v>0.375</v>
      </c>
      <c r="K155" s="235">
        <v>-0.3</v>
      </c>
      <c r="L155" s="72">
        <v>3.783783783783784E-2</v>
      </c>
      <c r="N155" s="235">
        <v>0.1</v>
      </c>
      <c r="O155" s="72">
        <v>2.7322404371584699E-2</v>
      </c>
      <c r="Q155" s="235">
        <v>-0.3</v>
      </c>
      <c r="R155" s="232">
        <v>21.621621621621621</v>
      </c>
      <c r="T155" s="235">
        <v>0.1</v>
      </c>
      <c r="U155" s="232">
        <v>27.3224043715847</v>
      </c>
    </row>
    <row r="156" spans="2:21" x14ac:dyDescent="0.25">
      <c r="B156" s="235">
        <v>0.25</v>
      </c>
      <c r="C156" s="72">
        <v>2.7027027027027029E-2</v>
      </c>
      <c r="E156" s="235">
        <v>0.25</v>
      </c>
      <c r="F156" s="72">
        <v>2.1621621621621623E-2</v>
      </c>
      <c r="H156" s="235">
        <v>0.25</v>
      </c>
      <c r="I156" s="72">
        <v>0.5</v>
      </c>
      <c r="K156" s="235">
        <v>-0.3</v>
      </c>
      <c r="L156" s="72">
        <v>3.2967032967032968E-2</v>
      </c>
      <c r="N156" s="235">
        <v>0.1</v>
      </c>
      <c r="O156" s="72">
        <v>1.6042780748663103E-2</v>
      </c>
      <c r="Q156" s="235">
        <v>-0.3</v>
      </c>
      <c r="R156" s="232">
        <v>49.450549450549453</v>
      </c>
      <c r="T156" s="235">
        <v>0.1</v>
      </c>
      <c r="U156" s="232">
        <v>26.737967914438503</v>
      </c>
    </row>
    <row r="157" spans="2:21" x14ac:dyDescent="0.25">
      <c r="B157" s="235">
        <v>0.25</v>
      </c>
      <c r="C157" s="72">
        <v>5.8139534883720929E-2</v>
      </c>
      <c r="E157" s="235">
        <v>0.25</v>
      </c>
      <c r="F157" s="72">
        <v>2.9069767441860465E-2</v>
      </c>
      <c r="H157" s="235">
        <v>0.25</v>
      </c>
      <c r="I157" s="72">
        <v>0.77777777777777779</v>
      </c>
      <c r="K157" s="235">
        <v>-0.3</v>
      </c>
      <c r="L157" s="72">
        <v>2.4242424242424242E-2</v>
      </c>
      <c r="N157" s="235">
        <v>0.1</v>
      </c>
      <c r="O157" s="72">
        <v>2.3529411764705882E-2</v>
      </c>
      <c r="Q157" s="235">
        <v>-0.3</v>
      </c>
      <c r="R157" s="232">
        <v>48.484848484848484</v>
      </c>
      <c r="T157" s="235">
        <v>0.1</v>
      </c>
      <c r="U157" s="232">
        <v>52.941176470588232</v>
      </c>
    </row>
    <row r="158" spans="2:21" x14ac:dyDescent="0.25">
      <c r="B158" s="235">
        <v>0.25</v>
      </c>
      <c r="C158" s="72">
        <v>4.4117647058823532E-2</v>
      </c>
      <c r="E158" s="235">
        <v>0.25</v>
      </c>
      <c r="F158" s="72">
        <v>5.8823529411764705E-2</v>
      </c>
      <c r="H158" s="235">
        <v>0.25</v>
      </c>
      <c r="I158" s="72">
        <v>0.625</v>
      </c>
      <c r="K158" s="235">
        <v>-0.3</v>
      </c>
      <c r="L158" s="72">
        <v>6.6326530612244902E-2</v>
      </c>
      <c r="N158" s="235">
        <v>0.1</v>
      </c>
      <c r="O158" s="72">
        <v>5.9405940594059403E-2</v>
      </c>
      <c r="Q158" s="235">
        <v>-0.3</v>
      </c>
      <c r="R158" s="232">
        <v>45.918367346938773</v>
      </c>
      <c r="T158" s="235">
        <v>0.1</v>
      </c>
      <c r="U158" s="232">
        <v>49.504950495049506</v>
      </c>
    </row>
    <row r="159" spans="2:21" x14ac:dyDescent="0.25">
      <c r="B159" s="235">
        <v>0.25</v>
      </c>
      <c r="C159" s="72">
        <v>5.4054054054054057E-2</v>
      </c>
      <c r="E159" s="235">
        <v>0.25</v>
      </c>
      <c r="F159" s="72">
        <v>3.783783783783784E-2</v>
      </c>
      <c r="H159" s="235">
        <v>0.25</v>
      </c>
      <c r="I159" s="72">
        <v>0.4</v>
      </c>
      <c r="K159" s="235">
        <v>-0.3</v>
      </c>
      <c r="L159" s="72">
        <v>5.0561797752808987E-2</v>
      </c>
      <c r="N159" s="235">
        <v>0.1</v>
      </c>
      <c r="O159" s="72">
        <v>4.3478260869565216E-2</v>
      </c>
      <c r="Q159" s="235">
        <v>-0.3</v>
      </c>
      <c r="R159" s="232">
        <v>78.651685393258433</v>
      </c>
      <c r="T159" s="235">
        <v>0.1</v>
      </c>
      <c r="U159" s="232">
        <v>32.608695652173914</v>
      </c>
    </row>
    <row r="160" spans="2:21" x14ac:dyDescent="0.25">
      <c r="B160" s="235">
        <v>0.25</v>
      </c>
      <c r="C160" s="72">
        <v>9.696969696969697E-2</v>
      </c>
      <c r="E160" s="235">
        <v>0.25</v>
      </c>
      <c r="F160" s="72">
        <v>2.4242424242424242E-2</v>
      </c>
      <c r="H160" s="235">
        <v>0.25</v>
      </c>
      <c r="I160" s="72">
        <v>0.5714285714285714</v>
      </c>
      <c r="K160" s="235">
        <v>-0.3</v>
      </c>
      <c r="L160" s="72">
        <v>1.8518518518518517E-2</v>
      </c>
      <c r="N160" s="235">
        <v>0.1</v>
      </c>
      <c r="O160" s="72">
        <v>2.976190476190476E-2</v>
      </c>
      <c r="Q160" s="235">
        <v>-0.3</v>
      </c>
      <c r="R160" s="232">
        <v>18.518518518518519</v>
      </c>
      <c r="T160" s="235">
        <v>0.1</v>
      </c>
      <c r="U160" s="232">
        <v>23.80952380952381</v>
      </c>
    </row>
    <row r="161" spans="2:21" x14ac:dyDescent="0.25">
      <c r="B161" s="235">
        <v>0.25</v>
      </c>
      <c r="C161" s="72">
        <v>4.2253521126760563E-2</v>
      </c>
      <c r="E161" s="235">
        <v>0.25</v>
      </c>
      <c r="F161" s="72">
        <v>3.7558685446009391E-2</v>
      </c>
      <c r="H161" s="235">
        <v>0.25</v>
      </c>
      <c r="I161" s="72">
        <v>0.75</v>
      </c>
      <c r="K161" s="235">
        <v>-0.3</v>
      </c>
      <c r="L161" s="72">
        <v>5.1401869158878503E-2</v>
      </c>
      <c r="N161" s="235">
        <v>0.1</v>
      </c>
      <c r="O161" s="72">
        <v>2.8037383177570093E-2</v>
      </c>
      <c r="Q161" s="235">
        <v>-0.3</v>
      </c>
      <c r="R161" s="232">
        <v>51.401869158878505</v>
      </c>
      <c r="T161" s="235">
        <v>0.1</v>
      </c>
      <c r="U161" s="232">
        <v>37.383177570093459</v>
      </c>
    </row>
    <row r="162" spans="2:21" x14ac:dyDescent="0.25">
      <c r="B162" s="235">
        <v>0.25</v>
      </c>
      <c r="C162" s="72">
        <v>5.5865921787709494E-2</v>
      </c>
      <c r="E162" s="235">
        <v>0.25</v>
      </c>
      <c r="F162" s="72">
        <v>1.6759776536312849E-2</v>
      </c>
      <c r="H162" s="235">
        <v>0.25</v>
      </c>
      <c r="I162" s="72">
        <v>0.6</v>
      </c>
      <c r="K162" s="235">
        <v>-0.3</v>
      </c>
      <c r="L162" s="72">
        <v>2.7322404371584699E-2</v>
      </c>
      <c r="N162" s="235">
        <v>0.1</v>
      </c>
      <c r="O162" s="72">
        <v>1.6853932584269662E-2</v>
      </c>
      <c r="Q162" s="235">
        <v>-0.3</v>
      </c>
      <c r="R162" s="232">
        <v>16.393442622950818</v>
      </c>
      <c r="T162" s="235">
        <v>0.1</v>
      </c>
      <c r="U162" s="232">
        <v>39.325842696629216</v>
      </c>
    </row>
    <row r="163" spans="2:21" x14ac:dyDescent="0.25">
      <c r="B163" s="235">
        <v>0.25</v>
      </c>
      <c r="C163" s="72">
        <v>3.2258064516129031E-2</v>
      </c>
      <c r="E163" s="235">
        <v>0.25</v>
      </c>
      <c r="F163" s="72">
        <v>3.2258064516129031E-2</v>
      </c>
      <c r="H163" s="235">
        <v>0.25</v>
      </c>
      <c r="I163" s="72">
        <v>0.55555555555555558</v>
      </c>
      <c r="K163" s="235">
        <v>-0.3</v>
      </c>
      <c r="L163" s="72">
        <v>4.4692737430167599E-2</v>
      </c>
      <c r="N163" s="235">
        <v>0.1</v>
      </c>
      <c r="O163" s="72">
        <v>4.3243243243243246E-2</v>
      </c>
      <c r="Q163" s="235">
        <v>-0.3</v>
      </c>
      <c r="R163" s="232">
        <v>39.106145251396647</v>
      </c>
      <c r="T163" s="235">
        <v>0.1</v>
      </c>
      <c r="U163" s="232">
        <v>32.432432432432435</v>
      </c>
    </row>
    <row r="164" spans="2:21" x14ac:dyDescent="0.25">
      <c r="B164" s="235">
        <v>0.25</v>
      </c>
      <c r="C164" s="72">
        <v>6.9767441860465115E-2</v>
      </c>
      <c r="E164" s="235">
        <v>0.25</v>
      </c>
      <c r="F164" s="72">
        <v>2.3255813953488372E-2</v>
      </c>
      <c r="H164" s="235">
        <v>0.25</v>
      </c>
      <c r="I164" s="72">
        <v>0.42857142857142855</v>
      </c>
      <c r="K164" s="235">
        <v>-0.3</v>
      </c>
      <c r="L164" s="72">
        <v>6.6350710900473939E-2</v>
      </c>
      <c r="N164" s="235">
        <v>0.1</v>
      </c>
      <c r="O164" s="72">
        <v>2.7906976744186046E-2</v>
      </c>
      <c r="Q164" s="235">
        <v>-0.3</v>
      </c>
      <c r="R164" s="232">
        <v>37.914691943127963</v>
      </c>
      <c r="T164" s="235">
        <v>0.1</v>
      </c>
      <c r="U164" s="232">
        <v>18.604651162790699</v>
      </c>
    </row>
    <row r="165" spans="2:21" x14ac:dyDescent="0.25">
      <c r="B165" s="235">
        <v>0.25</v>
      </c>
      <c r="C165" s="72">
        <v>6.9518716577540107E-2</v>
      </c>
      <c r="E165" s="235">
        <v>0.25</v>
      </c>
      <c r="F165" s="72">
        <v>2.1390374331550801E-2</v>
      </c>
      <c r="H165" s="235">
        <v>0.25</v>
      </c>
      <c r="I165" s="72">
        <v>0.5</v>
      </c>
      <c r="K165" s="235">
        <v>-0.3</v>
      </c>
      <c r="L165" s="72">
        <v>3.8461538461538464E-2</v>
      </c>
      <c r="N165" s="235">
        <v>0.1</v>
      </c>
      <c r="O165" s="72">
        <v>2.1621621621621623E-2</v>
      </c>
      <c r="Q165" s="235">
        <v>-0.3</v>
      </c>
      <c r="R165" s="232">
        <v>27.472527472527471</v>
      </c>
      <c r="T165" s="235">
        <v>0.1</v>
      </c>
      <c r="U165" s="232">
        <v>16.216216216216218</v>
      </c>
    </row>
    <row r="166" spans="2:21" x14ac:dyDescent="0.25">
      <c r="B166" s="235">
        <v>0.25</v>
      </c>
      <c r="C166" s="72">
        <v>6.4676616915422883E-2</v>
      </c>
      <c r="E166" s="235">
        <v>0.25</v>
      </c>
      <c r="F166" s="72">
        <v>2.9850746268656716E-2</v>
      </c>
      <c r="H166" s="235">
        <v>0.25</v>
      </c>
      <c r="I166" s="72">
        <v>1</v>
      </c>
      <c r="K166" s="235">
        <v>-0.3</v>
      </c>
      <c r="L166" s="72">
        <v>4.8128342245989303E-2</v>
      </c>
      <c r="N166" s="235">
        <v>0.1</v>
      </c>
      <c r="O166" s="72">
        <v>3.0769230769230771E-2</v>
      </c>
      <c r="Q166" s="235">
        <v>-0.3</v>
      </c>
      <c r="R166" s="232">
        <v>42.780748663101605</v>
      </c>
      <c r="T166" s="235">
        <v>0.1</v>
      </c>
      <c r="U166" s="232">
        <v>20.512820512820515</v>
      </c>
    </row>
    <row r="167" spans="2:21" x14ac:dyDescent="0.25">
      <c r="B167" s="235">
        <v>0.25</v>
      </c>
      <c r="C167" s="72">
        <v>4.9504950495049507E-2</v>
      </c>
      <c r="E167" s="235">
        <v>0.25</v>
      </c>
      <c r="F167" s="72">
        <v>2.4752475247524754E-2</v>
      </c>
      <c r="H167" s="235">
        <v>0.25</v>
      </c>
      <c r="I167" s="72">
        <v>0.375</v>
      </c>
      <c r="K167" s="235">
        <v>-0.3</v>
      </c>
      <c r="L167" s="72">
        <v>5.0505050505050504E-2</v>
      </c>
      <c r="N167" s="235">
        <v>0.1</v>
      </c>
      <c r="O167" s="72">
        <v>2.4752475247524754E-2</v>
      </c>
      <c r="Q167" s="235">
        <v>-0.3</v>
      </c>
      <c r="R167" s="232">
        <v>30.303030303030305</v>
      </c>
      <c r="T167" s="235">
        <v>0.1</v>
      </c>
      <c r="U167" s="232">
        <v>14.851485148514852</v>
      </c>
    </row>
    <row r="168" spans="2:21" x14ac:dyDescent="0.25">
      <c r="B168" s="235">
        <v>0.25</v>
      </c>
      <c r="C168" s="72">
        <v>6.0109289617486336E-2</v>
      </c>
      <c r="E168" s="235">
        <v>0.25</v>
      </c>
      <c r="F168" s="72">
        <v>3.2786885245901641E-2</v>
      </c>
      <c r="H168" s="235">
        <v>0.25</v>
      </c>
      <c r="I168" s="72">
        <v>0.5714285714285714</v>
      </c>
      <c r="K168" s="235">
        <v>-0.3</v>
      </c>
      <c r="L168" s="72">
        <v>4.3956043956043959E-2</v>
      </c>
      <c r="N168" s="235">
        <v>0.1</v>
      </c>
      <c r="O168" s="72">
        <v>4.8128342245989303E-2</v>
      </c>
      <c r="Q168" s="235">
        <v>-0.3</v>
      </c>
      <c r="R168" s="232">
        <v>21.978021978021978</v>
      </c>
      <c r="T168" s="235">
        <v>0.1</v>
      </c>
      <c r="U168" s="232">
        <v>16.042780748663102</v>
      </c>
    </row>
    <row r="169" spans="2:21" x14ac:dyDescent="0.25">
      <c r="B169" s="235">
        <v>0.25</v>
      </c>
      <c r="C169" s="72">
        <v>4.6153846153846156E-2</v>
      </c>
      <c r="E169" s="235">
        <v>0.25</v>
      </c>
      <c r="F169" s="72">
        <v>4.1025641025641026E-2</v>
      </c>
      <c r="H169" s="235">
        <v>0.25</v>
      </c>
      <c r="I169" s="72">
        <v>0.46153846153846156</v>
      </c>
      <c r="K169" s="235">
        <v>-0.3</v>
      </c>
      <c r="L169" s="72">
        <v>3.8674033149171269E-2</v>
      </c>
      <c r="N169" s="235">
        <v>0.1</v>
      </c>
      <c r="O169" s="72">
        <v>4.060913705583756E-2</v>
      </c>
      <c r="Q169" s="235">
        <v>-0.3</v>
      </c>
      <c r="R169" s="232">
        <v>49.723756906077348</v>
      </c>
      <c r="T169" s="235">
        <v>0.1</v>
      </c>
      <c r="U169" s="232">
        <v>25.380710659898476</v>
      </c>
    </row>
    <row r="170" spans="2:21" x14ac:dyDescent="0.25">
      <c r="B170" s="235">
        <v>0.25</v>
      </c>
      <c r="C170" s="72">
        <v>4.3902439024390241E-2</v>
      </c>
      <c r="E170" s="235">
        <v>0.25</v>
      </c>
      <c r="F170" s="72">
        <v>3.9024390243902439E-2</v>
      </c>
      <c r="H170" s="235">
        <v>0.25</v>
      </c>
      <c r="I170" s="72">
        <v>0.5</v>
      </c>
      <c r="K170" s="235">
        <v>-0.3</v>
      </c>
      <c r="L170" s="72">
        <v>7.0000000000000007E-2</v>
      </c>
      <c r="N170" s="235">
        <v>0.1</v>
      </c>
      <c r="O170" s="72">
        <v>4.784688995215311E-2</v>
      </c>
      <c r="Q170" s="235">
        <v>-0.3</v>
      </c>
      <c r="R170" s="232">
        <v>50</v>
      </c>
      <c r="T170" s="235">
        <v>0.1</v>
      </c>
      <c r="U170" s="232">
        <v>28.708133971291865</v>
      </c>
    </row>
    <row r="171" spans="2:21" x14ac:dyDescent="0.25">
      <c r="B171" s="235">
        <v>0.25</v>
      </c>
      <c r="C171" s="72">
        <v>3.3653846153846152E-2</v>
      </c>
      <c r="E171" s="235">
        <v>0.25</v>
      </c>
      <c r="F171" s="72">
        <v>1.4423076923076924E-2</v>
      </c>
      <c r="H171" s="235">
        <v>0.25</v>
      </c>
      <c r="I171" s="72">
        <v>0.16666666666666666</v>
      </c>
      <c r="K171" s="235">
        <v>-0.3</v>
      </c>
      <c r="L171" s="72">
        <v>3.5000000000000003E-2</v>
      </c>
      <c r="N171" s="235">
        <v>0.1</v>
      </c>
      <c r="O171" s="72">
        <v>1.4423076923076924E-2</v>
      </c>
      <c r="Q171" s="235">
        <v>-0.3</v>
      </c>
      <c r="R171" s="232">
        <v>35</v>
      </c>
      <c r="T171" s="235">
        <v>0.1</v>
      </c>
      <c r="U171" s="232">
        <v>0</v>
      </c>
    </row>
    <row r="172" spans="2:21" x14ac:dyDescent="0.25">
      <c r="B172" s="235">
        <v>0.25</v>
      </c>
      <c r="C172" s="72">
        <v>6.25E-2</v>
      </c>
      <c r="E172" s="235">
        <v>0.25</v>
      </c>
      <c r="F172" s="72">
        <v>4.1666666666666664E-2</v>
      </c>
      <c r="H172" s="235">
        <v>0.25</v>
      </c>
      <c r="I172" s="72">
        <v>0.5</v>
      </c>
      <c r="K172" s="235">
        <v>-0.3</v>
      </c>
      <c r="L172" s="72">
        <v>6.2937062937062943E-2</v>
      </c>
      <c r="N172" s="235">
        <v>0.1</v>
      </c>
      <c r="O172" s="72">
        <v>3.5211267605633804E-2</v>
      </c>
      <c r="Q172" s="235">
        <v>-0.3</v>
      </c>
      <c r="R172" s="232">
        <v>13.986013986013987</v>
      </c>
      <c r="T172" s="235">
        <v>0.1</v>
      </c>
      <c r="U172" s="232">
        <v>21.12676056338028</v>
      </c>
    </row>
    <row r="173" spans="2:21" x14ac:dyDescent="0.25">
      <c r="B173" s="235">
        <v>0.25</v>
      </c>
      <c r="C173" s="72">
        <v>5.027932960893855E-2</v>
      </c>
      <c r="E173" s="235">
        <v>0.25</v>
      </c>
      <c r="F173" s="72">
        <v>2.23463687150838E-2</v>
      </c>
      <c r="H173" s="235">
        <v>0.25</v>
      </c>
      <c r="I173" s="72">
        <v>0.44444444444444442</v>
      </c>
      <c r="K173" s="235">
        <v>-0.3</v>
      </c>
      <c r="L173" s="72">
        <v>2.3255813953488372E-2</v>
      </c>
      <c r="N173" s="235">
        <v>0.1</v>
      </c>
      <c r="O173" s="72">
        <v>2.7932960893854747E-2</v>
      </c>
      <c r="Q173" s="235">
        <v>-0.3</v>
      </c>
      <c r="R173" s="232">
        <v>17.441860465116278</v>
      </c>
      <c r="T173" s="235">
        <v>0.1</v>
      </c>
      <c r="U173" s="232">
        <v>22.346368715083798</v>
      </c>
    </row>
    <row r="174" spans="2:21" x14ac:dyDescent="0.25">
      <c r="B174" s="235">
        <v>0.25</v>
      </c>
      <c r="C174" s="72">
        <v>3.4090909090909088E-2</v>
      </c>
      <c r="E174" s="235">
        <v>0.25</v>
      </c>
      <c r="F174" s="72">
        <v>3.9772727272727272E-2</v>
      </c>
      <c r="H174" s="235">
        <v>0.25</v>
      </c>
      <c r="I174" s="72">
        <v>0.6</v>
      </c>
      <c r="K174" s="235">
        <v>-0.3</v>
      </c>
      <c r="L174" s="72">
        <v>3.9772727272727272E-2</v>
      </c>
      <c r="N174" s="235">
        <v>0.1</v>
      </c>
      <c r="O174" s="72">
        <v>0.04</v>
      </c>
      <c r="Q174" s="235">
        <v>-0.3</v>
      </c>
      <c r="R174" s="232">
        <v>45.454545454545453</v>
      </c>
      <c r="T174" s="235">
        <v>0.1</v>
      </c>
      <c r="U174" s="232">
        <v>40</v>
      </c>
    </row>
    <row r="175" spans="2:21" x14ac:dyDescent="0.25">
      <c r="B175" s="235">
        <v>0.25</v>
      </c>
      <c r="C175" s="72">
        <v>3.015075376884422E-2</v>
      </c>
      <c r="E175" s="235">
        <v>0.25</v>
      </c>
      <c r="F175" s="72">
        <v>5.0251256281407038E-2</v>
      </c>
      <c r="H175" s="235">
        <v>0.25</v>
      </c>
      <c r="I175" s="72">
        <v>0.33333333333333331</v>
      </c>
      <c r="K175" s="235">
        <v>-0.3</v>
      </c>
      <c r="L175" s="72">
        <v>7.8431372549019607E-2</v>
      </c>
      <c r="N175" s="235">
        <v>0.1</v>
      </c>
      <c r="O175" s="72">
        <v>6.0913705583756347E-2</v>
      </c>
      <c r="Q175" s="235">
        <v>-0.3</v>
      </c>
      <c r="R175" s="232">
        <v>49.019607843137258</v>
      </c>
      <c r="T175" s="235">
        <v>0.1</v>
      </c>
      <c r="U175" s="232">
        <v>35.532994923857871</v>
      </c>
    </row>
    <row r="176" spans="2:21" x14ac:dyDescent="0.25">
      <c r="B176" s="235">
        <v>0.25</v>
      </c>
      <c r="C176" s="72">
        <v>4.9261083743842367E-2</v>
      </c>
      <c r="E176" s="235">
        <v>0.25</v>
      </c>
      <c r="F176" s="72">
        <v>3.9408866995073892E-2</v>
      </c>
      <c r="H176" s="235">
        <v>0.25</v>
      </c>
      <c r="I176" s="72">
        <v>0.44444444444444442</v>
      </c>
      <c r="K176" s="235">
        <v>-0.3</v>
      </c>
      <c r="L176" s="72">
        <v>5.7971014492753624E-2</v>
      </c>
      <c r="N176" s="235">
        <v>0.1</v>
      </c>
      <c r="O176" s="72">
        <v>4.4554455445544552E-2</v>
      </c>
      <c r="Q176" s="235">
        <v>-0.3</v>
      </c>
      <c r="R176" s="232">
        <v>24.154589371980677</v>
      </c>
      <c r="T176" s="235">
        <v>0.1</v>
      </c>
      <c r="U176" s="232">
        <v>19.801980198019802</v>
      </c>
    </row>
    <row r="177" spans="2:21" x14ac:dyDescent="0.25">
      <c r="B177" s="235">
        <v>0.25</v>
      </c>
      <c r="C177" s="72">
        <v>3.3333333333333333E-2</v>
      </c>
      <c r="E177" s="235">
        <v>0.25</v>
      </c>
      <c r="F177" s="72">
        <v>1.6666666666666666E-2</v>
      </c>
      <c r="H177" s="235">
        <v>0.25</v>
      </c>
      <c r="I177" s="72">
        <v>0.55555555555555558</v>
      </c>
      <c r="K177" s="235">
        <v>-0.3</v>
      </c>
      <c r="L177" s="72">
        <v>1.1299435028248588E-2</v>
      </c>
      <c r="N177" s="235">
        <v>0.1</v>
      </c>
      <c r="O177" s="72">
        <v>2.2222222222222223E-2</v>
      </c>
      <c r="Q177" s="235">
        <v>-0.3</v>
      </c>
      <c r="R177" s="232">
        <v>33.898305084745765</v>
      </c>
      <c r="T177" s="235">
        <v>0.1</v>
      </c>
      <c r="U177" s="232">
        <v>27.777777777777779</v>
      </c>
    </row>
    <row r="178" spans="2:21" x14ac:dyDescent="0.25">
      <c r="B178" s="235">
        <v>0.25</v>
      </c>
      <c r="C178" s="72">
        <v>4.9723756906077346E-2</v>
      </c>
      <c r="E178" s="235">
        <v>0.25</v>
      </c>
      <c r="F178" s="72">
        <v>2.7624309392265192E-2</v>
      </c>
      <c r="H178" s="235">
        <v>0.25</v>
      </c>
      <c r="I178" s="72">
        <v>0.2</v>
      </c>
      <c r="K178" s="235">
        <v>-0.3</v>
      </c>
      <c r="L178" s="72">
        <v>2.7932960893854747E-2</v>
      </c>
      <c r="N178" s="235">
        <v>0.1</v>
      </c>
      <c r="O178" s="72">
        <v>2.7624309392265192E-2</v>
      </c>
      <c r="Q178" s="235">
        <v>-0.3</v>
      </c>
      <c r="R178" s="232">
        <v>16.759776536312849</v>
      </c>
      <c r="T178" s="235">
        <v>0.1</v>
      </c>
      <c r="U178" s="232">
        <v>11.049723756906078</v>
      </c>
    </row>
    <row r="179" spans="2:21" x14ac:dyDescent="0.25">
      <c r="B179" s="235">
        <v>0.25</v>
      </c>
      <c r="C179" s="72">
        <v>4.1916167664670656E-2</v>
      </c>
      <c r="E179" s="235">
        <v>0.25</v>
      </c>
      <c r="F179" s="72">
        <v>1.1976047904191617E-2</v>
      </c>
      <c r="H179" s="235">
        <v>0.25</v>
      </c>
      <c r="I179" s="72">
        <v>0.5</v>
      </c>
      <c r="K179" s="235">
        <v>-0.3</v>
      </c>
      <c r="L179" s="72">
        <v>3.1055900621118012E-2</v>
      </c>
      <c r="N179" s="235">
        <v>0.1</v>
      </c>
      <c r="O179" s="72">
        <v>2.3952095808383235E-2</v>
      </c>
      <c r="Q179" s="235">
        <v>-0.3</v>
      </c>
      <c r="R179" s="232">
        <v>31.055900621118013</v>
      </c>
      <c r="T179" s="235">
        <v>0.1</v>
      </c>
      <c r="U179" s="232">
        <v>23.952095808383234</v>
      </c>
    </row>
    <row r="180" spans="2:21" x14ac:dyDescent="0.25">
      <c r="B180" s="235">
        <v>0.25</v>
      </c>
      <c r="C180" s="72">
        <v>4.4334975369458129E-2</v>
      </c>
      <c r="E180" s="235">
        <v>0.25</v>
      </c>
      <c r="F180" s="72">
        <v>3.4482758620689655E-2</v>
      </c>
      <c r="H180" s="235">
        <v>0.25</v>
      </c>
      <c r="I180" s="72">
        <v>0.7142857142857143</v>
      </c>
      <c r="K180" s="235">
        <v>-0.3</v>
      </c>
      <c r="L180" s="72">
        <v>5.9701492537313432E-2</v>
      </c>
      <c r="N180" s="235">
        <v>0.1</v>
      </c>
      <c r="O180" s="72">
        <v>4.3902439024390241E-2</v>
      </c>
      <c r="Q180" s="235">
        <v>-0.3</v>
      </c>
      <c r="R180" s="232">
        <v>74.626865671641795</v>
      </c>
      <c r="T180" s="235">
        <v>0.1</v>
      </c>
      <c r="U180" s="232">
        <v>53.658536585365852</v>
      </c>
    </row>
    <row r="181" spans="2:21" x14ac:dyDescent="0.25">
      <c r="B181" s="235">
        <v>0.25</v>
      </c>
      <c r="C181" s="72">
        <v>4.4554455445544552E-2</v>
      </c>
      <c r="E181" s="235">
        <v>0.25</v>
      </c>
      <c r="F181" s="72">
        <v>2.4752475247524754E-2</v>
      </c>
      <c r="H181" s="235">
        <v>0.25</v>
      </c>
      <c r="I181" s="72">
        <v>0.6</v>
      </c>
      <c r="K181" s="235">
        <v>-0.3</v>
      </c>
      <c r="L181" s="72">
        <v>5.4726368159203981E-2</v>
      </c>
      <c r="N181" s="235">
        <v>0.1</v>
      </c>
      <c r="O181" s="72">
        <v>2.4509803921568627E-2</v>
      </c>
      <c r="Q181" s="235">
        <v>-0.3</v>
      </c>
      <c r="R181" s="232">
        <v>44.776119402985074</v>
      </c>
      <c r="T181" s="235">
        <v>0.1</v>
      </c>
      <c r="U181" s="232">
        <v>29.411764705882351</v>
      </c>
    </row>
    <row r="182" spans="2:21" x14ac:dyDescent="0.25">
      <c r="B182" s="235">
        <v>0.25</v>
      </c>
      <c r="C182" s="72">
        <v>0.06</v>
      </c>
      <c r="E182" s="235">
        <v>0.25</v>
      </c>
      <c r="F182" s="72">
        <v>0.04</v>
      </c>
      <c r="H182" s="235">
        <v>0.25</v>
      </c>
      <c r="I182" s="72">
        <v>0.55555555555555558</v>
      </c>
      <c r="K182" s="235">
        <v>-0.3</v>
      </c>
      <c r="L182" s="72">
        <v>5.4455445544554455E-2</v>
      </c>
      <c r="N182" s="235">
        <v>0.1</v>
      </c>
      <c r="O182" s="72">
        <v>3.4313725490196081E-2</v>
      </c>
      <c r="Q182" s="235">
        <v>-0.3</v>
      </c>
      <c r="R182" s="232">
        <v>44.554455445544555</v>
      </c>
      <c r="T182" s="235">
        <v>0.1</v>
      </c>
      <c r="U182" s="232">
        <v>24.509803921568629</v>
      </c>
    </row>
    <row r="183" spans="2:21" x14ac:dyDescent="0.25">
      <c r="B183" s="235">
        <v>0.25</v>
      </c>
      <c r="C183" s="72">
        <v>5.2910052910052907E-2</v>
      </c>
      <c r="E183" s="235">
        <v>0.25</v>
      </c>
      <c r="F183" s="72">
        <v>2.6455026455026454E-2</v>
      </c>
      <c r="H183" s="235">
        <v>0.25</v>
      </c>
      <c r="I183" s="72">
        <v>0.33333333333333331</v>
      </c>
      <c r="K183" s="235">
        <v>-0.3</v>
      </c>
      <c r="L183" s="72">
        <v>3.7433155080213901E-2</v>
      </c>
      <c r="N183" s="235">
        <v>0.1</v>
      </c>
      <c r="O183" s="72">
        <v>2.1164021164021163E-2</v>
      </c>
      <c r="Q183" s="235">
        <v>-0.3</v>
      </c>
      <c r="R183" s="232">
        <v>21.390374331550802</v>
      </c>
      <c r="T183" s="235">
        <v>0.1</v>
      </c>
      <c r="U183" s="232">
        <v>15.873015873015873</v>
      </c>
    </row>
    <row r="184" spans="2:21" x14ac:dyDescent="0.25">
      <c r="B184" s="235">
        <v>0.25</v>
      </c>
      <c r="C184" s="72">
        <v>6.2111801242236024E-2</v>
      </c>
      <c r="E184" s="235">
        <v>0.25</v>
      </c>
      <c r="F184" s="72">
        <v>5.5900621118012424E-2</v>
      </c>
      <c r="H184" s="235">
        <v>0.25</v>
      </c>
      <c r="I184" s="72">
        <v>0.45454545454545453</v>
      </c>
      <c r="K184" s="235">
        <v>-0.3</v>
      </c>
      <c r="L184" s="72">
        <v>6.9182389937106917E-2</v>
      </c>
      <c r="N184" s="235">
        <v>0.1</v>
      </c>
      <c r="O184" s="72">
        <v>5.5555555555555552E-2</v>
      </c>
      <c r="Q184" s="235">
        <v>-0.3</v>
      </c>
      <c r="R184" s="232">
        <v>37.735849056603776</v>
      </c>
      <c r="T184" s="235">
        <v>0.1</v>
      </c>
      <c r="U184" s="232">
        <v>30.864197530864196</v>
      </c>
    </row>
    <row r="185" spans="2:21" x14ac:dyDescent="0.25">
      <c r="B185" s="235">
        <v>0.25</v>
      </c>
      <c r="C185" s="72">
        <v>3.7433155080213901E-2</v>
      </c>
      <c r="E185" s="235">
        <v>0.25</v>
      </c>
      <c r="F185" s="72">
        <v>3.7433155080213901E-2</v>
      </c>
      <c r="H185" s="235">
        <v>0.25</v>
      </c>
      <c r="I185" s="72">
        <v>0.55555555555555558</v>
      </c>
      <c r="K185" s="235">
        <v>-0.3</v>
      </c>
      <c r="L185" s="72">
        <v>4.7619047619047616E-2</v>
      </c>
      <c r="N185" s="235">
        <v>0.1</v>
      </c>
      <c r="O185" s="72">
        <v>4.2553191489361701E-2</v>
      </c>
      <c r="Q185" s="235">
        <v>-0.3</v>
      </c>
      <c r="R185" s="232">
        <v>52.910052910052912</v>
      </c>
      <c r="T185" s="235">
        <v>0.1</v>
      </c>
      <c r="U185" s="232">
        <v>31.914893617021278</v>
      </c>
    </row>
    <row r="186" spans="2:21" x14ac:dyDescent="0.25">
      <c r="B186" s="235">
        <v>0.25</v>
      </c>
      <c r="C186" s="72">
        <v>6.3829787234042548E-2</v>
      </c>
      <c r="E186" s="235">
        <v>0.25</v>
      </c>
      <c r="F186" s="72">
        <v>2.1276595744680851E-2</v>
      </c>
      <c r="H186" s="235">
        <v>0.25</v>
      </c>
      <c r="I186" s="72">
        <v>0.53333333333333333</v>
      </c>
      <c r="K186" s="235">
        <v>-0.3</v>
      </c>
      <c r="L186" s="72">
        <v>3.783783783783784E-2</v>
      </c>
      <c r="N186" s="235">
        <v>0.1</v>
      </c>
      <c r="O186" s="72">
        <v>2.6737967914438502E-2</v>
      </c>
      <c r="Q186" s="235">
        <v>-0.3</v>
      </c>
      <c r="R186" s="232">
        <v>75.675675675675677</v>
      </c>
      <c r="T186" s="235">
        <v>0.1</v>
      </c>
      <c r="U186" s="232">
        <v>58.823529411764703</v>
      </c>
    </row>
    <row r="187" spans="2:21" x14ac:dyDescent="0.25">
      <c r="B187" s="235">
        <v>0.25</v>
      </c>
      <c r="C187" s="72">
        <v>5.128205128205128E-2</v>
      </c>
      <c r="E187" s="235">
        <v>0.25</v>
      </c>
      <c r="F187" s="72">
        <v>3.5897435897435895E-2</v>
      </c>
      <c r="H187" s="235">
        <v>0.25</v>
      </c>
      <c r="I187" s="72">
        <v>0.2857142857142857</v>
      </c>
      <c r="K187" s="235">
        <v>-0.3</v>
      </c>
      <c r="L187" s="72">
        <v>7.7720207253886009E-2</v>
      </c>
      <c r="N187" s="235">
        <v>0.1</v>
      </c>
      <c r="O187" s="72">
        <v>3.1914893617021274E-2</v>
      </c>
      <c r="Q187" s="235">
        <v>-0.3</v>
      </c>
      <c r="R187" s="232">
        <v>31.088082901554404</v>
      </c>
      <c r="T187" s="235">
        <v>0.1</v>
      </c>
      <c r="U187" s="232">
        <v>31.914893617021278</v>
      </c>
    </row>
    <row r="188" spans="2:21" x14ac:dyDescent="0.25">
      <c r="B188" s="235">
        <v>0.25</v>
      </c>
      <c r="C188" s="72">
        <v>5.2910052910052907E-2</v>
      </c>
      <c r="E188" s="235">
        <v>0.25</v>
      </c>
      <c r="F188" s="72">
        <v>4.7619047619047616E-2</v>
      </c>
      <c r="H188" s="235">
        <v>0.25</v>
      </c>
      <c r="I188" s="72">
        <v>0.8</v>
      </c>
      <c r="K188" s="235">
        <v>-0.3</v>
      </c>
      <c r="L188" s="72">
        <v>5.9139784946236562E-2</v>
      </c>
      <c r="N188" s="235">
        <v>0.1</v>
      </c>
      <c r="O188" s="72">
        <v>4.1884816753926704E-2</v>
      </c>
      <c r="Q188" s="235">
        <v>-0.3</v>
      </c>
      <c r="R188" s="232">
        <v>37.634408602150536</v>
      </c>
      <c r="T188" s="235">
        <v>0.1</v>
      </c>
      <c r="U188" s="232">
        <v>36.64921465968586</v>
      </c>
    </row>
    <row r="189" spans="2:21" x14ac:dyDescent="0.25">
      <c r="B189" s="235">
        <v>0.25</v>
      </c>
      <c r="C189" s="72">
        <v>5.7803468208092484E-2</v>
      </c>
      <c r="E189" s="235">
        <v>0.25</v>
      </c>
      <c r="F189" s="72">
        <v>5.7803468208092483E-3</v>
      </c>
      <c r="H189" s="235">
        <v>0.25</v>
      </c>
      <c r="I189" s="72">
        <v>0.8571428571428571</v>
      </c>
      <c r="K189" s="235">
        <v>-0.3</v>
      </c>
      <c r="L189" s="72">
        <v>3.5714285714285712E-2</v>
      </c>
      <c r="N189" s="235">
        <v>0.1</v>
      </c>
      <c r="O189" s="72">
        <v>1.1494252873563218E-2</v>
      </c>
      <c r="Q189" s="235">
        <v>-0.3</v>
      </c>
      <c r="R189" s="232">
        <v>47.61904761904762</v>
      </c>
      <c r="T189" s="235">
        <v>0.1</v>
      </c>
      <c r="U189" s="232">
        <v>45.977011494252871</v>
      </c>
    </row>
    <row r="190" spans="2:21" x14ac:dyDescent="0.25">
      <c r="B190" s="235">
        <v>0.25</v>
      </c>
      <c r="C190" s="72">
        <v>4.5977011494252873E-2</v>
      </c>
      <c r="E190" s="235">
        <v>0.25</v>
      </c>
      <c r="F190" s="72">
        <v>2.2988505747126436E-2</v>
      </c>
      <c r="H190" s="235">
        <v>0.25</v>
      </c>
      <c r="I190" s="72">
        <v>0.75</v>
      </c>
      <c r="K190" s="235">
        <v>-0.3</v>
      </c>
      <c r="L190" s="72">
        <v>4.0697674418604654E-2</v>
      </c>
      <c r="N190" s="235">
        <v>0.1</v>
      </c>
      <c r="O190" s="72">
        <v>2.8901734104046242E-2</v>
      </c>
      <c r="Q190" s="235">
        <v>-0.3</v>
      </c>
      <c r="R190" s="232">
        <v>11.627906976744185</v>
      </c>
      <c r="T190" s="235">
        <v>0.1</v>
      </c>
      <c r="U190" s="232">
        <v>17.341040462427745</v>
      </c>
    </row>
    <row r="191" spans="2:21" x14ac:dyDescent="0.25">
      <c r="B191" s="235">
        <v>0.25</v>
      </c>
      <c r="C191" s="72">
        <v>7.0270270270270274E-2</v>
      </c>
      <c r="E191" s="235">
        <v>0.25</v>
      </c>
      <c r="F191" s="72">
        <v>1.0810810810810811E-2</v>
      </c>
      <c r="H191" s="235">
        <v>0.25</v>
      </c>
      <c r="I191" s="72">
        <v>0.625</v>
      </c>
      <c r="K191" s="235">
        <v>-0.3</v>
      </c>
      <c r="L191" s="72">
        <v>2.2099447513812154E-2</v>
      </c>
      <c r="N191" s="235">
        <v>0.1</v>
      </c>
      <c r="O191" s="72">
        <v>1.0638297872340425E-2</v>
      </c>
      <c r="Q191" s="235">
        <v>-0.3</v>
      </c>
      <c r="R191" s="232">
        <v>22.099447513812155</v>
      </c>
      <c r="T191" s="235">
        <v>0.1</v>
      </c>
      <c r="U191" s="232">
        <v>21.276595744680851</v>
      </c>
    </row>
    <row r="192" spans="2:21" x14ac:dyDescent="0.25">
      <c r="B192" s="235">
        <v>0.25</v>
      </c>
      <c r="C192" s="72">
        <v>3.7735849056603772E-2</v>
      </c>
      <c r="E192" s="235">
        <v>0.25</v>
      </c>
      <c r="F192" s="72">
        <v>3.3018867924528301E-2</v>
      </c>
      <c r="H192" s="235">
        <v>0.25</v>
      </c>
      <c r="I192" s="72">
        <v>0.76923076923076927</v>
      </c>
      <c r="K192" s="235">
        <v>-0.3</v>
      </c>
      <c r="L192" s="72">
        <v>5.7142857142857141E-2</v>
      </c>
      <c r="N192" s="235">
        <v>0.1</v>
      </c>
      <c r="O192" s="72">
        <v>2.8846153846153848E-2</v>
      </c>
      <c r="Q192" s="235">
        <v>-0.3</v>
      </c>
      <c r="R192" s="232">
        <v>61.904761904761905</v>
      </c>
      <c r="T192" s="235">
        <v>0.1</v>
      </c>
      <c r="U192" s="232">
        <v>57.692307692307693</v>
      </c>
    </row>
    <row r="193" spans="2:21" x14ac:dyDescent="0.25">
      <c r="B193" s="235">
        <v>0.25</v>
      </c>
      <c r="C193" s="72">
        <v>4.4444444444444446E-2</v>
      </c>
      <c r="E193" s="235">
        <v>0.25</v>
      </c>
      <c r="F193" s="72">
        <v>4.4444444444444446E-2</v>
      </c>
      <c r="H193" s="235">
        <v>0.25</v>
      </c>
      <c r="I193" s="72">
        <v>0.44444444444444442</v>
      </c>
      <c r="K193" s="235">
        <v>-0.3</v>
      </c>
      <c r="L193" s="72">
        <v>7.4712643678160925E-2</v>
      </c>
      <c r="N193" s="235">
        <v>0.1</v>
      </c>
      <c r="O193" s="72">
        <v>6.1111111111111109E-2</v>
      </c>
      <c r="Q193" s="235">
        <v>-0.3</v>
      </c>
      <c r="R193" s="232">
        <v>45.977011494252871</v>
      </c>
      <c r="T193" s="235">
        <v>0.1</v>
      </c>
      <c r="U193" s="232">
        <v>27.777777777777779</v>
      </c>
    </row>
    <row r="194" spans="2:21" x14ac:dyDescent="0.25">
      <c r="B194" s="235">
        <v>0.25</v>
      </c>
      <c r="C194" s="72">
        <v>5.6994818652849742E-2</v>
      </c>
      <c r="E194" s="235">
        <v>0.25</v>
      </c>
      <c r="F194" s="72">
        <v>3.6269430051813469E-2</v>
      </c>
      <c r="H194" s="235">
        <v>0.25</v>
      </c>
      <c r="I194" s="72">
        <v>0.5</v>
      </c>
      <c r="K194" s="235">
        <v>-0.3</v>
      </c>
      <c r="L194" s="72">
        <v>4.8648648648648651E-2</v>
      </c>
      <c r="N194" s="235">
        <v>0.1</v>
      </c>
      <c r="O194" s="72">
        <v>4.1884816753926704E-2</v>
      </c>
      <c r="Q194" s="235">
        <v>-0.3</v>
      </c>
      <c r="R194" s="232">
        <v>21.621621621621621</v>
      </c>
      <c r="T194" s="235">
        <v>0.1</v>
      </c>
      <c r="U194" s="232">
        <v>26.178010471204189</v>
      </c>
    </row>
    <row r="195" spans="2:21" x14ac:dyDescent="0.25">
      <c r="B195" s="235">
        <v>0.25</v>
      </c>
      <c r="C195" s="72">
        <v>5.113636363636364E-2</v>
      </c>
      <c r="E195" s="235">
        <v>0.25</v>
      </c>
      <c r="F195" s="72">
        <v>3.9772727272727272E-2</v>
      </c>
      <c r="H195" s="235">
        <v>0.25</v>
      </c>
      <c r="I195" s="72">
        <v>0.625</v>
      </c>
      <c r="K195" s="235">
        <v>-0.3</v>
      </c>
      <c r="L195" s="72">
        <v>2.8901734104046242E-2</v>
      </c>
      <c r="N195" s="235">
        <v>0.1</v>
      </c>
      <c r="O195" s="72">
        <v>0.04</v>
      </c>
      <c r="Q195" s="235">
        <v>-0.3</v>
      </c>
      <c r="R195" s="232">
        <v>28.901734104046241</v>
      </c>
      <c r="T195" s="235">
        <v>0.1</v>
      </c>
      <c r="U195" s="232">
        <v>28.571428571428573</v>
      </c>
    </row>
    <row r="196" spans="2:21" x14ac:dyDescent="0.25">
      <c r="B196" s="235">
        <v>0.25</v>
      </c>
      <c r="C196" s="72">
        <v>3.3519553072625698E-2</v>
      </c>
      <c r="E196" s="235">
        <v>0.25</v>
      </c>
      <c r="F196" s="72">
        <v>1.6759776536312849E-2</v>
      </c>
      <c r="H196" s="235">
        <v>0.25</v>
      </c>
      <c r="I196" s="72">
        <v>0.625</v>
      </c>
      <c r="K196" s="235">
        <v>-0.3</v>
      </c>
      <c r="L196" s="72">
        <v>7.1428571428571425E-2</v>
      </c>
      <c r="N196" s="235">
        <v>0.1</v>
      </c>
      <c r="O196" s="72">
        <v>2.247191011235955E-2</v>
      </c>
      <c r="Q196" s="235">
        <v>-0.3</v>
      </c>
      <c r="R196" s="232">
        <v>59.523809523809526</v>
      </c>
      <c r="T196" s="235">
        <v>0.1</v>
      </c>
      <c r="U196" s="232">
        <v>39.325842696629216</v>
      </c>
    </row>
    <row r="197" spans="2:21" x14ac:dyDescent="0.25">
      <c r="B197" s="235">
        <v>0.25</v>
      </c>
      <c r="C197" s="72">
        <v>2.3255813953488372E-2</v>
      </c>
      <c r="E197" s="235">
        <v>0.25</v>
      </c>
      <c r="F197" s="72">
        <v>2.7906976744186046E-2</v>
      </c>
      <c r="H197" s="235">
        <v>0.25</v>
      </c>
      <c r="I197" s="72">
        <v>0.75</v>
      </c>
      <c r="K197" s="235">
        <v>-0.3</v>
      </c>
      <c r="L197" s="72">
        <v>3.9408866995073892E-2</v>
      </c>
      <c r="N197" s="235">
        <v>0.1</v>
      </c>
      <c r="O197" s="72">
        <v>2.843601895734597E-2</v>
      </c>
      <c r="Q197" s="235">
        <v>-0.3</v>
      </c>
      <c r="R197" s="232">
        <v>59.11330049261084</v>
      </c>
      <c r="T197" s="235">
        <v>0.1</v>
      </c>
      <c r="U197" s="232">
        <v>52.132701421800945</v>
      </c>
    </row>
    <row r="198" spans="2:21" x14ac:dyDescent="0.25">
      <c r="B198" s="235">
        <v>0.25</v>
      </c>
      <c r="C198" s="72">
        <v>5.0251256281407038E-2</v>
      </c>
      <c r="E198" s="235">
        <v>0.25</v>
      </c>
      <c r="F198" s="72">
        <v>3.015075376884422E-2</v>
      </c>
      <c r="H198" s="235">
        <v>0.25</v>
      </c>
      <c r="I198" s="72">
        <v>0.66666666666666663</v>
      </c>
      <c r="K198" s="235">
        <v>-0.3</v>
      </c>
      <c r="L198" s="72">
        <v>4.736842105263158E-2</v>
      </c>
      <c r="N198" s="235">
        <v>0.1</v>
      </c>
      <c r="O198" s="72">
        <v>3.4653465346534656E-2</v>
      </c>
      <c r="Q198" s="235">
        <v>-0.3</v>
      </c>
      <c r="R198" s="232">
        <v>47.368421052631582</v>
      </c>
      <c r="T198" s="235">
        <v>0.1</v>
      </c>
      <c r="U198" s="232">
        <v>39.603960396039604</v>
      </c>
    </row>
    <row r="199" spans="2:21" x14ac:dyDescent="0.25">
      <c r="B199" s="235">
        <v>0.25</v>
      </c>
      <c r="C199" s="72">
        <v>4.6875E-2</v>
      </c>
      <c r="E199" s="235">
        <v>0.25</v>
      </c>
      <c r="F199" s="72">
        <v>5.2083333333333336E-2</v>
      </c>
      <c r="H199" s="235">
        <v>0.25</v>
      </c>
      <c r="I199" s="72">
        <v>0.44444444444444442</v>
      </c>
      <c r="K199" s="235">
        <v>-0.3</v>
      </c>
      <c r="L199" s="72">
        <v>0.05</v>
      </c>
      <c r="N199" s="235">
        <v>0.1</v>
      </c>
      <c r="O199" s="72">
        <v>5.0761421319796954E-2</v>
      </c>
      <c r="Q199" s="235">
        <v>-0.3</v>
      </c>
      <c r="R199" s="232">
        <v>25</v>
      </c>
      <c r="T199" s="235">
        <v>0.1</v>
      </c>
      <c r="U199" s="232">
        <v>20.304568527918782</v>
      </c>
    </row>
    <row r="200" spans="2:21" x14ac:dyDescent="0.25">
      <c r="B200" s="235">
        <v>0.25</v>
      </c>
      <c r="C200" s="72">
        <v>7.1856287425149698E-2</v>
      </c>
      <c r="E200" s="235">
        <v>0.25</v>
      </c>
      <c r="F200" s="72">
        <v>2.3952095808383235E-2</v>
      </c>
      <c r="H200" s="235">
        <v>0.25</v>
      </c>
      <c r="I200" s="72">
        <v>0.33333333333333331</v>
      </c>
      <c r="K200" s="235">
        <v>-0.3</v>
      </c>
      <c r="L200" s="72">
        <v>1.7964071856287425E-2</v>
      </c>
      <c r="N200" s="235">
        <v>0.1</v>
      </c>
      <c r="O200" s="72">
        <v>3.0120481927710843E-2</v>
      </c>
      <c r="Q200" s="235">
        <v>-0.3</v>
      </c>
      <c r="R200" s="232">
        <v>23.952095808383234</v>
      </c>
      <c r="T200" s="235">
        <v>0.1</v>
      </c>
      <c r="U200" s="232">
        <v>12.048192771084338</v>
      </c>
    </row>
    <row r="201" spans="2:21" x14ac:dyDescent="0.25">
      <c r="B201" s="235">
        <v>0.25</v>
      </c>
      <c r="C201" s="72">
        <v>6.8181818181818177E-2</v>
      </c>
      <c r="E201" s="235">
        <v>0.25</v>
      </c>
      <c r="F201" s="72">
        <v>2.8409090909090908E-2</v>
      </c>
      <c r="H201" s="235">
        <v>0.25</v>
      </c>
      <c r="I201" s="72">
        <v>0.625</v>
      </c>
      <c r="K201" s="235">
        <v>-0.3</v>
      </c>
      <c r="L201" s="72">
        <v>1.1235955056179775E-2</v>
      </c>
      <c r="N201" s="235">
        <v>0.1</v>
      </c>
      <c r="O201" s="72">
        <v>3.954802259887006E-2</v>
      </c>
      <c r="Q201" s="235">
        <v>-0.3</v>
      </c>
      <c r="R201" s="232">
        <v>33.707865168539328</v>
      </c>
      <c r="T201" s="235">
        <v>0.1</v>
      </c>
      <c r="U201" s="232">
        <v>33.898305084745765</v>
      </c>
    </row>
    <row r="202" spans="2:21" x14ac:dyDescent="0.25">
      <c r="B202" s="235">
        <v>0.25</v>
      </c>
      <c r="C202" s="72">
        <v>4.2780748663101602E-2</v>
      </c>
      <c r="E202" s="235">
        <v>0.25</v>
      </c>
      <c r="F202" s="72">
        <v>2.6737967914438502E-2</v>
      </c>
      <c r="H202" s="235">
        <v>0.25</v>
      </c>
      <c r="I202" s="72">
        <v>0.75</v>
      </c>
      <c r="K202" s="235">
        <v>-0.3</v>
      </c>
      <c r="L202" s="72">
        <v>5.113636363636364E-2</v>
      </c>
      <c r="N202" s="235">
        <v>0.1</v>
      </c>
      <c r="O202" s="72">
        <v>3.1914893617021274E-2</v>
      </c>
      <c r="Q202" s="235">
        <v>-0.3</v>
      </c>
      <c r="R202" s="232">
        <v>56.81818181818182</v>
      </c>
      <c r="T202" s="235">
        <v>0.1</v>
      </c>
      <c r="U202" s="232">
        <v>37.234042553191486</v>
      </c>
    </row>
    <row r="203" spans="2:21" x14ac:dyDescent="0.25">
      <c r="B203" s="235">
        <v>0.25</v>
      </c>
      <c r="C203" s="72">
        <v>5.8823529411764705E-2</v>
      </c>
      <c r="E203" s="235">
        <v>0.25</v>
      </c>
      <c r="F203" s="72">
        <v>4.4117647058823532E-2</v>
      </c>
      <c r="H203" s="235">
        <v>0.25</v>
      </c>
      <c r="I203" s="72">
        <v>0.4375</v>
      </c>
      <c r="K203" s="235">
        <v>-0.3</v>
      </c>
      <c r="L203" s="72">
        <v>0.1</v>
      </c>
      <c r="N203" s="235">
        <v>0.1</v>
      </c>
      <c r="O203" s="72">
        <v>6.3725490196078427E-2</v>
      </c>
      <c r="Q203" s="235">
        <v>-0.3</v>
      </c>
      <c r="R203" s="232">
        <v>75</v>
      </c>
      <c r="T203" s="235">
        <v>0.1</v>
      </c>
      <c r="U203" s="232">
        <v>34.313725490196077</v>
      </c>
    </row>
    <row r="204" spans="2:21" x14ac:dyDescent="0.25">
      <c r="B204" s="235">
        <v>0.5</v>
      </c>
      <c r="C204" s="72">
        <v>3.125E-2</v>
      </c>
      <c r="E204" s="235">
        <v>0.5</v>
      </c>
      <c r="F204" s="72">
        <v>1.5625E-2</v>
      </c>
      <c r="H204" s="235">
        <v>0.5</v>
      </c>
      <c r="I204" s="72">
        <v>0.625</v>
      </c>
      <c r="K204" s="235">
        <v>-0.2</v>
      </c>
      <c r="L204" s="72">
        <v>2.5906735751295335E-2</v>
      </c>
      <c r="N204" s="235">
        <v>0.2</v>
      </c>
      <c r="O204" s="72">
        <v>2.072538860103627E-2</v>
      </c>
      <c r="Q204" s="235">
        <v>-0.2</v>
      </c>
      <c r="R204" s="232">
        <v>25.906735751295336</v>
      </c>
      <c r="T204" s="235">
        <v>0.2</v>
      </c>
      <c r="U204" s="232">
        <v>31.088082901554404</v>
      </c>
    </row>
    <row r="205" spans="2:21" x14ac:dyDescent="0.25">
      <c r="B205" s="235">
        <v>0.5</v>
      </c>
      <c r="C205" s="72">
        <v>4.1666666666666664E-2</v>
      </c>
      <c r="E205" s="235">
        <v>0.5</v>
      </c>
      <c r="F205" s="72">
        <v>3.6458333333333336E-2</v>
      </c>
      <c r="H205" s="235">
        <v>0.5</v>
      </c>
      <c r="I205" s="72">
        <v>0.7</v>
      </c>
      <c r="K205" s="235">
        <v>-0.2</v>
      </c>
      <c r="L205" s="72">
        <v>6.2827225130890049E-2</v>
      </c>
      <c r="N205" s="235">
        <v>0.2</v>
      </c>
      <c r="O205" s="72">
        <v>3.6458333333333336E-2</v>
      </c>
      <c r="Q205" s="235">
        <v>-0.2</v>
      </c>
      <c r="R205" s="232">
        <v>26.178010471204189</v>
      </c>
      <c r="T205" s="235">
        <v>0.2</v>
      </c>
      <c r="U205" s="232">
        <v>31.25</v>
      </c>
    </row>
    <row r="206" spans="2:21" x14ac:dyDescent="0.25">
      <c r="B206" s="235">
        <v>0.5</v>
      </c>
      <c r="C206" s="72">
        <v>3.553299492385787E-2</v>
      </c>
      <c r="E206" s="235">
        <v>0.5</v>
      </c>
      <c r="F206" s="72">
        <v>3.553299492385787E-2</v>
      </c>
      <c r="H206" s="235">
        <v>0.5</v>
      </c>
      <c r="I206" s="72">
        <v>0.7142857142857143</v>
      </c>
      <c r="K206" s="235">
        <v>-0.2</v>
      </c>
      <c r="L206" s="72">
        <v>5.2910052910052907E-2</v>
      </c>
      <c r="N206" s="235">
        <v>0.2</v>
      </c>
      <c r="O206" s="72">
        <v>5.181347150259067E-2</v>
      </c>
      <c r="Q206" s="235">
        <v>-0.2</v>
      </c>
      <c r="R206" s="232">
        <v>37.037037037037038</v>
      </c>
      <c r="T206" s="235">
        <v>0.2</v>
      </c>
      <c r="U206" s="232">
        <v>31.088082901554404</v>
      </c>
    </row>
    <row r="207" spans="2:21" x14ac:dyDescent="0.25">
      <c r="B207" s="235">
        <v>0.5</v>
      </c>
      <c r="C207" s="72">
        <v>3.2608695652173912E-2</v>
      </c>
      <c r="E207" s="235">
        <v>0.5</v>
      </c>
      <c r="F207" s="72">
        <v>4.8913043478260872E-2</v>
      </c>
      <c r="H207" s="235">
        <v>0.5</v>
      </c>
      <c r="I207" s="72">
        <v>0.53333333333333333</v>
      </c>
      <c r="K207" s="235">
        <v>-0.2</v>
      </c>
      <c r="L207" s="72">
        <v>7.1038251366120214E-2</v>
      </c>
      <c r="N207" s="235">
        <v>0.2</v>
      </c>
      <c r="O207" s="72">
        <v>5.2356020942408377E-2</v>
      </c>
      <c r="Q207" s="235">
        <v>-0.2</v>
      </c>
      <c r="R207" s="232">
        <v>43.715846994535518</v>
      </c>
      <c r="T207" s="235">
        <v>0.2</v>
      </c>
      <c r="U207" s="232">
        <v>31.413612565445025</v>
      </c>
    </row>
    <row r="208" spans="2:21" x14ac:dyDescent="0.25">
      <c r="B208" s="235">
        <v>0.5</v>
      </c>
      <c r="C208" s="72">
        <v>2.0408163265306121E-2</v>
      </c>
      <c r="E208" s="235">
        <v>0.5</v>
      </c>
      <c r="F208" s="72">
        <v>4.0816326530612242E-2</v>
      </c>
      <c r="H208" s="235">
        <v>0.5</v>
      </c>
      <c r="I208" s="72">
        <v>0.75</v>
      </c>
      <c r="K208" s="235">
        <v>-0.2</v>
      </c>
      <c r="L208" s="72">
        <v>3.6649214659685861E-2</v>
      </c>
      <c r="N208" s="235">
        <v>0.2</v>
      </c>
      <c r="O208" s="72">
        <v>3.0769230769230771E-2</v>
      </c>
      <c r="Q208" s="235">
        <v>-0.2</v>
      </c>
      <c r="R208" s="232">
        <v>26.178010471204189</v>
      </c>
      <c r="T208" s="235">
        <v>0.2</v>
      </c>
      <c r="U208" s="232">
        <v>25.641025641025642</v>
      </c>
    </row>
    <row r="209" spans="2:21" x14ac:dyDescent="0.25">
      <c r="B209" s="235">
        <v>0.5</v>
      </c>
      <c r="C209" s="72">
        <v>4.4198895027624308E-2</v>
      </c>
      <c r="E209" s="235">
        <v>0.5</v>
      </c>
      <c r="F209" s="72">
        <v>2.7624309392265192E-2</v>
      </c>
      <c r="H209" s="235">
        <v>0.5</v>
      </c>
      <c r="I209" s="72">
        <v>0.2857142857142857</v>
      </c>
      <c r="K209" s="235">
        <v>-0.2</v>
      </c>
      <c r="L209" s="72">
        <v>4.1884816753926704E-2</v>
      </c>
      <c r="N209" s="235">
        <v>0.2</v>
      </c>
      <c r="O209" s="72">
        <v>2.197802197802198E-2</v>
      </c>
      <c r="Q209" s="235">
        <v>-0.2</v>
      </c>
      <c r="R209" s="232">
        <v>10.471204188481675</v>
      </c>
      <c r="T209" s="235">
        <v>0.2</v>
      </c>
      <c r="U209" s="232">
        <v>16.483516483516482</v>
      </c>
    </row>
    <row r="210" spans="2:21" x14ac:dyDescent="0.25">
      <c r="B210" s="235">
        <v>0.5</v>
      </c>
      <c r="C210" s="72">
        <v>2.3121387283236993E-2</v>
      </c>
      <c r="E210" s="235">
        <v>0.5</v>
      </c>
      <c r="F210" s="72">
        <v>4.6242774566473986E-2</v>
      </c>
      <c r="H210" s="235">
        <v>0.5</v>
      </c>
      <c r="I210" s="72">
        <v>0.42857142857142855</v>
      </c>
      <c r="K210" s="235">
        <v>-0.2</v>
      </c>
      <c r="L210" s="72">
        <v>4.1176470588235294E-2</v>
      </c>
      <c r="N210" s="235">
        <v>0.2</v>
      </c>
      <c r="O210" s="72">
        <v>5.7471264367816091E-2</v>
      </c>
      <c r="Q210" s="235">
        <v>-0.2</v>
      </c>
      <c r="R210" s="232">
        <v>29.411764705882351</v>
      </c>
      <c r="T210" s="235">
        <v>0.2</v>
      </c>
      <c r="U210" s="232">
        <v>28.735632183908045</v>
      </c>
    </row>
    <row r="211" spans="2:21" x14ac:dyDescent="0.25">
      <c r="B211" s="235">
        <v>0.5</v>
      </c>
      <c r="C211" s="72">
        <v>2.1164021164021163E-2</v>
      </c>
      <c r="E211" s="235">
        <v>0.5</v>
      </c>
      <c r="F211" s="72">
        <v>2.6455026455026454E-2</v>
      </c>
      <c r="H211" s="235">
        <v>0.5</v>
      </c>
      <c r="I211" s="72">
        <v>0.52941176470588236</v>
      </c>
      <c r="K211" s="235">
        <v>-0.2</v>
      </c>
      <c r="L211" s="72">
        <v>5.4054054054054057E-2</v>
      </c>
      <c r="N211" s="235">
        <v>0.2</v>
      </c>
      <c r="O211" s="72">
        <v>4.1884816753926704E-2</v>
      </c>
      <c r="Q211" s="235">
        <v>-0.2</v>
      </c>
      <c r="R211" s="232">
        <v>59.45945945945946</v>
      </c>
      <c r="T211" s="235">
        <v>0.2</v>
      </c>
      <c r="U211" s="232">
        <v>52.356020942408378</v>
      </c>
    </row>
    <row r="212" spans="2:21" x14ac:dyDescent="0.25">
      <c r="B212" s="235">
        <v>0.5</v>
      </c>
      <c r="C212" s="72">
        <v>3.3333333333333333E-2</v>
      </c>
      <c r="E212" s="235">
        <v>0.5</v>
      </c>
      <c r="F212" s="72">
        <v>1.6666666666666666E-2</v>
      </c>
      <c r="H212" s="235">
        <v>0.5</v>
      </c>
      <c r="I212" s="72">
        <v>0.45454545454545453</v>
      </c>
      <c r="K212" s="235">
        <v>-0.2</v>
      </c>
      <c r="L212" s="72">
        <v>4.2780748663101602E-2</v>
      </c>
      <c r="N212" s="235">
        <v>0.2</v>
      </c>
      <c r="O212" s="72">
        <v>3.825136612021858E-2</v>
      </c>
      <c r="Q212" s="235">
        <v>-0.2</v>
      </c>
      <c r="R212" s="232">
        <v>16.042780748663102</v>
      </c>
      <c r="T212" s="235">
        <v>0.2</v>
      </c>
      <c r="U212" s="232">
        <v>32.786885245901637</v>
      </c>
    </row>
    <row r="213" spans="2:21" x14ac:dyDescent="0.25">
      <c r="B213" s="235">
        <v>0.5</v>
      </c>
      <c r="C213" s="72">
        <v>1.5463917525773196E-2</v>
      </c>
      <c r="E213" s="235">
        <v>0.5</v>
      </c>
      <c r="F213" s="72">
        <v>2.0618556701030927E-2</v>
      </c>
      <c r="H213" s="235">
        <v>0.5</v>
      </c>
      <c r="I213" s="72">
        <v>0.5</v>
      </c>
      <c r="K213" s="235">
        <v>-0.2</v>
      </c>
      <c r="L213" s="72">
        <v>3.6269430051813469E-2</v>
      </c>
      <c r="N213" s="235">
        <v>0.2</v>
      </c>
      <c r="O213" s="72">
        <v>2.564102564102564E-2</v>
      </c>
      <c r="Q213" s="235">
        <v>-0.2</v>
      </c>
      <c r="R213" s="232">
        <v>41.450777202072537</v>
      </c>
      <c r="T213" s="235">
        <v>0.2</v>
      </c>
      <c r="U213" s="232">
        <v>30.76923076923077</v>
      </c>
    </row>
    <row r="214" spans="2:21" x14ac:dyDescent="0.25">
      <c r="B214" s="235">
        <v>0.5</v>
      </c>
      <c r="C214" s="72">
        <v>2.7777777777777776E-2</v>
      </c>
      <c r="E214" s="235">
        <v>0.5</v>
      </c>
      <c r="F214" s="72">
        <v>4.4444444444444446E-2</v>
      </c>
      <c r="H214" s="235">
        <v>0.5</v>
      </c>
      <c r="I214" s="72">
        <v>0.44444444444444442</v>
      </c>
      <c r="K214" s="235">
        <v>-0.2</v>
      </c>
      <c r="L214" s="72">
        <v>6.9767441860465115E-2</v>
      </c>
      <c r="N214" s="235">
        <v>0.2</v>
      </c>
      <c r="O214" s="72">
        <v>4.3715846994535519E-2</v>
      </c>
      <c r="Q214" s="235">
        <v>-0.2</v>
      </c>
      <c r="R214" s="232">
        <v>40.697674418604649</v>
      </c>
      <c r="T214" s="235">
        <v>0.2</v>
      </c>
      <c r="U214" s="232">
        <v>27.3224043715847</v>
      </c>
    </row>
    <row r="215" spans="2:21" x14ac:dyDescent="0.25">
      <c r="B215" s="235">
        <v>0.5</v>
      </c>
      <c r="C215" s="72">
        <v>1.9801980198019802E-2</v>
      </c>
      <c r="E215" s="235">
        <v>0.5</v>
      </c>
      <c r="F215" s="72">
        <v>2.9702970297029702E-2</v>
      </c>
      <c r="H215" s="235">
        <v>0.5</v>
      </c>
      <c r="I215" s="72">
        <v>0.6</v>
      </c>
      <c r="K215" s="235">
        <v>-0.2</v>
      </c>
      <c r="L215" s="72">
        <v>4.6875E-2</v>
      </c>
      <c r="N215" s="235">
        <v>0.2</v>
      </c>
      <c r="O215" s="72">
        <v>3.9603960396039604E-2</v>
      </c>
      <c r="Q215" s="235">
        <v>-0.2</v>
      </c>
      <c r="R215" s="232">
        <v>31.25</v>
      </c>
      <c r="T215" s="235">
        <v>0.2</v>
      </c>
      <c r="U215" s="232">
        <v>19.801980198019802</v>
      </c>
    </row>
    <row r="216" spans="2:21" x14ac:dyDescent="0.25">
      <c r="B216" s="235">
        <v>0.5</v>
      </c>
      <c r="C216" s="72">
        <v>1.5228426395939087E-2</v>
      </c>
      <c r="E216" s="235">
        <v>0.5</v>
      </c>
      <c r="F216" s="72">
        <v>2.5380710659898477E-2</v>
      </c>
      <c r="H216" s="235">
        <v>0.5</v>
      </c>
      <c r="I216" s="72">
        <v>0.4</v>
      </c>
      <c r="K216" s="235">
        <v>-0.2</v>
      </c>
      <c r="L216" s="72">
        <v>3.553299492385787E-2</v>
      </c>
      <c r="N216" s="235">
        <v>0.2</v>
      </c>
      <c r="O216" s="72">
        <v>2.0202020202020204E-2</v>
      </c>
      <c r="Q216" s="235">
        <v>-0.2</v>
      </c>
      <c r="R216" s="232">
        <v>15.228426395939087</v>
      </c>
      <c r="T216" s="235">
        <v>0.2</v>
      </c>
      <c r="U216" s="232">
        <v>10.1010101010101</v>
      </c>
    </row>
    <row r="217" spans="2:21" x14ac:dyDescent="0.25">
      <c r="B217" s="235">
        <v>0.5</v>
      </c>
      <c r="C217" s="72">
        <v>3.2786885245901641E-2</v>
      </c>
      <c r="E217" s="235">
        <v>0.5</v>
      </c>
      <c r="F217" s="72">
        <v>1.6393442622950821E-2</v>
      </c>
      <c r="H217" s="235">
        <v>0.5</v>
      </c>
      <c r="I217" s="72">
        <v>0.4</v>
      </c>
      <c r="K217" s="235">
        <v>-0.2</v>
      </c>
      <c r="L217" s="72">
        <v>2.185792349726776E-2</v>
      </c>
      <c r="N217" s="235">
        <v>0.2</v>
      </c>
      <c r="O217" s="72">
        <v>1.6574585635359115E-2</v>
      </c>
      <c r="Q217" s="235">
        <v>-0.2</v>
      </c>
      <c r="R217" s="232">
        <v>16.393442622950818</v>
      </c>
      <c r="T217" s="235">
        <v>0.2</v>
      </c>
      <c r="U217" s="232">
        <v>16.574585635359117</v>
      </c>
    </row>
    <row r="218" spans="2:21" x14ac:dyDescent="0.25">
      <c r="B218" s="235">
        <v>0.5</v>
      </c>
      <c r="C218" s="72">
        <v>3.0769230769230771E-2</v>
      </c>
      <c r="E218" s="235">
        <v>0.5</v>
      </c>
      <c r="F218" s="72">
        <v>3.0769230769230771E-2</v>
      </c>
      <c r="H218" s="235">
        <v>0.5</v>
      </c>
      <c r="I218" s="72">
        <v>0.45454545454545453</v>
      </c>
      <c r="K218" s="235">
        <v>-0.2</v>
      </c>
      <c r="L218" s="72">
        <v>3.0303030303030304E-2</v>
      </c>
      <c r="N218" s="235">
        <v>0.2</v>
      </c>
      <c r="O218" s="72">
        <v>3.5000000000000003E-2</v>
      </c>
      <c r="Q218" s="235">
        <v>-0.2</v>
      </c>
      <c r="R218" s="232">
        <v>20.202020202020201</v>
      </c>
      <c r="T218" s="235">
        <v>0.2</v>
      </c>
      <c r="U218" s="232">
        <v>25</v>
      </c>
    </row>
    <row r="219" spans="2:21" x14ac:dyDescent="0.25">
      <c r="B219" s="235">
        <v>0.5</v>
      </c>
      <c r="C219" s="72">
        <v>1.7341040462427744E-2</v>
      </c>
      <c r="E219" s="235">
        <v>0.5</v>
      </c>
      <c r="F219" s="72">
        <v>1.1560693641618497E-2</v>
      </c>
      <c r="H219" s="235">
        <v>0.5</v>
      </c>
      <c r="I219" s="72">
        <v>0.54545454545454541</v>
      </c>
      <c r="K219" s="235">
        <v>-0.2</v>
      </c>
      <c r="L219" s="72">
        <v>4.046242774566474E-2</v>
      </c>
      <c r="N219" s="235">
        <v>0.2</v>
      </c>
      <c r="O219" s="72">
        <v>1.7441860465116279E-2</v>
      </c>
      <c r="Q219" s="235">
        <v>-0.2</v>
      </c>
      <c r="R219" s="232">
        <v>34.682080924855491</v>
      </c>
      <c r="T219" s="235">
        <v>0.2</v>
      </c>
      <c r="U219" s="232">
        <v>46.511627906976742</v>
      </c>
    </row>
    <row r="220" spans="2:21" x14ac:dyDescent="0.25">
      <c r="B220" s="235">
        <v>0.5</v>
      </c>
      <c r="C220" s="72">
        <v>4.3478260869565216E-2</v>
      </c>
      <c r="E220" s="235">
        <v>0.5</v>
      </c>
      <c r="F220" s="72">
        <v>3.2608695652173912E-2</v>
      </c>
      <c r="H220" s="235">
        <v>0.5</v>
      </c>
      <c r="I220" s="72">
        <v>0.66666666666666663</v>
      </c>
      <c r="K220" s="235">
        <v>-0.2</v>
      </c>
      <c r="L220" s="72">
        <v>4.4198895027624308E-2</v>
      </c>
      <c r="N220" s="235">
        <v>0.2</v>
      </c>
      <c r="O220" s="72">
        <v>4.3715846994535519E-2</v>
      </c>
      <c r="Q220" s="235">
        <v>-0.2</v>
      </c>
      <c r="R220" s="232">
        <v>27.624309392265193</v>
      </c>
      <c r="T220" s="235">
        <v>0.2</v>
      </c>
      <c r="U220" s="232">
        <v>54.644808743169399</v>
      </c>
    </row>
    <row r="221" spans="2:21" x14ac:dyDescent="0.25">
      <c r="B221" s="235">
        <v>0.5</v>
      </c>
      <c r="C221" s="72">
        <v>4.060913705583756E-2</v>
      </c>
      <c r="E221" s="235">
        <v>0.5</v>
      </c>
      <c r="F221" s="72">
        <v>2.030456852791878E-2</v>
      </c>
      <c r="H221" s="235">
        <v>0.5</v>
      </c>
      <c r="I221" s="72">
        <v>0.5</v>
      </c>
      <c r="K221" s="235">
        <v>-0.2</v>
      </c>
      <c r="L221" s="72">
        <v>4.6875E-2</v>
      </c>
      <c r="N221" s="235">
        <v>0.2</v>
      </c>
      <c r="O221" s="72">
        <v>4.5454545454545456E-2</v>
      </c>
      <c r="Q221" s="235">
        <v>-0.2</v>
      </c>
      <c r="R221" s="232">
        <v>41.666666666666664</v>
      </c>
      <c r="T221" s="235">
        <v>0.2</v>
      </c>
      <c r="U221" s="232">
        <v>45.454545454545453</v>
      </c>
    </row>
    <row r="222" spans="2:21" x14ac:dyDescent="0.25">
      <c r="B222" s="235">
        <v>0.5</v>
      </c>
      <c r="C222" s="72">
        <v>3.7234042553191488E-2</v>
      </c>
      <c r="E222" s="235">
        <v>0.5</v>
      </c>
      <c r="F222" s="72">
        <v>2.6595744680851064E-2</v>
      </c>
      <c r="H222" s="235">
        <v>0.5</v>
      </c>
      <c r="I222" s="72">
        <v>0.38461538461538464</v>
      </c>
      <c r="K222" s="235">
        <v>-0.2</v>
      </c>
      <c r="L222" s="72">
        <v>4.1025641025641026E-2</v>
      </c>
      <c r="N222" s="235">
        <v>0.2</v>
      </c>
      <c r="O222" s="72">
        <v>3.7037037037037035E-2</v>
      </c>
      <c r="Q222" s="235">
        <v>-0.2</v>
      </c>
      <c r="R222" s="232">
        <v>20.512820512820515</v>
      </c>
      <c r="T222" s="235">
        <v>0.2</v>
      </c>
      <c r="U222" s="232">
        <v>26.455026455026456</v>
      </c>
    </row>
    <row r="223" spans="2:21" x14ac:dyDescent="0.25">
      <c r="B223" s="235">
        <v>0.5</v>
      </c>
      <c r="C223" s="72">
        <v>4.790419161676647E-2</v>
      </c>
      <c r="E223" s="235">
        <v>0.5</v>
      </c>
      <c r="F223" s="72">
        <v>1.7964071856287425E-2</v>
      </c>
      <c r="H223" s="235">
        <v>0.5</v>
      </c>
      <c r="I223" s="72">
        <v>0.33333333333333331</v>
      </c>
      <c r="K223" s="235">
        <v>-0.2</v>
      </c>
      <c r="L223" s="72">
        <v>4.1666666666666664E-2</v>
      </c>
      <c r="N223" s="235">
        <v>0.2</v>
      </c>
      <c r="O223" s="72">
        <v>2.2988505747126436E-2</v>
      </c>
      <c r="Q223" s="235">
        <v>-0.2</v>
      </c>
      <c r="R223" s="232">
        <v>11.904761904761905</v>
      </c>
      <c r="T223" s="235">
        <v>0.2</v>
      </c>
      <c r="U223" s="232">
        <v>11.494252873563218</v>
      </c>
    </row>
    <row r="224" spans="2:21" x14ac:dyDescent="0.25">
      <c r="B224" s="235">
        <v>0.5</v>
      </c>
      <c r="C224" s="72">
        <v>3.7037037037037035E-2</v>
      </c>
      <c r="E224" s="235">
        <v>0.5</v>
      </c>
      <c r="F224" s="72">
        <v>1.5873015873015872E-2</v>
      </c>
      <c r="H224" s="235">
        <v>0.5</v>
      </c>
      <c r="I224" s="72">
        <v>0.625</v>
      </c>
      <c r="K224" s="235">
        <v>-0.2</v>
      </c>
      <c r="L224" s="72">
        <v>1.6574585635359115E-2</v>
      </c>
      <c r="N224" s="235">
        <v>0.2</v>
      </c>
      <c r="O224" s="72">
        <v>2.1276595744680851E-2</v>
      </c>
      <c r="Q224" s="235">
        <v>-0.2</v>
      </c>
      <c r="R224" s="232">
        <v>38.674033149171272</v>
      </c>
      <c r="T224" s="235">
        <v>0.2</v>
      </c>
      <c r="U224" s="232">
        <v>26.595744680851062</v>
      </c>
    </row>
    <row r="225" spans="2:21" x14ac:dyDescent="0.25">
      <c r="B225" s="235">
        <v>0.5</v>
      </c>
      <c r="C225" s="72">
        <v>2.5125628140703519E-2</v>
      </c>
      <c r="E225" s="235">
        <v>0.5</v>
      </c>
      <c r="F225" s="72">
        <v>2.5125628140703519E-2</v>
      </c>
      <c r="H225" s="235">
        <v>0.5</v>
      </c>
      <c r="I225" s="72">
        <v>0.4</v>
      </c>
      <c r="K225" s="235">
        <v>-0.2</v>
      </c>
      <c r="L225" s="72">
        <v>3.0769230769230771E-2</v>
      </c>
      <c r="N225" s="235">
        <v>0.2</v>
      </c>
      <c r="O225" s="72">
        <v>2.564102564102564E-2</v>
      </c>
      <c r="Q225" s="235">
        <v>-0.2</v>
      </c>
      <c r="R225" s="232">
        <v>20.512820512820515</v>
      </c>
      <c r="T225" s="235">
        <v>0.2</v>
      </c>
      <c r="U225" s="232">
        <v>20.512820512820515</v>
      </c>
    </row>
    <row r="226" spans="2:21" x14ac:dyDescent="0.25">
      <c r="B226" s="235">
        <v>0.5</v>
      </c>
      <c r="C226" s="72">
        <v>3.553299492385787E-2</v>
      </c>
      <c r="E226" s="235">
        <v>0.5</v>
      </c>
      <c r="F226" s="72">
        <v>2.030456852791878E-2</v>
      </c>
      <c r="H226" s="235">
        <v>0.5</v>
      </c>
      <c r="I226" s="72">
        <v>0.55555555555555558</v>
      </c>
      <c r="K226" s="235">
        <v>-0.2</v>
      </c>
      <c r="L226" s="72">
        <v>2.9850746268656716E-2</v>
      </c>
      <c r="N226" s="235">
        <v>0.2</v>
      </c>
      <c r="O226" s="72">
        <v>2.030456852791878E-2</v>
      </c>
      <c r="Q226" s="235">
        <v>-0.2</v>
      </c>
      <c r="R226" s="232">
        <v>39.800995024875618</v>
      </c>
      <c r="T226" s="235">
        <v>0.2</v>
      </c>
      <c r="U226" s="232">
        <v>40.609137055837564</v>
      </c>
    </row>
    <row r="227" spans="2:21" x14ac:dyDescent="0.25">
      <c r="B227" s="235">
        <v>0.5</v>
      </c>
      <c r="C227" s="72">
        <v>4.3478260869565216E-2</v>
      </c>
      <c r="E227" s="235">
        <v>0.5</v>
      </c>
      <c r="F227" s="72">
        <v>2.717391304347826E-2</v>
      </c>
      <c r="H227" s="235">
        <v>0.5</v>
      </c>
      <c r="I227" s="72">
        <v>0.22222222222222221</v>
      </c>
      <c r="K227" s="235">
        <v>-0.2</v>
      </c>
      <c r="L227" s="72">
        <v>4.9450549450549448E-2</v>
      </c>
      <c r="N227" s="235">
        <v>0.2</v>
      </c>
      <c r="O227" s="72">
        <v>4.3243243243243246E-2</v>
      </c>
      <c r="Q227" s="235">
        <v>-0.2</v>
      </c>
      <c r="R227" s="232">
        <v>32.967032967032964</v>
      </c>
      <c r="T227" s="235">
        <v>0.2</v>
      </c>
      <c r="U227" s="232">
        <v>16.216216216216218</v>
      </c>
    </row>
    <row r="228" spans="2:21" x14ac:dyDescent="0.25">
      <c r="B228" s="235">
        <v>0.5</v>
      </c>
      <c r="C228" s="72">
        <v>2.4875621890547265E-2</v>
      </c>
      <c r="E228" s="235">
        <v>0.5</v>
      </c>
      <c r="F228" s="72">
        <v>2.4875621890547265E-2</v>
      </c>
      <c r="H228" s="235">
        <v>0.5</v>
      </c>
      <c r="I228" s="72">
        <v>0.75</v>
      </c>
      <c r="K228" s="235">
        <v>-0.2</v>
      </c>
      <c r="L228" s="72">
        <v>4.0816326530612242E-2</v>
      </c>
      <c r="N228" s="235">
        <v>0.2</v>
      </c>
      <c r="O228" s="72">
        <v>3.4653465346534656E-2</v>
      </c>
      <c r="Q228" s="235">
        <v>-0.2</v>
      </c>
      <c r="R228" s="232">
        <v>25.510204081632654</v>
      </c>
      <c r="T228" s="235">
        <v>0.2</v>
      </c>
      <c r="U228" s="232">
        <v>19.801980198019802</v>
      </c>
    </row>
    <row r="229" spans="2:21" x14ac:dyDescent="0.25">
      <c r="B229" s="235">
        <v>0.5</v>
      </c>
      <c r="C229" s="72">
        <v>2.5510204081632654E-2</v>
      </c>
      <c r="E229" s="235">
        <v>0.5</v>
      </c>
      <c r="F229" s="72">
        <v>2.5510204081632654E-2</v>
      </c>
      <c r="H229" s="235">
        <v>0.5</v>
      </c>
      <c r="I229" s="72">
        <v>0.25</v>
      </c>
      <c r="K229" s="235">
        <v>-0.2</v>
      </c>
      <c r="L229" s="72">
        <v>3.2432432432432434E-2</v>
      </c>
      <c r="N229" s="235">
        <v>0.2</v>
      </c>
      <c r="O229" s="72">
        <v>3.1088082901554404E-2</v>
      </c>
      <c r="Q229" s="235">
        <v>-0.2</v>
      </c>
      <c r="R229" s="232">
        <v>59.45945945945946</v>
      </c>
      <c r="T229" s="235">
        <v>0.2</v>
      </c>
      <c r="U229" s="232">
        <v>36.269430051813472</v>
      </c>
    </row>
    <row r="230" spans="2:21" x14ac:dyDescent="0.25">
      <c r="B230" s="235">
        <v>0.5</v>
      </c>
      <c r="C230" s="72">
        <v>3.1914893617021274E-2</v>
      </c>
      <c r="E230" s="235">
        <v>0.5</v>
      </c>
      <c r="F230" s="72">
        <v>4.2553191489361701E-2</v>
      </c>
      <c r="H230" s="235">
        <v>0.5</v>
      </c>
      <c r="I230" s="72">
        <v>0.44444444444444442</v>
      </c>
      <c r="K230" s="235">
        <v>-0.2</v>
      </c>
      <c r="L230" s="72">
        <v>4.3243243243243246E-2</v>
      </c>
      <c r="N230" s="235">
        <v>0.2</v>
      </c>
      <c r="O230" s="72">
        <v>4.2553191489361701E-2</v>
      </c>
      <c r="Q230" s="235">
        <v>-0.2</v>
      </c>
      <c r="R230" s="232">
        <v>37.837837837837839</v>
      </c>
      <c r="T230" s="235">
        <v>0.2</v>
      </c>
      <c r="U230" s="232">
        <v>37.234042553191486</v>
      </c>
    </row>
    <row r="231" spans="2:21" x14ac:dyDescent="0.25">
      <c r="B231" s="235">
        <v>0.5</v>
      </c>
      <c r="C231" s="72">
        <v>2.7322404371584699E-2</v>
      </c>
      <c r="E231" s="235">
        <v>0.5</v>
      </c>
      <c r="F231" s="72">
        <v>4.3715846994535519E-2</v>
      </c>
      <c r="H231" s="235">
        <v>0.5</v>
      </c>
      <c r="I231" s="72">
        <v>0.66666666666666663</v>
      </c>
      <c r="K231" s="235">
        <v>-0.2</v>
      </c>
      <c r="L231" s="72">
        <v>6.043956043956044E-2</v>
      </c>
      <c r="N231" s="235">
        <v>0.2</v>
      </c>
      <c r="O231" s="72">
        <v>4.8648648648648651E-2</v>
      </c>
      <c r="Q231" s="235">
        <v>-0.2</v>
      </c>
      <c r="R231" s="232">
        <v>21.978021978021978</v>
      </c>
      <c r="T231" s="235">
        <v>0.2</v>
      </c>
      <c r="U231" s="232">
        <v>21.621621621621621</v>
      </c>
    </row>
    <row r="232" spans="2:21" x14ac:dyDescent="0.25">
      <c r="B232" s="235">
        <v>0.5</v>
      </c>
      <c r="C232" s="72">
        <v>2.5380710659898477E-2</v>
      </c>
      <c r="E232" s="235">
        <v>0.5</v>
      </c>
      <c r="F232" s="72">
        <v>2.5380710659898477E-2</v>
      </c>
      <c r="H232" s="235">
        <v>0.5</v>
      </c>
      <c r="I232" s="72">
        <v>0.53846153846153844</v>
      </c>
      <c r="K232" s="235">
        <v>-0.2</v>
      </c>
      <c r="L232" s="72">
        <v>3.4653465346534656E-2</v>
      </c>
      <c r="N232" s="235">
        <v>0.2</v>
      </c>
      <c r="O232" s="72">
        <v>0.03</v>
      </c>
      <c r="Q232" s="235">
        <v>-0.2</v>
      </c>
      <c r="R232" s="232">
        <v>24.752475247524753</v>
      </c>
      <c r="T232" s="235">
        <v>0.2</v>
      </c>
      <c r="U232" s="232">
        <v>30</v>
      </c>
    </row>
    <row r="233" spans="2:21" x14ac:dyDescent="0.25">
      <c r="B233" s="235">
        <v>0.5</v>
      </c>
      <c r="C233" s="72">
        <v>4.6783625730994149E-2</v>
      </c>
      <c r="E233" s="235">
        <v>0.5</v>
      </c>
      <c r="F233" s="72">
        <v>1.7543859649122806E-2</v>
      </c>
      <c r="H233" s="235">
        <v>0.5</v>
      </c>
      <c r="I233" s="72">
        <v>0.4</v>
      </c>
      <c r="K233" s="235">
        <v>-0.2</v>
      </c>
      <c r="L233" s="72">
        <v>2.9239766081871343E-2</v>
      </c>
      <c r="N233" s="235">
        <v>0.2</v>
      </c>
      <c r="O233" s="72">
        <v>4.1176470588235294E-2</v>
      </c>
      <c r="Q233" s="235">
        <v>-0.2</v>
      </c>
      <c r="R233" s="232">
        <v>29.239766081871345</v>
      </c>
      <c r="T233" s="235">
        <v>0.2</v>
      </c>
      <c r="U233" s="232">
        <v>41.176470588235297</v>
      </c>
    </row>
    <row r="234" spans="2:21" x14ac:dyDescent="0.25">
      <c r="B234" s="235">
        <v>0.5</v>
      </c>
      <c r="C234" s="72">
        <v>2.247191011235955E-2</v>
      </c>
      <c r="E234" s="235">
        <v>0.5</v>
      </c>
      <c r="F234" s="72">
        <v>2.8089887640449437E-2</v>
      </c>
      <c r="H234" s="235">
        <v>0.5</v>
      </c>
      <c r="I234" s="72">
        <v>0.33333333333333331</v>
      </c>
      <c r="K234" s="235">
        <v>-0.2</v>
      </c>
      <c r="L234" s="72">
        <v>4.5714285714285714E-2</v>
      </c>
      <c r="N234" s="235">
        <v>0.2</v>
      </c>
      <c r="O234" s="72">
        <v>2.185792349726776E-2</v>
      </c>
      <c r="Q234" s="235">
        <v>-0.2</v>
      </c>
      <c r="R234" s="232">
        <v>11.428571428571429</v>
      </c>
      <c r="T234" s="235">
        <v>0.2</v>
      </c>
      <c r="U234" s="232">
        <v>10.928961748633879</v>
      </c>
    </row>
    <row r="235" spans="2:21" x14ac:dyDescent="0.25">
      <c r="B235" s="235">
        <v>0.5</v>
      </c>
      <c r="C235" s="72">
        <v>4.6875E-2</v>
      </c>
      <c r="E235" s="235">
        <v>0.5</v>
      </c>
      <c r="F235" s="72">
        <v>1.5625E-2</v>
      </c>
      <c r="H235" s="235">
        <v>0.5</v>
      </c>
      <c r="I235" s="72">
        <v>0.4</v>
      </c>
      <c r="K235" s="235">
        <v>-0.2</v>
      </c>
      <c r="L235" s="72">
        <v>3.5897435897435895E-2</v>
      </c>
      <c r="N235" s="235">
        <v>0.2</v>
      </c>
      <c r="O235" s="72">
        <v>3.0456852791878174E-2</v>
      </c>
      <c r="Q235" s="235">
        <v>-0.2</v>
      </c>
      <c r="R235" s="232">
        <v>46.153846153846153</v>
      </c>
      <c r="T235" s="235">
        <v>0.2</v>
      </c>
      <c r="U235" s="232">
        <v>15.228426395939087</v>
      </c>
    </row>
    <row r="236" spans="2:21" x14ac:dyDescent="0.25">
      <c r="B236" s="235">
        <v>0.5</v>
      </c>
      <c r="C236" s="72">
        <v>4.060913705583756E-2</v>
      </c>
      <c r="E236" s="235">
        <v>0.5</v>
      </c>
      <c r="F236" s="72">
        <v>2.5380710659898477E-2</v>
      </c>
      <c r="H236" s="235">
        <v>0.5</v>
      </c>
      <c r="I236" s="72">
        <v>0.2857142857142857</v>
      </c>
      <c r="K236" s="235">
        <v>-0.2</v>
      </c>
      <c r="L236" s="72">
        <v>3.5714285714285712E-2</v>
      </c>
      <c r="N236" s="235">
        <v>0.2</v>
      </c>
      <c r="O236" s="72">
        <v>2.5510204081632654E-2</v>
      </c>
      <c r="Q236" s="235">
        <v>-0.2</v>
      </c>
      <c r="R236" s="232">
        <v>35.714285714285715</v>
      </c>
      <c r="T236" s="235">
        <v>0.2</v>
      </c>
      <c r="U236" s="232">
        <v>25.510204081632654</v>
      </c>
    </row>
    <row r="237" spans="2:21" x14ac:dyDescent="0.25">
      <c r="B237" s="235">
        <v>0.5</v>
      </c>
      <c r="C237" s="72">
        <v>3.3333333333333333E-2</v>
      </c>
      <c r="E237" s="235">
        <v>0.5</v>
      </c>
      <c r="F237" s="72">
        <v>2.2222222222222223E-2</v>
      </c>
      <c r="H237" s="235">
        <v>0.5</v>
      </c>
      <c r="I237" s="72">
        <v>0.16666666666666666</v>
      </c>
      <c r="K237" s="235">
        <v>-0.2</v>
      </c>
      <c r="L237" s="72">
        <v>3.9325842696629212E-2</v>
      </c>
      <c r="N237" s="235">
        <v>0.2</v>
      </c>
      <c r="O237" s="72">
        <v>2.185792349726776E-2</v>
      </c>
      <c r="Q237" s="235">
        <v>-0.2</v>
      </c>
      <c r="R237" s="232">
        <v>11.235955056179776</v>
      </c>
      <c r="T237" s="235">
        <v>0.2</v>
      </c>
      <c r="U237" s="232">
        <v>10.928961748633879</v>
      </c>
    </row>
    <row r="238" spans="2:21" x14ac:dyDescent="0.25">
      <c r="B238" s="235">
        <v>0.5</v>
      </c>
      <c r="C238" s="72">
        <v>1.5544041450777202E-2</v>
      </c>
      <c r="E238" s="235">
        <v>0.5</v>
      </c>
      <c r="F238" s="72">
        <v>4.145077720207254E-2</v>
      </c>
      <c r="H238" s="235">
        <v>0.5</v>
      </c>
      <c r="I238" s="72">
        <v>0.54545454545454541</v>
      </c>
      <c r="K238" s="235">
        <v>-0.2</v>
      </c>
      <c r="L238" s="72">
        <v>2.6881720430107527E-2</v>
      </c>
      <c r="N238" s="235">
        <v>0.2</v>
      </c>
      <c r="O238" s="72">
        <v>3.6269430051813469E-2</v>
      </c>
      <c r="Q238" s="235">
        <v>-0.2</v>
      </c>
      <c r="R238" s="232">
        <v>26.881720430107528</v>
      </c>
      <c r="T238" s="235">
        <v>0.2</v>
      </c>
      <c r="U238" s="232">
        <v>36.269430051813472</v>
      </c>
    </row>
    <row r="239" spans="2:21" x14ac:dyDescent="0.25">
      <c r="B239" s="235">
        <v>0.5</v>
      </c>
      <c r="C239" s="72">
        <v>0.03</v>
      </c>
      <c r="E239" s="235">
        <v>0.5</v>
      </c>
      <c r="F239" s="72">
        <v>0.03</v>
      </c>
      <c r="H239" s="235">
        <v>0.5</v>
      </c>
      <c r="I239" s="72">
        <v>0.4</v>
      </c>
      <c r="K239" s="235">
        <v>-0.2</v>
      </c>
      <c r="L239" s="72">
        <v>5.9701492537313432E-2</v>
      </c>
      <c r="N239" s="235">
        <v>0.2</v>
      </c>
      <c r="O239" s="72">
        <v>4.0201005025125629E-2</v>
      </c>
      <c r="Q239" s="235">
        <v>-0.2</v>
      </c>
      <c r="R239" s="232">
        <v>19.900497512437809</v>
      </c>
      <c r="T239" s="235">
        <v>0.2</v>
      </c>
      <c r="U239" s="232">
        <v>10.050251256281408</v>
      </c>
    </row>
    <row r="240" spans="2:21" x14ac:dyDescent="0.25">
      <c r="B240" s="235">
        <v>0.5</v>
      </c>
      <c r="C240" s="72">
        <v>3.5087719298245612E-2</v>
      </c>
      <c r="E240" s="235">
        <v>0.5</v>
      </c>
      <c r="F240" s="72">
        <v>2.3391812865497075E-2</v>
      </c>
      <c r="H240" s="235">
        <v>0.5</v>
      </c>
      <c r="I240" s="72">
        <v>0</v>
      </c>
      <c r="K240" s="235">
        <v>-0.2</v>
      </c>
      <c r="L240" s="72">
        <v>2.9940119760479042E-2</v>
      </c>
      <c r="N240" s="235">
        <v>0.2</v>
      </c>
      <c r="O240" s="72">
        <v>2.3668639053254437E-2</v>
      </c>
      <c r="Q240" s="235">
        <v>-0.2</v>
      </c>
      <c r="R240" s="232">
        <v>17.964071856287426</v>
      </c>
      <c r="T240" s="235">
        <v>0.2</v>
      </c>
      <c r="U240" s="232">
        <v>11.834319526627219</v>
      </c>
    </row>
    <row r="241" spans="2:21" x14ac:dyDescent="0.25">
      <c r="B241" s="235">
        <v>0.5</v>
      </c>
      <c r="C241" s="72">
        <v>4.8387096774193547E-2</v>
      </c>
      <c r="E241" s="235">
        <v>0.5</v>
      </c>
      <c r="F241" s="72">
        <v>2.6881720430107527E-2</v>
      </c>
      <c r="H241" s="235">
        <v>0.5</v>
      </c>
      <c r="I241" s="72">
        <v>0.63636363636363635</v>
      </c>
      <c r="K241" s="235">
        <v>-0.2</v>
      </c>
      <c r="L241" s="72">
        <v>4.2105263157894736E-2</v>
      </c>
      <c r="N241" s="235">
        <v>0.2</v>
      </c>
      <c r="O241" s="72">
        <v>3.6458333333333336E-2</v>
      </c>
      <c r="Q241" s="235">
        <v>-0.2</v>
      </c>
      <c r="R241" s="232">
        <v>36.842105263157897</v>
      </c>
      <c r="T241" s="235">
        <v>0.2</v>
      </c>
      <c r="U241" s="232">
        <v>41.666666666666664</v>
      </c>
    </row>
    <row r="242" spans="2:21" x14ac:dyDescent="0.25">
      <c r="B242" s="235">
        <v>0.5</v>
      </c>
      <c r="C242" s="72">
        <v>3.7634408602150539E-2</v>
      </c>
      <c r="E242" s="235">
        <v>0.5</v>
      </c>
      <c r="F242" s="72">
        <v>1.6129032258064516E-2</v>
      </c>
      <c r="H242" s="235">
        <v>0.5</v>
      </c>
      <c r="I242" s="72">
        <v>0.66666666666666663</v>
      </c>
      <c r="K242" s="235">
        <v>-0.2</v>
      </c>
      <c r="L242" s="72">
        <v>2.7027027027027029E-2</v>
      </c>
      <c r="N242" s="235">
        <v>0.2</v>
      </c>
      <c r="O242" s="72">
        <v>2.6595744680851064E-2</v>
      </c>
      <c r="Q242" s="235">
        <v>-0.2</v>
      </c>
      <c r="R242" s="232">
        <v>54.054054054054056</v>
      </c>
      <c r="T242" s="235">
        <v>0.2</v>
      </c>
      <c r="U242" s="232">
        <v>53.191489361702125</v>
      </c>
    </row>
    <row r="243" spans="2:21" x14ac:dyDescent="0.25">
      <c r="B243" s="235">
        <v>0.5</v>
      </c>
      <c r="C243" s="72">
        <v>5.8823529411764705E-2</v>
      </c>
      <c r="E243" s="235">
        <v>0.5</v>
      </c>
      <c r="F243" s="72">
        <v>2.3529411764705882E-2</v>
      </c>
      <c r="H243" s="235">
        <v>0.5</v>
      </c>
      <c r="I243" s="72">
        <v>0.14285714285714285</v>
      </c>
      <c r="K243" s="235">
        <v>-0.2</v>
      </c>
      <c r="L243" s="72">
        <v>3.5087719298245612E-2</v>
      </c>
      <c r="N243" s="235">
        <v>0.2</v>
      </c>
      <c r="O243" s="72">
        <v>2.3529411764705882E-2</v>
      </c>
      <c r="Q243" s="235">
        <v>-0.2</v>
      </c>
      <c r="R243" s="232">
        <v>29.239766081871345</v>
      </c>
      <c r="T243" s="235">
        <v>0.2</v>
      </c>
      <c r="U243" s="232">
        <v>5.882352941176471</v>
      </c>
    </row>
    <row r="244" spans="2:21" x14ac:dyDescent="0.25">
      <c r="B244" s="235">
        <v>0.5</v>
      </c>
      <c r="C244" s="72">
        <v>2.564102564102564E-2</v>
      </c>
      <c r="E244" s="235">
        <v>0.5</v>
      </c>
      <c r="F244" s="72">
        <v>3.0769230769230771E-2</v>
      </c>
      <c r="H244" s="235">
        <v>0.5</v>
      </c>
      <c r="I244" s="72">
        <v>0.72727272727272729</v>
      </c>
      <c r="K244" s="235">
        <v>-0.2</v>
      </c>
      <c r="L244" s="72">
        <v>3.7037037037037035E-2</v>
      </c>
      <c r="N244" s="235">
        <v>0.2</v>
      </c>
      <c r="O244" s="72">
        <v>3.6269430051813469E-2</v>
      </c>
      <c r="Q244" s="235">
        <v>-0.2</v>
      </c>
      <c r="R244" s="232">
        <v>42.328042328042329</v>
      </c>
      <c r="T244" s="235">
        <v>0.2</v>
      </c>
      <c r="U244" s="232">
        <v>41.450777202072537</v>
      </c>
    </row>
    <row r="245" spans="2:21" x14ac:dyDescent="0.25">
      <c r="B245" s="235">
        <v>0.5</v>
      </c>
      <c r="C245" s="72">
        <v>2.5773195876288658E-2</v>
      </c>
      <c r="E245" s="235">
        <v>0.5</v>
      </c>
      <c r="F245" s="72">
        <v>1.0309278350515464E-2</v>
      </c>
      <c r="H245" s="235">
        <v>0.5</v>
      </c>
      <c r="I245" s="72">
        <v>0.5</v>
      </c>
      <c r="K245" s="235">
        <v>-0.2</v>
      </c>
      <c r="L245" s="72">
        <v>1.020408163265306E-2</v>
      </c>
      <c r="N245" s="235">
        <v>0.2</v>
      </c>
      <c r="O245" s="72">
        <v>1.5544041450777202E-2</v>
      </c>
      <c r="Q245" s="235">
        <v>-0.2</v>
      </c>
      <c r="R245" s="232">
        <v>30.612244897959183</v>
      </c>
      <c r="T245" s="235">
        <v>0.2</v>
      </c>
      <c r="U245" s="232">
        <v>20.725388601036268</v>
      </c>
    </row>
    <row r="246" spans="2:21" x14ac:dyDescent="0.25">
      <c r="B246" s="235">
        <v>0.5</v>
      </c>
      <c r="C246" s="72">
        <v>5.3475935828877004E-2</v>
      </c>
      <c r="E246" s="235">
        <v>0.5</v>
      </c>
      <c r="F246" s="72">
        <v>2.1390374331550801E-2</v>
      </c>
      <c r="H246" s="235">
        <v>0.5</v>
      </c>
      <c r="I246" s="72">
        <v>0.8571428571428571</v>
      </c>
      <c r="K246" s="235">
        <v>-0.2</v>
      </c>
      <c r="L246" s="72">
        <v>4.8913043478260872E-2</v>
      </c>
      <c r="N246" s="235">
        <v>0.2</v>
      </c>
      <c r="O246" s="72">
        <v>2.6595744680851064E-2</v>
      </c>
      <c r="Q246" s="235">
        <v>-0.2</v>
      </c>
      <c r="R246" s="232">
        <v>43.478260869565219</v>
      </c>
      <c r="T246" s="235">
        <v>0.2</v>
      </c>
      <c r="U246" s="232">
        <v>26.595744680851062</v>
      </c>
    </row>
    <row r="247" spans="2:21" x14ac:dyDescent="0.25">
      <c r="B247" s="235">
        <v>0.5</v>
      </c>
      <c r="C247" s="72">
        <v>2.0100502512562814E-2</v>
      </c>
      <c r="E247" s="235">
        <v>0.5</v>
      </c>
      <c r="F247" s="72">
        <v>2.5125628140703519E-2</v>
      </c>
      <c r="H247" s="235">
        <v>0.5</v>
      </c>
      <c r="I247" s="72">
        <v>0.44444444444444442</v>
      </c>
      <c r="K247" s="235">
        <v>-0.2</v>
      </c>
      <c r="L247" s="72">
        <v>6.030150753768844E-2</v>
      </c>
      <c r="N247" s="235">
        <v>0.2</v>
      </c>
      <c r="O247" s="72">
        <v>4.0201005025125629E-2</v>
      </c>
      <c r="Q247" s="235">
        <v>-0.2</v>
      </c>
      <c r="R247" s="232">
        <v>20.100502512562816</v>
      </c>
      <c r="T247" s="235">
        <v>0.2</v>
      </c>
      <c r="U247" s="232">
        <v>35.175879396984925</v>
      </c>
    </row>
    <row r="248" spans="2:21" x14ac:dyDescent="0.25">
      <c r="B248" s="235">
        <v>0.5</v>
      </c>
      <c r="C248" s="72">
        <v>5.0847457627118647E-2</v>
      </c>
      <c r="E248" s="235">
        <v>0.5</v>
      </c>
      <c r="F248" s="72">
        <v>3.3898305084745763E-2</v>
      </c>
      <c r="H248" s="235">
        <v>0.5</v>
      </c>
      <c r="I248" s="72">
        <v>0.1111111111111111</v>
      </c>
      <c r="K248" s="235">
        <v>-0.2</v>
      </c>
      <c r="L248" s="72">
        <v>5.1428571428571428E-2</v>
      </c>
      <c r="N248" s="235">
        <v>0.2</v>
      </c>
      <c r="O248" s="72">
        <v>5.0561797752808987E-2</v>
      </c>
      <c r="Q248" s="235">
        <v>-0.2</v>
      </c>
      <c r="R248" s="232">
        <v>34.285714285714285</v>
      </c>
      <c r="T248" s="235">
        <v>0.2</v>
      </c>
      <c r="U248" s="232">
        <v>11.235955056179776</v>
      </c>
    </row>
    <row r="249" spans="2:21" x14ac:dyDescent="0.25">
      <c r="B249" s="235">
        <v>0.5</v>
      </c>
      <c r="C249" s="72">
        <v>3.125E-2</v>
      </c>
      <c r="E249" s="235">
        <v>0.5</v>
      </c>
      <c r="F249" s="72">
        <v>6.7708333333333329E-2</v>
      </c>
      <c r="H249" s="235">
        <v>0.5</v>
      </c>
      <c r="I249" s="72">
        <v>0.66666666666666663</v>
      </c>
      <c r="K249" s="235">
        <v>-0.2</v>
      </c>
      <c r="L249" s="72">
        <v>6.5934065934065936E-2</v>
      </c>
      <c r="N249" s="235">
        <v>0.2</v>
      </c>
      <c r="O249" s="72">
        <v>6.8062827225130892E-2</v>
      </c>
      <c r="Q249" s="235">
        <v>-0.2</v>
      </c>
      <c r="R249" s="232">
        <v>21.978021978021978</v>
      </c>
      <c r="T249" s="235">
        <v>0.2</v>
      </c>
      <c r="U249" s="232">
        <v>15.706806282722512</v>
      </c>
    </row>
    <row r="250" spans="2:21" x14ac:dyDescent="0.25">
      <c r="B250" s="235">
        <v>0.5</v>
      </c>
      <c r="C250" s="72">
        <v>3.015075376884422E-2</v>
      </c>
      <c r="E250" s="235">
        <v>0.5</v>
      </c>
      <c r="F250" s="72">
        <v>3.015075376884422E-2</v>
      </c>
      <c r="H250" s="235">
        <v>0.5</v>
      </c>
      <c r="I250" s="72">
        <v>0.5</v>
      </c>
      <c r="K250" s="235">
        <v>-0.2</v>
      </c>
      <c r="L250" s="72">
        <v>4.5918367346938778E-2</v>
      </c>
      <c r="N250" s="235">
        <v>0.2</v>
      </c>
      <c r="O250" s="72">
        <v>4.0201005025125629E-2</v>
      </c>
      <c r="Q250" s="235">
        <v>-0.2</v>
      </c>
      <c r="R250" s="232">
        <v>30.612244897959183</v>
      </c>
      <c r="T250" s="235">
        <v>0.2</v>
      </c>
      <c r="U250" s="232">
        <v>25.125628140703519</v>
      </c>
    </row>
    <row r="251" spans="2:21" x14ac:dyDescent="0.25">
      <c r="B251" s="235">
        <v>0.5</v>
      </c>
      <c r="C251" s="72">
        <v>3.2258064516129031E-2</v>
      </c>
      <c r="E251" s="235">
        <v>0.5</v>
      </c>
      <c r="F251" s="72">
        <v>3.7634408602150539E-2</v>
      </c>
      <c r="H251" s="235">
        <v>0.5</v>
      </c>
      <c r="I251" s="72">
        <v>0.5714285714285714</v>
      </c>
      <c r="K251" s="235">
        <v>-0.2</v>
      </c>
      <c r="L251" s="72">
        <v>3.9106145251396648E-2</v>
      </c>
      <c r="N251" s="235">
        <v>0.2</v>
      </c>
      <c r="O251" s="72">
        <v>3.8043478260869568E-2</v>
      </c>
      <c r="Q251" s="235">
        <v>-0.2</v>
      </c>
      <c r="R251" s="232">
        <v>16.759776536312849</v>
      </c>
      <c r="T251" s="235">
        <v>0.2</v>
      </c>
      <c r="U251" s="232">
        <v>27.173913043478262</v>
      </c>
    </row>
    <row r="252" spans="2:21" x14ac:dyDescent="0.25">
      <c r="B252" s="235">
        <v>0.5</v>
      </c>
      <c r="C252" s="72">
        <v>5.8823529411764705E-2</v>
      </c>
      <c r="E252" s="235">
        <v>0.5</v>
      </c>
      <c r="F252" s="72">
        <v>1.06951871657754E-2</v>
      </c>
      <c r="H252" s="235">
        <v>0.5</v>
      </c>
      <c r="I252" s="72">
        <v>0.66666666666666663</v>
      </c>
      <c r="K252" s="235">
        <v>-0.2</v>
      </c>
      <c r="L252" s="72">
        <v>3.2432432432432434E-2</v>
      </c>
      <c r="N252" s="235">
        <v>0.2</v>
      </c>
      <c r="O252" s="72">
        <v>1.5957446808510637E-2</v>
      </c>
      <c r="Q252" s="235">
        <v>-0.2</v>
      </c>
      <c r="R252" s="232">
        <v>37.837837837837839</v>
      </c>
      <c r="T252" s="235">
        <v>0.2</v>
      </c>
      <c r="U252" s="232">
        <v>26.595744680851062</v>
      </c>
    </row>
    <row r="253" spans="2:21" x14ac:dyDescent="0.25">
      <c r="B253" s="235">
        <v>0.5</v>
      </c>
      <c r="C253" s="72">
        <v>4.7619047619047623E-3</v>
      </c>
      <c r="E253" s="235">
        <v>0.5</v>
      </c>
      <c r="F253" s="72">
        <v>2.3809523809523808E-2</v>
      </c>
      <c r="H253" s="235">
        <v>0.5</v>
      </c>
      <c r="I253" s="72">
        <v>0.55555555555555558</v>
      </c>
      <c r="K253" s="235">
        <v>-0.2</v>
      </c>
      <c r="L253" s="72">
        <v>3.3492822966507178E-2</v>
      </c>
      <c r="N253" s="235">
        <v>0.2</v>
      </c>
      <c r="O253" s="72">
        <v>2.8985507246376812E-2</v>
      </c>
      <c r="Q253" s="235">
        <v>-0.2</v>
      </c>
      <c r="R253" s="232">
        <v>19.138755980861244</v>
      </c>
      <c r="T253" s="235">
        <v>0.2</v>
      </c>
      <c r="U253" s="232">
        <v>28.985507246376812</v>
      </c>
    </row>
    <row r="254" spans="2:21" x14ac:dyDescent="0.25">
      <c r="B254" s="235">
        <v>0.5</v>
      </c>
      <c r="C254" s="72">
        <v>6.1111111111111109E-2</v>
      </c>
      <c r="E254" s="235">
        <v>0.5</v>
      </c>
      <c r="F254" s="72">
        <v>2.7777777777777776E-2</v>
      </c>
      <c r="H254" s="235">
        <v>0.5</v>
      </c>
      <c r="I254" s="72">
        <v>0.2857142857142857</v>
      </c>
      <c r="K254" s="235">
        <v>-0.2</v>
      </c>
      <c r="L254" s="72">
        <v>2.3391812865497075E-2</v>
      </c>
      <c r="N254" s="235">
        <v>0.2</v>
      </c>
      <c r="O254" s="72">
        <v>2.2222222222222223E-2</v>
      </c>
      <c r="Q254" s="235">
        <v>-0.2</v>
      </c>
      <c r="R254" s="232">
        <v>46.783625730994153</v>
      </c>
      <c r="T254" s="235">
        <v>0.2</v>
      </c>
      <c r="U254" s="232">
        <v>27.777777777777779</v>
      </c>
    </row>
    <row r="255" spans="2:21" x14ac:dyDescent="0.25">
      <c r="B255" s="235">
        <v>0.5</v>
      </c>
      <c r="C255" s="72">
        <v>3.2967032967032968E-2</v>
      </c>
      <c r="E255" s="235">
        <v>0.5</v>
      </c>
      <c r="F255" s="72">
        <v>1.098901098901099E-2</v>
      </c>
      <c r="H255" s="235">
        <v>0.5</v>
      </c>
      <c r="I255" s="72">
        <v>0.2</v>
      </c>
      <c r="K255" s="235">
        <v>-0.2</v>
      </c>
      <c r="L255" s="72">
        <v>3.7634408602150539E-2</v>
      </c>
      <c r="N255" s="235">
        <v>0.2</v>
      </c>
      <c r="O255" s="72">
        <v>2.7027027027027029E-2</v>
      </c>
      <c r="Q255" s="235">
        <v>-0.2</v>
      </c>
      <c r="R255" s="232">
        <v>21.50537634408602</v>
      </c>
      <c r="T255" s="235">
        <v>0.2</v>
      </c>
      <c r="U255" s="232">
        <v>27.027027027027028</v>
      </c>
    </row>
    <row r="256" spans="2:21" x14ac:dyDescent="0.25">
      <c r="B256" s="235">
        <v>0.5</v>
      </c>
      <c r="C256" s="72">
        <v>2.7027027027027029E-2</v>
      </c>
      <c r="E256" s="235">
        <v>0.5</v>
      </c>
      <c r="F256" s="72">
        <v>2.1621621621621623E-2</v>
      </c>
      <c r="H256" s="235">
        <v>0.5</v>
      </c>
      <c r="I256" s="72">
        <v>0.5</v>
      </c>
      <c r="K256" s="235">
        <v>-0.2</v>
      </c>
      <c r="L256" s="72">
        <v>2.7777777777777776E-2</v>
      </c>
      <c r="N256" s="235">
        <v>0.2</v>
      </c>
      <c r="O256" s="72">
        <v>1.6042780748663103E-2</v>
      </c>
      <c r="Q256" s="235">
        <v>-0.2</v>
      </c>
      <c r="R256" s="232">
        <v>38.888888888888886</v>
      </c>
      <c r="T256" s="235">
        <v>0.2</v>
      </c>
      <c r="U256" s="232">
        <v>26.737967914438503</v>
      </c>
    </row>
    <row r="257" spans="2:21" x14ac:dyDescent="0.25">
      <c r="B257" s="235">
        <v>0.5</v>
      </c>
      <c r="C257" s="72">
        <v>3.4482758620689655E-2</v>
      </c>
      <c r="E257" s="235">
        <v>0.5</v>
      </c>
      <c r="F257" s="72">
        <v>2.8735632183908046E-2</v>
      </c>
      <c r="H257" s="235">
        <v>0.5</v>
      </c>
      <c r="I257" s="72">
        <v>0.75</v>
      </c>
      <c r="K257" s="235">
        <v>-0.2</v>
      </c>
      <c r="L257" s="72">
        <v>2.4242424242424242E-2</v>
      </c>
      <c r="N257" s="235">
        <v>0.2</v>
      </c>
      <c r="O257" s="72">
        <v>2.3529411764705882E-2</v>
      </c>
      <c r="Q257" s="235">
        <v>-0.2</v>
      </c>
      <c r="R257" s="232">
        <v>54.545454545454547</v>
      </c>
      <c r="T257" s="235">
        <v>0.2</v>
      </c>
      <c r="U257" s="232">
        <v>52.941176470588232</v>
      </c>
    </row>
    <row r="258" spans="2:21" x14ac:dyDescent="0.25">
      <c r="B258" s="235">
        <v>0.5</v>
      </c>
      <c r="C258" s="72">
        <v>4.4334975369458129E-2</v>
      </c>
      <c r="E258" s="235">
        <v>0.5</v>
      </c>
      <c r="F258" s="72">
        <v>5.4187192118226604E-2</v>
      </c>
      <c r="H258" s="235">
        <v>0.5</v>
      </c>
      <c r="I258" s="72">
        <v>0.6</v>
      </c>
      <c r="K258" s="235">
        <v>-0.2</v>
      </c>
      <c r="L258" s="72">
        <v>6.1224489795918366E-2</v>
      </c>
      <c r="N258" s="235">
        <v>0.2</v>
      </c>
      <c r="O258" s="72">
        <v>6.8965517241379309E-2</v>
      </c>
      <c r="Q258" s="235">
        <v>-0.2</v>
      </c>
      <c r="R258" s="232">
        <v>35.714285714285715</v>
      </c>
      <c r="T258" s="235">
        <v>0.2</v>
      </c>
      <c r="U258" s="232">
        <v>49.261083743842363</v>
      </c>
    </row>
    <row r="259" spans="2:21" x14ac:dyDescent="0.25">
      <c r="B259" s="235">
        <v>0.5</v>
      </c>
      <c r="C259" s="72">
        <v>3.8043478260869568E-2</v>
      </c>
      <c r="E259" s="235">
        <v>0.5</v>
      </c>
      <c r="F259" s="72">
        <v>3.2608695652173912E-2</v>
      </c>
      <c r="H259" s="235">
        <v>0.5</v>
      </c>
      <c r="I259" s="72">
        <v>0.36363636363636365</v>
      </c>
      <c r="K259" s="235">
        <v>-0.2</v>
      </c>
      <c r="L259" s="72">
        <v>4.519774011299435E-2</v>
      </c>
      <c r="N259" s="235">
        <v>0.2</v>
      </c>
      <c r="O259" s="72">
        <v>4.3956043956043959E-2</v>
      </c>
      <c r="Q259" s="235">
        <v>-0.2</v>
      </c>
      <c r="R259" s="232">
        <v>67.79661016949153</v>
      </c>
      <c r="T259" s="235">
        <v>0.2</v>
      </c>
      <c r="U259" s="232">
        <v>27.472527472527471</v>
      </c>
    </row>
    <row r="260" spans="2:21" x14ac:dyDescent="0.25">
      <c r="B260" s="235">
        <v>0.5</v>
      </c>
      <c r="C260" s="72">
        <v>5.4878048780487805E-2</v>
      </c>
      <c r="E260" s="235">
        <v>0.5</v>
      </c>
      <c r="F260" s="72">
        <v>1.8292682926829267E-2</v>
      </c>
      <c r="H260" s="235">
        <v>0.5</v>
      </c>
      <c r="I260" s="72">
        <v>0.5714285714285714</v>
      </c>
      <c r="K260" s="235">
        <v>-0.2</v>
      </c>
      <c r="L260" s="72">
        <v>1.8404907975460124E-2</v>
      </c>
      <c r="N260" s="235">
        <v>0.2</v>
      </c>
      <c r="O260" s="72">
        <v>2.9940119760479042E-2</v>
      </c>
      <c r="Q260" s="235">
        <v>-0.2</v>
      </c>
      <c r="R260" s="232">
        <v>12.269938650306749</v>
      </c>
      <c r="T260" s="235">
        <v>0.2</v>
      </c>
      <c r="U260" s="232">
        <v>23.952095808383234</v>
      </c>
    </row>
    <row r="261" spans="2:21" x14ac:dyDescent="0.25">
      <c r="B261" s="235">
        <v>0.5</v>
      </c>
      <c r="C261" s="72">
        <v>1.8867924528301886E-2</v>
      </c>
      <c r="E261" s="235">
        <v>0.5</v>
      </c>
      <c r="F261" s="72">
        <v>2.8301886792452831E-2</v>
      </c>
      <c r="H261" s="235">
        <v>0.5</v>
      </c>
      <c r="I261" s="72">
        <v>0.75</v>
      </c>
      <c r="K261" s="235">
        <v>-0.2</v>
      </c>
      <c r="L261" s="72">
        <v>5.1643192488262914E-2</v>
      </c>
      <c r="N261" s="235">
        <v>0.2</v>
      </c>
      <c r="O261" s="72">
        <v>3.2407407407407406E-2</v>
      </c>
      <c r="Q261" s="235">
        <v>-0.2</v>
      </c>
      <c r="R261" s="232">
        <v>46.948356807511736</v>
      </c>
      <c r="T261" s="235">
        <v>0.2</v>
      </c>
      <c r="U261" s="232">
        <v>32.407407407407405</v>
      </c>
    </row>
    <row r="262" spans="2:21" x14ac:dyDescent="0.25">
      <c r="B262" s="235">
        <v>0.5</v>
      </c>
      <c r="C262" s="72">
        <v>3.888888888888889E-2</v>
      </c>
      <c r="E262" s="235">
        <v>0.5</v>
      </c>
      <c r="F262" s="72">
        <v>1.1111111111111112E-2</v>
      </c>
      <c r="H262" s="235">
        <v>0.5</v>
      </c>
      <c r="I262" s="72">
        <v>0.625</v>
      </c>
      <c r="K262" s="235">
        <v>-0.2</v>
      </c>
      <c r="L262" s="72">
        <v>2.7777777777777776E-2</v>
      </c>
      <c r="N262" s="235">
        <v>0.2</v>
      </c>
      <c r="O262" s="72">
        <v>1.7142857142857144E-2</v>
      </c>
      <c r="Q262" s="235">
        <v>-0.2</v>
      </c>
      <c r="R262" s="232">
        <v>33.333333333333336</v>
      </c>
      <c r="T262" s="235">
        <v>0.2</v>
      </c>
      <c r="U262" s="232">
        <v>34.285714285714285</v>
      </c>
    </row>
    <row r="263" spans="2:21" x14ac:dyDescent="0.25">
      <c r="B263" s="235">
        <v>0.5</v>
      </c>
      <c r="C263" s="72">
        <v>2.6737967914438502E-2</v>
      </c>
      <c r="E263" s="235">
        <v>0.5</v>
      </c>
      <c r="F263" s="72">
        <v>3.2085561497326207E-2</v>
      </c>
      <c r="H263" s="235">
        <v>0.5</v>
      </c>
      <c r="I263" s="72">
        <v>0.5714285714285714</v>
      </c>
      <c r="K263" s="235">
        <v>-0.2</v>
      </c>
      <c r="L263" s="72">
        <v>4.5714285714285714E-2</v>
      </c>
      <c r="N263" s="235">
        <v>0.2</v>
      </c>
      <c r="O263" s="72">
        <v>4.3243243243243246E-2</v>
      </c>
      <c r="Q263" s="235">
        <v>-0.2</v>
      </c>
      <c r="R263" s="232">
        <v>45.714285714285715</v>
      </c>
      <c r="T263" s="235">
        <v>0.2</v>
      </c>
      <c r="U263" s="232">
        <v>32.432432432432435</v>
      </c>
    </row>
    <row r="264" spans="2:21" x14ac:dyDescent="0.25">
      <c r="B264" s="235">
        <v>0.5</v>
      </c>
      <c r="C264" s="72">
        <v>5.5813953488372092E-2</v>
      </c>
      <c r="E264" s="235">
        <v>0.5</v>
      </c>
      <c r="F264" s="72">
        <v>1.8604651162790697E-2</v>
      </c>
      <c r="H264" s="235">
        <v>0.5</v>
      </c>
      <c r="I264" s="72">
        <v>0.42857142857142855</v>
      </c>
      <c r="K264" s="235">
        <v>-0.2</v>
      </c>
      <c r="L264" s="72">
        <v>4.6728971962616821E-2</v>
      </c>
      <c r="N264" s="235">
        <v>0.2</v>
      </c>
      <c r="O264" s="72">
        <v>2.7649769585253458E-2</v>
      </c>
      <c r="Q264" s="235">
        <v>-0.2</v>
      </c>
      <c r="R264" s="232">
        <v>28.037383177570092</v>
      </c>
      <c r="T264" s="235">
        <v>0.2</v>
      </c>
      <c r="U264" s="232">
        <v>18.433179723502302</v>
      </c>
    </row>
    <row r="265" spans="2:21" x14ac:dyDescent="0.25">
      <c r="B265" s="235">
        <v>0.5</v>
      </c>
      <c r="C265" s="72">
        <v>3.7433155080213901E-2</v>
      </c>
      <c r="E265" s="235">
        <v>0.5</v>
      </c>
      <c r="F265" s="72">
        <v>1.6042780748663103E-2</v>
      </c>
      <c r="H265" s="235">
        <v>0.5</v>
      </c>
      <c r="I265" s="72">
        <v>0.2857142857142857</v>
      </c>
      <c r="K265" s="235">
        <v>-0.2</v>
      </c>
      <c r="L265" s="72">
        <v>3.2786885245901641E-2</v>
      </c>
      <c r="N265" s="235">
        <v>0.2</v>
      </c>
      <c r="O265" s="72">
        <v>2.1505376344086023E-2</v>
      </c>
      <c r="Q265" s="235">
        <v>-0.2</v>
      </c>
      <c r="R265" s="232">
        <v>21.857923497267759</v>
      </c>
      <c r="T265" s="235">
        <v>0.2</v>
      </c>
      <c r="U265" s="232">
        <v>16.129032258064516</v>
      </c>
    </row>
    <row r="266" spans="2:21" x14ac:dyDescent="0.25">
      <c r="B266" s="235">
        <v>0.5</v>
      </c>
      <c r="C266" s="72">
        <v>5.0505050505050504E-2</v>
      </c>
      <c r="E266" s="235">
        <v>0.5</v>
      </c>
      <c r="F266" s="72">
        <v>2.0202020202020204E-2</v>
      </c>
      <c r="H266" s="235">
        <v>0.5</v>
      </c>
      <c r="I266" s="72">
        <v>0.5</v>
      </c>
      <c r="K266" s="235">
        <v>-0.2</v>
      </c>
      <c r="L266" s="72">
        <v>5.7291666666666664E-2</v>
      </c>
      <c r="N266" s="235">
        <v>0.2</v>
      </c>
      <c r="O266" s="72">
        <v>2.5773195876288658E-2</v>
      </c>
      <c r="Q266" s="235">
        <v>-0.2</v>
      </c>
      <c r="R266" s="232">
        <v>36.458333333333336</v>
      </c>
      <c r="T266" s="235">
        <v>0.2</v>
      </c>
      <c r="U266" s="232">
        <v>20.618556701030929</v>
      </c>
    </row>
    <row r="267" spans="2:21" x14ac:dyDescent="0.25">
      <c r="B267" s="235">
        <v>0.5</v>
      </c>
      <c r="C267" s="72">
        <v>2.9411764705882353E-2</v>
      </c>
      <c r="E267" s="235">
        <v>0.5</v>
      </c>
      <c r="F267" s="72">
        <v>1.9607843137254902E-2</v>
      </c>
      <c r="H267" s="235">
        <v>0.5</v>
      </c>
      <c r="I267" s="72">
        <v>0.4</v>
      </c>
      <c r="K267" s="235">
        <v>-0.2</v>
      </c>
      <c r="L267" s="72">
        <v>4.0201005025125629E-2</v>
      </c>
      <c r="N267" s="235">
        <v>0.2</v>
      </c>
      <c r="O267" s="72">
        <v>2.4630541871921183E-2</v>
      </c>
      <c r="Q267" s="235">
        <v>-0.2</v>
      </c>
      <c r="R267" s="232">
        <v>30.150753768844222</v>
      </c>
      <c r="T267" s="235">
        <v>0.2</v>
      </c>
      <c r="U267" s="232">
        <v>14.77832512315271</v>
      </c>
    </row>
    <row r="268" spans="2:21" x14ac:dyDescent="0.25">
      <c r="B268" s="235">
        <v>0.5</v>
      </c>
      <c r="C268" s="72">
        <v>2.7472527472527472E-2</v>
      </c>
      <c r="E268" s="235">
        <v>0.5</v>
      </c>
      <c r="F268" s="72">
        <v>2.7472527472527472E-2</v>
      </c>
      <c r="H268" s="235">
        <v>0.5</v>
      </c>
      <c r="I268" s="72">
        <v>0.44444444444444442</v>
      </c>
      <c r="K268" s="235">
        <v>-0.2</v>
      </c>
      <c r="L268" s="72">
        <v>4.3956043956043959E-2</v>
      </c>
      <c r="N268" s="235">
        <v>0.2</v>
      </c>
      <c r="O268" s="72">
        <v>4.3010752688172046E-2</v>
      </c>
      <c r="Q268" s="235">
        <v>-0.2</v>
      </c>
      <c r="R268" s="232">
        <v>21.978021978021978</v>
      </c>
      <c r="T268" s="235">
        <v>0.2</v>
      </c>
      <c r="U268" s="232">
        <v>16.129032258064516</v>
      </c>
    </row>
    <row r="269" spans="2:21" x14ac:dyDescent="0.25">
      <c r="B269" s="235">
        <v>0.5</v>
      </c>
      <c r="C269" s="72">
        <v>3.553299492385787E-2</v>
      </c>
      <c r="E269" s="235">
        <v>0.5</v>
      </c>
      <c r="F269" s="72">
        <v>4.060913705583756E-2</v>
      </c>
      <c r="H269" s="235">
        <v>0.5</v>
      </c>
      <c r="I269" s="72">
        <v>0.45454545454545453</v>
      </c>
      <c r="K269" s="235">
        <v>-0.2</v>
      </c>
      <c r="L269" s="72">
        <v>4.3478260869565216E-2</v>
      </c>
      <c r="N269" s="235">
        <v>0.2</v>
      </c>
      <c r="O269" s="72">
        <v>4.0816326530612242E-2</v>
      </c>
      <c r="Q269" s="235">
        <v>-0.2</v>
      </c>
      <c r="R269" s="232">
        <v>38.043478260869563</v>
      </c>
      <c r="T269" s="235">
        <v>0.2</v>
      </c>
      <c r="U269" s="232">
        <v>20.408163265306122</v>
      </c>
    </row>
    <row r="270" spans="2:21" x14ac:dyDescent="0.25">
      <c r="B270" s="235">
        <v>0.5</v>
      </c>
      <c r="C270" s="72">
        <v>2.9126213592233011E-2</v>
      </c>
      <c r="E270" s="235">
        <v>0.5</v>
      </c>
      <c r="F270" s="72">
        <v>3.8834951456310676E-2</v>
      </c>
      <c r="H270" s="235">
        <v>0.5</v>
      </c>
      <c r="I270" s="72">
        <v>0.5</v>
      </c>
      <c r="K270" s="235">
        <v>-0.2</v>
      </c>
      <c r="L270" s="72">
        <v>6.3725490196078427E-2</v>
      </c>
      <c r="N270" s="235">
        <v>0.2</v>
      </c>
      <c r="O270" s="72">
        <v>4.3269230769230768E-2</v>
      </c>
      <c r="Q270" s="235">
        <v>-0.2</v>
      </c>
      <c r="R270" s="232">
        <v>39.215686274509807</v>
      </c>
      <c r="T270" s="235">
        <v>0.2</v>
      </c>
      <c r="U270" s="232">
        <v>33.653846153846153</v>
      </c>
    </row>
    <row r="271" spans="2:21" x14ac:dyDescent="0.25">
      <c r="B271" s="235">
        <v>0.5</v>
      </c>
      <c r="C271" s="72">
        <v>1.4563106796116505E-2</v>
      </c>
      <c r="E271" s="235">
        <v>0.5</v>
      </c>
      <c r="F271" s="72">
        <v>1.4563106796116505E-2</v>
      </c>
      <c r="H271" s="235">
        <v>0.5</v>
      </c>
      <c r="I271" s="72">
        <v>0</v>
      </c>
      <c r="K271" s="235">
        <v>-0.2</v>
      </c>
      <c r="L271" s="72">
        <v>2.4630541871921183E-2</v>
      </c>
      <c r="N271" s="235">
        <v>0.2</v>
      </c>
      <c r="O271" s="72">
        <v>1.4492753623188406E-2</v>
      </c>
      <c r="Q271" s="235">
        <v>-0.2</v>
      </c>
      <c r="R271" s="232">
        <v>19.704433497536947</v>
      </c>
      <c r="T271" s="235">
        <v>0.2</v>
      </c>
      <c r="U271" s="232">
        <v>0</v>
      </c>
    </row>
    <row r="272" spans="2:21" x14ac:dyDescent="0.25">
      <c r="B272" s="235">
        <v>0.5</v>
      </c>
      <c r="C272" s="72">
        <v>3.4482758620689655E-2</v>
      </c>
      <c r="E272" s="235">
        <v>0.5</v>
      </c>
      <c r="F272" s="72">
        <v>3.4482758620689655E-2</v>
      </c>
      <c r="H272" s="235">
        <v>0.5</v>
      </c>
      <c r="I272" s="72">
        <v>0.66666666666666663</v>
      </c>
      <c r="K272" s="235">
        <v>-0.2</v>
      </c>
      <c r="L272" s="72">
        <v>6.3829787234042548E-2</v>
      </c>
      <c r="N272" s="235">
        <v>0.2</v>
      </c>
      <c r="O272" s="72">
        <v>3.4965034965034968E-2</v>
      </c>
      <c r="Q272" s="235">
        <v>-0.2</v>
      </c>
      <c r="R272" s="232">
        <v>14.184397163120567</v>
      </c>
      <c r="T272" s="235">
        <v>0.2</v>
      </c>
      <c r="U272" s="232">
        <v>20.97902097902098</v>
      </c>
    </row>
    <row r="273" spans="2:21" x14ac:dyDescent="0.25">
      <c r="B273" s="235">
        <v>0.5</v>
      </c>
      <c r="C273" s="72">
        <v>3.3519553072625698E-2</v>
      </c>
      <c r="E273" s="235">
        <v>0.5</v>
      </c>
      <c r="F273" s="72">
        <v>2.23463687150838E-2</v>
      </c>
      <c r="H273" s="235">
        <v>0.5</v>
      </c>
      <c r="I273" s="72">
        <v>0.44444444444444442</v>
      </c>
      <c r="K273" s="235">
        <v>-0.2</v>
      </c>
      <c r="L273" s="72">
        <v>1.7543859649122806E-2</v>
      </c>
      <c r="N273" s="235">
        <v>0.2</v>
      </c>
      <c r="O273" s="72">
        <v>2.7932960893854747E-2</v>
      </c>
      <c r="Q273" s="235">
        <v>-0.2</v>
      </c>
      <c r="R273" s="232">
        <v>29.239766081871345</v>
      </c>
      <c r="T273" s="235">
        <v>0.2</v>
      </c>
      <c r="U273" s="232">
        <v>22.346368715083798</v>
      </c>
    </row>
    <row r="274" spans="2:21" x14ac:dyDescent="0.25">
      <c r="B274" s="235">
        <v>0.5</v>
      </c>
      <c r="C274" s="72">
        <v>3.4285714285714287E-2</v>
      </c>
      <c r="E274" s="235">
        <v>0.5</v>
      </c>
      <c r="F274" s="72">
        <v>2.8571428571428571E-2</v>
      </c>
      <c r="H274" s="235">
        <v>0.5</v>
      </c>
      <c r="I274" s="72">
        <v>0.45454545454545453</v>
      </c>
      <c r="K274" s="235">
        <v>-0.2</v>
      </c>
      <c r="L274" s="72">
        <v>4.6511627906976744E-2</v>
      </c>
      <c r="N274" s="235">
        <v>0.2</v>
      </c>
      <c r="O274" s="72">
        <v>0.04</v>
      </c>
      <c r="Q274" s="235">
        <v>-0.2</v>
      </c>
      <c r="R274" s="232">
        <v>46.511627906976742</v>
      </c>
      <c r="T274" s="235">
        <v>0.2</v>
      </c>
      <c r="U274" s="232">
        <v>40</v>
      </c>
    </row>
    <row r="275" spans="2:21" x14ac:dyDescent="0.25">
      <c r="B275" s="235">
        <v>0.5</v>
      </c>
      <c r="C275" s="72">
        <v>1.9607843137254902E-2</v>
      </c>
      <c r="E275" s="235">
        <v>0.5</v>
      </c>
      <c r="F275" s="72">
        <v>4.9019607843137254E-2</v>
      </c>
      <c r="H275" s="235">
        <v>0.5</v>
      </c>
      <c r="I275" s="72">
        <v>0.1111111111111111</v>
      </c>
      <c r="K275" s="235">
        <v>-0.2</v>
      </c>
      <c r="L275" s="72">
        <v>8.7804878048780483E-2</v>
      </c>
      <c r="N275" s="235">
        <v>0.2</v>
      </c>
      <c r="O275" s="72">
        <v>5.0761421319796954E-2</v>
      </c>
      <c r="Q275" s="235">
        <v>-0.2</v>
      </c>
      <c r="R275" s="232">
        <v>43.902439024390247</v>
      </c>
      <c r="T275" s="235">
        <v>0.2</v>
      </c>
      <c r="U275" s="232">
        <v>35.532994923857871</v>
      </c>
    </row>
    <row r="276" spans="2:21" x14ac:dyDescent="0.25">
      <c r="B276" s="235">
        <v>0.5</v>
      </c>
      <c r="C276" s="72">
        <v>3.482587064676617E-2</v>
      </c>
      <c r="E276" s="235">
        <v>0.5</v>
      </c>
      <c r="F276" s="72">
        <v>3.482587064676617E-2</v>
      </c>
      <c r="H276" s="235">
        <v>0.5</v>
      </c>
      <c r="I276" s="72">
        <v>0.36363636363636365</v>
      </c>
      <c r="K276" s="235">
        <v>-0.2</v>
      </c>
      <c r="L276" s="72">
        <v>4.878048780487805E-2</v>
      </c>
      <c r="N276" s="235">
        <v>0.2</v>
      </c>
      <c r="O276" s="72">
        <v>3.9800995024875621E-2</v>
      </c>
      <c r="Q276" s="235">
        <v>-0.2</v>
      </c>
      <c r="R276" s="232">
        <v>24.390243902439025</v>
      </c>
      <c r="T276" s="235">
        <v>0.2</v>
      </c>
      <c r="U276" s="232">
        <v>24.875621890547265</v>
      </c>
    </row>
    <row r="277" spans="2:21" x14ac:dyDescent="0.25">
      <c r="B277" s="235">
        <v>0.5</v>
      </c>
      <c r="C277" s="72">
        <v>1.6666666666666666E-2</v>
      </c>
      <c r="E277" s="235">
        <v>0.5</v>
      </c>
      <c r="F277" s="72">
        <v>1.6666666666666666E-2</v>
      </c>
      <c r="H277" s="235">
        <v>0.5</v>
      </c>
      <c r="I277" s="72">
        <v>0.55555555555555558</v>
      </c>
      <c r="K277" s="235">
        <v>-0.2</v>
      </c>
      <c r="L277" s="72">
        <v>2.2727272727272728E-2</v>
      </c>
      <c r="N277" s="235">
        <v>0.2</v>
      </c>
      <c r="O277" s="72">
        <v>2.2099447513812154E-2</v>
      </c>
      <c r="Q277" s="235">
        <v>-0.2</v>
      </c>
      <c r="R277" s="232">
        <v>28.40909090909091</v>
      </c>
      <c r="T277" s="235">
        <v>0.2</v>
      </c>
      <c r="U277" s="232">
        <v>27.624309392265193</v>
      </c>
    </row>
    <row r="278" spans="2:21" x14ac:dyDescent="0.25">
      <c r="B278" s="235">
        <v>0.5</v>
      </c>
      <c r="C278" s="72">
        <v>2.2099447513812154E-2</v>
      </c>
      <c r="E278" s="235">
        <v>0.5</v>
      </c>
      <c r="F278" s="72">
        <v>2.7624309392265192E-2</v>
      </c>
      <c r="H278" s="235">
        <v>0.5</v>
      </c>
      <c r="I278" s="72">
        <v>0</v>
      </c>
      <c r="K278" s="235">
        <v>-0.2</v>
      </c>
      <c r="L278" s="72">
        <v>3.3519553072625698E-2</v>
      </c>
      <c r="N278" s="235">
        <v>0.2</v>
      </c>
      <c r="O278" s="72">
        <v>2.7624309392265192E-2</v>
      </c>
      <c r="Q278" s="235">
        <v>-0.2</v>
      </c>
      <c r="R278" s="232">
        <v>16.759776536312849</v>
      </c>
      <c r="T278" s="235">
        <v>0.2</v>
      </c>
      <c r="U278" s="232">
        <v>11.049723756906078</v>
      </c>
    </row>
    <row r="279" spans="2:21" x14ac:dyDescent="0.25">
      <c r="B279" s="235">
        <v>0.5</v>
      </c>
      <c r="C279" s="72">
        <v>2.3809523809523808E-2</v>
      </c>
      <c r="E279" s="235">
        <v>0.5</v>
      </c>
      <c r="F279" s="72">
        <v>1.1904761904761904E-2</v>
      </c>
      <c r="H279" s="235">
        <v>0.5</v>
      </c>
      <c r="I279" s="72">
        <v>0.5714285714285714</v>
      </c>
      <c r="K279" s="235">
        <v>-0.2</v>
      </c>
      <c r="L279" s="72">
        <v>3.6363636363636362E-2</v>
      </c>
      <c r="N279" s="235">
        <v>0.2</v>
      </c>
      <c r="O279" s="72">
        <v>2.3809523809523808E-2</v>
      </c>
      <c r="Q279" s="235">
        <v>-0.2</v>
      </c>
      <c r="R279" s="232">
        <v>24.242424242424242</v>
      </c>
      <c r="T279" s="235">
        <v>0.2</v>
      </c>
      <c r="U279" s="232">
        <v>23.80952380952381</v>
      </c>
    </row>
    <row r="280" spans="2:21" x14ac:dyDescent="0.25">
      <c r="B280" s="235">
        <v>0.5</v>
      </c>
      <c r="C280" s="72">
        <v>2.0100502512562814E-2</v>
      </c>
      <c r="E280" s="235">
        <v>0.5</v>
      </c>
      <c r="F280" s="72">
        <v>3.015075376884422E-2</v>
      </c>
      <c r="H280" s="235">
        <v>0.5</v>
      </c>
      <c r="I280" s="72">
        <v>0.5</v>
      </c>
      <c r="K280" s="235">
        <v>-0.2</v>
      </c>
      <c r="L280" s="72">
        <v>5.0505050505050504E-2</v>
      </c>
      <c r="N280" s="235">
        <v>0.2</v>
      </c>
      <c r="O280" s="72">
        <v>4.9504950495049507E-2</v>
      </c>
      <c r="Q280" s="235">
        <v>-0.2</v>
      </c>
      <c r="R280" s="232">
        <v>65.656565656565661</v>
      </c>
      <c r="T280" s="235">
        <v>0.2</v>
      </c>
      <c r="U280" s="232">
        <v>59.405940594059409</v>
      </c>
    </row>
    <row r="281" spans="2:21" x14ac:dyDescent="0.25">
      <c r="B281" s="235">
        <v>0.5</v>
      </c>
      <c r="C281" s="72">
        <v>3.9603960396039604E-2</v>
      </c>
      <c r="E281" s="235">
        <v>0.5</v>
      </c>
      <c r="F281" s="72">
        <v>2.4752475247524754E-2</v>
      </c>
      <c r="H281" s="235">
        <v>0.5</v>
      </c>
      <c r="I281" s="72">
        <v>0.66666666666666663</v>
      </c>
      <c r="K281" s="235">
        <v>-0.2</v>
      </c>
      <c r="L281" s="72">
        <v>4.4999999999999998E-2</v>
      </c>
      <c r="N281" s="235">
        <v>0.2</v>
      </c>
      <c r="O281" s="72">
        <v>3.4313725490196081E-2</v>
      </c>
      <c r="Q281" s="235">
        <v>-0.2</v>
      </c>
      <c r="R281" s="232">
        <v>40</v>
      </c>
      <c r="T281" s="235">
        <v>0.2</v>
      </c>
      <c r="U281" s="232">
        <v>34.313725490196077</v>
      </c>
    </row>
    <row r="282" spans="2:21" x14ac:dyDescent="0.25">
      <c r="B282" s="235">
        <v>0.5</v>
      </c>
      <c r="C282" s="72">
        <v>4.9504950495049507E-2</v>
      </c>
      <c r="E282" s="235">
        <v>0.5</v>
      </c>
      <c r="F282" s="72">
        <v>3.4653465346534656E-2</v>
      </c>
      <c r="H282" s="235">
        <v>0.5</v>
      </c>
      <c r="I282" s="72">
        <v>0.5714285714285714</v>
      </c>
      <c r="K282" s="235">
        <v>-0.2</v>
      </c>
      <c r="L282" s="72">
        <v>5.5E-2</v>
      </c>
      <c r="N282" s="235">
        <v>0.2</v>
      </c>
      <c r="O282" s="72">
        <v>3.4146341463414637E-2</v>
      </c>
      <c r="Q282" s="235">
        <v>-0.2</v>
      </c>
      <c r="R282" s="232">
        <v>45</v>
      </c>
      <c r="T282" s="235">
        <v>0.2</v>
      </c>
      <c r="U282" s="232">
        <v>19.512195121951219</v>
      </c>
    </row>
    <row r="283" spans="2:21" x14ac:dyDescent="0.25">
      <c r="B283" s="235">
        <v>0.5</v>
      </c>
      <c r="C283" s="72">
        <v>3.1578947368421054E-2</v>
      </c>
      <c r="E283" s="235">
        <v>0.5</v>
      </c>
      <c r="F283" s="72">
        <v>2.1052631578947368E-2</v>
      </c>
      <c r="H283" s="235">
        <v>0.5</v>
      </c>
      <c r="I283" s="72">
        <v>0.33333333333333331</v>
      </c>
      <c r="K283" s="235">
        <v>-0.2</v>
      </c>
      <c r="L283" s="72">
        <v>3.7037037037037035E-2</v>
      </c>
      <c r="N283" s="235">
        <v>0.2</v>
      </c>
      <c r="O283" s="72">
        <v>1.5789473684210527E-2</v>
      </c>
      <c r="Q283" s="235">
        <v>-0.2</v>
      </c>
      <c r="R283" s="232">
        <v>21.164021164021165</v>
      </c>
      <c r="T283" s="235">
        <v>0.2</v>
      </c>
      <c r="U283" s="232">
        <v>15.789473684210526</v>
      </c>
    </row>
    <row r="284" spans="2:21" x14ac:dyDescent="0.25">
      <c r="B284" s="235">
        <v>0.5</v>
      </c>
      <c r="C284" s="72">
        <v>4.9689440993788817E-2</v>
      </c>
      <c r="E284" s="235">
        <v>0.5</v>
      </c>
      <c r="F284" s="72">
        <v>4.3478260869565216E-2</v>
      </c>
      <c r="H284" s="235">
        <v>0.5</v>
      </c>
      <c r="I284" s="72">
        <v>0.45454545454545453</v>
      </c>
      <c r="K284" s="235">
        <v>-0.2</v>
      </c>
      <c r="L284" s="72">
        <v>4.9382716049382713E-2</v>
      </c>
      <c r="N284" s="235">
        <v>0.2</v>
      </c>
      <c r="O284" s="72">
        <v>5.5555555555555552E-2</v>
      </c>
      <c r="Q284" s="235">
        <v>-0.2</v>
      </c>
      <c r="R284" s="232">
        <v>43.209876543209873</v>
      </c>
      <c r="T284" s="235">
        <v>0.2</v>
      </c>
      <c r="U284" s="232">
        <v>30.864197530864196</v>
      </c>
    </row>
    <row r="285" spans="2:21" x14ac:dyDescent="0.25">
      <c r="B285" s="235">
        <v>0.5</v>
      </c>
      <c r="C285" s="72">
        <v>2.6315789473684209E-2</v>
      </c>
      <c r="E285" s="235">
        <v>0.5</v>
      </c>
      <c r="F285" s="72">
        <v>3.6842105263157891E-2</v>
      </c>
      <c r="H285" s="235">
        <v>0.5</v>
      </c>
      <c r="I285" s="72">
        <v>0.5</v>
      </c>
      <c r="K285" s="235">
        <v>-0.2</v>
      </c>
      <c r="L285" s="72">
        <v>4.712041884816754E-2</v>
      </c>
      <c r="N285" s="235">
        <v>0.2</v>
      </c>
      <c r="O285" s="72">
        <v>3.7234042553191488E-2</v>
      </c>
      <c r="Q285" s="235">
        <v>-0.2</v>
      </c>
      <c r="R285" s="232">
        <v>41.8848167539267</v>
      </c>
      <c r="T285" s="235">
        <v>0.2</v>
      </c>
      <c r="U285" s="232">
        <v>31.914893617021278</v>
      </c>
    </row>
    <row r="286" spans="2:21" x14ac:dyDescent="0.25">
      <c r="B286" s="235">
        <v>0.5</v>
      </c>
      <c r="C286" s="72">
        <v>3.2432432432432434E-2</v>
      </c>
      <c r="E286" s="235">
        <v>0.5</v>
      </c>
      <c r="F286" s="72">
        <v>2.1621621621621623E-2</v>
      </c>
      <c r="H286" s="235">
        <v>0.5</v>
      </c>
      <c r="I286" s="72">
        <v>0.5</v>
      </c>
      <c r="K286" s="235">
        <v>-0.2</v>
      </c>
      <c r="L286" s="72">
        <v>3.7433155080213901E-2</v>
      </c>
      <c r="N286" s="235">
        <v>0.2</v>
      </c>
      <c r="O286" s="72">
        <v>2.6737967914438502E-2</v>
      </c>
      <c r="Q286" s="235">
        <v>-0.2</v>
      </c>
      <c r="R286" s="232">
        <v>69.518716577540104</v>
      </c>
      <c r="T286" s="235">
        <v>0.2</v>
      </c>
      <c r="U286" s="232">
        <v>58.823529411764703</v>
      </c>
    </row>
    <row r="287" spans="2:21" x14ac:dyDescent="0.25">
      <c r="B287" s="235">
        <v>0.5</v>
      </c>
      <c r="C287" s="72">
        <v>4.0816326530612242E-2</v>
      </c>
      <c r="E287" s="235">
        <v>0.5</v>
      </c>
      <c r="F287" s="72">
        <v>4.0816326530612242E-2</v>
      </c>
      <c r="H287" s="235">
        <v>0.5</v>
      </c>
      <c r="I287" s="72">
        <v>0.33333333333333331</v>
      </c>
      <c r="K287" s="235">
        <v>-0.2</v>
      </c>
      <c r="L287" s="72">
        <v>6.3492063492063489E-2</v>
      </c>
      <c r="N287" s="235">
        <v>0.2</v>
      </c>
      <c r="O287" s="72">
        <v>2.6737967914438502E-2</v>
      </c>
      <c r="Q287" s="235">
        <v>-0.2</v>
      </c>
      <c r="R287" s="232">
        <v>37.037037037037038</v>
      </c>
      <c r="T287" s="235">
        <v>0.2</v>
      </c>
      <c r="U287" s="232">
        <v>32.085561497326204</v>
      </c>
    </row>
    <row r="288" spans="2:21" x14ac:dyDescent="0.25">
      <c r="B288" s="235">
        <v>0.5</v>
      </c>
      <c r="C288" s="72">
        <v>4.8128342245989303E-2</v>
      </c>
      <c r="E288" s="235">
        <v>0.5</v>
      </c>
      <c r="F288" s="72">
        <v>3.7433155080213901E-2</v>
      </c>
      <c r="H288" s="235">
        <v>0.5</v>
      </c>
      <c r="I288" s="72">
        <v>0.66666666666666663</v>
      </c>
      <c r="K288" s="235">
        <v>-0.2</v>
      </c>
      <c r="L288" s="72">
        <v>5.2356020942408377E-2</v>
      </c>
      <c r="N288" s="235">
        <v>0.2</v>
      </c>
      <c r="O288" s="72">
        <v>4.1666666666666664E-2</v>
      </c>
      <c r="Q288" s="235">
        <v>-0.2</v>
      </c>
      <c r="R288" s="232">
        <v>36.64921465968586</v>
      </c>
      <c r="T288" s="235">
        <v>0.2</v>
      </c>
      <c r="U288" s="232">
        <v>36.458333333333336</v>
      </c>
    </row>
    <row r="289" spans="2:21" x14ac:dyDescent="0.25">
      <c r="B289" s="235">
        <v>0.5</v>
      </c>
      <c r="C289" s="72">
        <v>3.4883720930232558E-2</v>
      </c>
      <c r="E289" s="235">
        <v>0.5</v>
      </c>
      <c r="F289" s="72">
        <v>5.8139534883720929E-3</v>
      </c>
      <c r="H289" s="235">
        <v>0.5</v>
      </c>
      <c r="I289" s="72">
        <v>0.75</v>
      </c>
      <c r="K289" s="235">
        <v>-0.2</v>
      </c>
      <c r="L289" s="72">
        <v>3.5294117647058823E-2</v>
      </c>
      <c r="N289" s="235">
        <v>0.2</v>
      </c>
      <c r="O289" s="72">
        <v>1.1428571428571429E-2</v>
      </c>
      <c r="Q289" s="235">
        <v>-0.2</v>
      </c>
      <c r="R289" s="232">
        <v>47.058823529411768</v>
      </c>
      <c r="T289" s="235">
        <v>0.2</v>
      </c>
      <c r="U289" s="232">
        <v>45.714285714285715</v>
      </c>
    </row>
    <row r="290" spans="2:21" x14ac:dyDescent="0.25">
      <c r="B290" s="235">
        <v>0.5</v>
      </c>
      <c r="C290" s="72">
        <v>0.04</v>
      </c>
      <c r="E290" s="235">
        <v>0.5</v>
      </c>
      <c r="F290" s="72">
        <v>1.7142857142857144E-2</v>
      </c>
      <c r="H290" s="235">
        <v>0.5</v>
      </c>
      <c r="I290" s="72">
        <v>0.5</v>
      </c>
      <c r="K290" s="235">
        <v>-0.2</v>
      </c>
      <c r="L290" s="72">
        <v>4.046242774566474E-2</v>
      </c>
      <c r="N290" s="235">
        <v>0.2</v>
      </c>
      <c r="O290" s="72">
        <v>2.8735632183908046E-2</v>
      </c>
      <c r="Q290" s="235">
        <v>-0.2</v>
      </c>
      <c r="R290" s="232">
        <v>5.7803468208092488</v>
      </c>
      <c r="T290" s="235">
        <v>0.2</v>
      </c>
      <c r="U290" s="232">
        <v>11.494252873563218</v>
      </c>
    </row>
    <row r="291" spans="2:21" x14ac:dyDescent="0.25">
      <c r="B291" s="235">
        <v>0.5</v>
      </c>
      <c r="C291" s="72">
        <v>5.3191489361702128E-2</v>
      </c>
      <c r="E291" s="235">
        <v>0.5</v>
      </c>
      <c r="F291" s="72">
        <v>1.5957446808510637E-2</v>
      </c>
      <c r="H291" s="235">
        <v>0.5</v>
      </c>
      <c r="I291" s="72">
        <v>0.5714285714285714</v>
      </c>
      <c r="K291" s="235">
        <v>-0.2</v>
      </c>
      <c r="L291" s="72">
        <v>1.6574585635359115E-2</v>
      </c>
      <c r="N291" s="235">
        <v>0.2</v>
      </c>
      <c r="O291" s="72">
        <v>1.0582010582010581E-2</v>
      </c>
      <c r="Q291" s="235">
        <v>-0.2</v>
      </c>
      <c r="R291" s="232">
        <v>22.099447513812155</v>
      </c>
      <c r="T291" s="235">
        <v>0.2</v>
      </c>
      <c r="U291" s="232">
        <v>21.164021164021165</v>
      </c>
    </row>
    <row r="292" spans="2:21" x14ac:dyDescent="0.25">
      <c r="B292" s="235">
        <v>0.5</v>
      </c>
      <c r="C292" s="72">
        <v>1.8957345971563982E-2</v>
      </c>
      <c r="E292" s="235">
        <v>0.5</v>
      </c>
      <c r="F292" s="72">
        <v>2.3696682464454975E-2</v>
      </c>
      <c r="H292" s="235">
        <v>0.5</v>
      </c>
      <c r="I292" s="72">
        <v>0.6428571428571429</v>
      </c>
      <c r="K292" s="235">
        <v>-0.2</v>
      </c>
      <c r="L292" s="72">
        <v>4.807692307692308E-2</v>
      </c>
      <c r="N292" s="235">
        <v>0.2</v>
      </c>
      <c r="O292" s="72">
        <v>2.8985507246376812E-2</v>
      </c>
      <c r="Q292" s="235">
        <v>-0.2</v>
      </c>
      <c r="R292" s="232">
        <v>62.5</v>
      </c>
      <c r="T292" s="235">
        <v>0.2</v>
      </c>
      <c r="U292" s="232">
        <v>57.971014492753625</v>
      </c>
    </row>
    <row r="293" spans="2:21" x14ac:dyDescent="0.25">
      <c r="B293" s="235">
        <v>0.5</v>
      </c>
      <c r="C293" s="72">
        <v>3.3149171270718231E-2</v>
      </c>
      <c r="E293" s="235">
        <v>0.5</v>
      </c>
      <c r="F293" s="72">
        <v>4.4198895027624308E-2</v>
      </c>
      <c r="H293" s="235">
        <v>0.5</v>
      </c>
      <c r="I293" s="72">
        <v>0.5</v>
      </c>
      <c r="K293" s="235">
        <v>-0.2</v>
      </c>
      <c r="L293" s="72">
        <v>7.4285714285714288E-2</v>
      </c>
      <c r="N293" s="235">
        <v>0.2</v>
      </c>
      <c r="O293" s="72">
        <v>6.1111111111111109E-2</v>
      </c>
      <c r="Q293" s="235">
        <v>-0.2</v>
      </c>
      <c r="R293" s="232">
        <v>34.285714285714285</v>
      </c>
      <c r="T293" s="235">
        <v>0.2</v>
      </c>
      <c r="U293" s="232">
        <v>27.777777777777779</v>
      </c>
    </row>
    <row r="294" spans="2:21" x14ac:dyDescent="0.25">
      <c r="B294" s="235">
        <v>0.5</v>
      </c>
      <c r="C294" s="72">
        <v>3.6269430051813469E-2</v>
      </c>
      <c r="E294" s="235">
        <v>0.5</v>
      </c>
      <c r="F294" s="72">
        <v>3.6269430051813469E-2</v>
      </c>
      <c r="H294" s="235">
        <v>0.5</v>
      </c>
      <c r="I294" s="72">
        <v>0.5</v>
      </c>
      <c r="K294" s="235">
        <v>-0.2</v>
      </c>
      <c r="L294" s="72">
        <v>4.3243243243243246E-2</v>
      </c>
      <c r="N294" s="235">
        <v>0.2</v>
      </c>
      <c r="O294" s="72">
        <v>4.2105263157894736E-2</v>
      </c>
      <c r="Q294" s="235">
        <v>-0.2</v>
      </c>
      <c r="R294" s="232">
        <v>27.027027027027028</v>
      </c>
      <c r="T294" s="235">
        <v>0.2</v>
      </c>
      <c r="U294" s="232">
        <v>26.315789473684209</v>
      </c>
    </row>
    <row r="295" spans="2:21" x14ac:dyDescent="0.25">
      <c r="B295" s="235">
        <v>0.5</v>
      </c>
      <c r="C295" s="72">
        <v>4.046242774566474E-2</v>
      </c>
      <c r="E295" s="235">
        <v>0.5</v>
      </c>
      <c r="F295" s="72">
        <v>4.046242774566474E-2</v>
      </c>
      <c r="H295" s="235">
        <v>0.5</v>
      </c>
      <c r="I295" s="72">
        <v>0.45454545454545453</v>
      </c>
      <c r="K295" s="235">
        <v>-0.2</v>
      </c>
      <c r="L295" s="72">
        <v>2.8571428571428571E-2</v>
      </c>
      <c r="N295" s="235">
        <v>0.2</v>
      </c>
      <c r="O295" s="72">
        <v>3.9772727272727272E-2</v>
      </c>
      <c r="Q295" s="235">
        <v>-0.2</v>
      </c>
      <c r="R295" s="232">
        <v>28.571428571428573</v>
      </c>
      <c r="T295" s="235">
        <v>0.2</v>
      </c>
      <c r="U295" s="232">
        <v>28.40909090909091</v>
      </c>
    </row>
    <row r="296" spans="2:21" x14ac:dyDescent="0.25">
      <c r="B296" s="235">
        <v>0.5</v>
      </c>
      <c r="C296" s="72">
        <v>1.6759776536312849E-2</v>
      </c>
      <c r="E296" s="235">
        <v>0.5</v>
      </c>
      <c r="F296" s="72">
        <v>1.6759776536312849E-2</v>
      </c>
      <c r="H296" s="235">
        <v>0.5</v>
      </c>
      <c r="I296" s="72">
        <v>0.5</v>
      </c>
      <c r="K296" s="235">
        <v>-0.2</v>
      </c>
      <c r="L296" s="72">
        <v>5.9523809523809521E-2</v>
      </c>
      <c r="N296" s="235">
        <v>0.2</v>
      </c>
      <c r="O296" s="72">
        <v>2.2598870056497175E-2</v>
      </c>
      <c r="Q296" s="235">
        <v>-0.2</v>
      </c>
      <c r="R296" s="232">
        <v>53.571428571428569</v>
      </c>
      <c r="T296" s="235">
        <v>0.2</v>
      </c>
      <c r="U296" s="232">
        <v>39.548022598870055</v>
      </c>
    </row>
    <row r="297" spans="2:21" x14ac:dyDescent="0.25">
      <c r="B297" s="235">
        <v>0.5</v>
      </c>
      <c r="C297" s="72">
        <v>1.3824884792626729E-2</v>
      </c>
      <c r="E297" s="235">
        <v>0.5</v>
      </c>
      <c r="F297" s="72">
        <v>2.7649769585253458E-2</v>
      </c>
      <c r="H297" s="235">
        <v>0.5</v>
      </c>
      <c r="I297" s="72">
        <v>0.7</v>
      </c>
      <c r="K297" s="235">
        <v>-0.2</v>
      </c>
      <c r="L297" s="72">
        <v>3.9408866995073892E-2</v>
      </c>
      <c r="N297" s="235">
        <v>0.2</v>
      </c>
      <c r="O297" s="72">
        <v>2.8169014084507043E-2</v>
      </c>
      <c r="Q297" s="235">
        <v>-0.2</v>
      </c>
      <c r="R297" s="232">
        <v>59.11330049261084</v>
      </c>
      <c r="T297" s="235">
        <v>0.2</v>
      </c>
      <c r="U297" s="232">
        <v>46.948356807511736</v>
      </c>
    </row>
    <row r="298" spans="2:21" x14ac:dyDescent="0.25">
      <c r="B298" s="235">
        <v>0.5</v>
      </c>
      <c r="C298" s="72">
        <v>3.9408866995073892E-2</v>
      </c>
      <c r="E298" s="235">
        <v>0.5</v>
      </c>
      <c r="F298" s="72">
        <v>3.4482758620689655E-2</v>
      </c>
      <c r="H298" s="235">
        <v>0.5</v>
      </c>
      <c r="I298" s="72">
        <v>0.33333333333333331</v>
      </c>
      <c r="K298" s="235">
        <v>-0.2</v>
      </c>
      <c r="L298" s="72">
        <v>3.6649214659685861E-2</v>
      </c>
      <c r="N298" s="235">
        <v>0.2</v>
      </c>
      <c r="O298" s="72">
        <v>3.5000000000000003E-2</v>
      </c>
      <c r="Q298" s="235">
        <v>-0.2</v>
      </c>
      <c r="R298" s="232">
        <v>52.356020942408378</v>
      </c>
      <c r="T298" s="235">
        <v>0.2</v>
      </c>
      <c r="U298" s="232">
        <v>40</v>
      </c>
    </row>
    <row r="299" spans="2:21" x14ac:dyDescent="0.25">
      <c r="B299" s="235">
        <v>0.5</v>
      </c>
      <c r="C299" s="72">
        <v>4.6875E-2</v>
      </c>
      <c r="E299" s="235">
        <v>0.5</v>
      </c>
      <c r="F299" s="72">
        <v>5.2083333333333336E-2</v>
      </c>
      <c r="H299" s="235">
        <v>0.5</v>
      </c>
      <c r="I299" s="72">
        <v>0.44444444444444442</v>
      </c>
      <c r="K299" s="235">
        <v>-0.2</v>
      </c>
      <c r="L299" s="72">
        <v>4.975124378109453E-2</v>
      </c>
      <c r="N299" s="235">
        <v>0.2</v>
      </c>
      <c r="O299" s="72">
        <v>0.05</v>
      </c>
      <c r="Q299" s="235">
        <v>-0.2</v>
      </c>
      <c r="R299" s="232">
        <v>19.900497512437809</v>
      </c>
      <c r="T299" s="235">
        <v>0.2</v>
      </c>
      <c r="U299" s="232">
        <v>20</v>
      </c>
    </row>
    <row r="300" spans="2:21" x14ac:dyDescent="0.25">
      <c r="B300" s="235">
        <v>0.5</v>
      </c>
      <c r="C300" s="72">
        <v>5.4216867469879519E-2</v>
      </c>
      <c r="E300" s="235">
        <v>0.5</v>
      </c>
      <c r="F300" s="72">
        <v>1.8072289156626505E-2</v>
      </c>
      <c r="H300" s="235">
        <v>0.5</v>
      </c>
      <c r="I300" s="72">
        <v>0.2</v>
      </c>
      <c r="K300" s="235">
        <v>-0.2</v>
      </c>
      <c r="L300" s="72">
        <v>1.7857142857142856E-2</v>
      </c>
      <c r="N300" s="235">
        <v>0.2</v>
      </c>
      <c r="O300" s="72">
        <v>2.9940119760479042E-2</v>
      </c>
      <c r="Q300" s="235">
        <v>-0.2</v>
      </c>
      <c r="R300" s="232">
        <v>17.857142857142858</v>
      </c>
      <c r="T300" s="235">
        <v>0.2</v>
      </c>
      <c r="U300" s="232">
        <v>11.976047904191617</v>
      </c>
    </row>
    <row r="301" spans="2:21" x14ac:dyDescent="0.25">
      <c r="B301" s="235">
        <v>0.5</v>
      </c>
      <c r="C301" s="72">
        <v>5.113636363636364E-2</v>
      </c>
      <c r="E301" s="235">
        <v>0.5</v>
      </c>
      <c r="F301" s="72">
        <v>2.2727272727272728E-2</v>
      </c>
      <c r="H301" s="235">
        <v>0.5</v>
      </c>
      <c r="I301" s="72">
        <v>0.5</v>
      </c>
      <c r="K301" s="235">
        <v>-0.2</v>
      </c>
      <c r="L301" s="72">
        <v>1.6759776536312849E-2</v>
      </c>
      <c r="N301" s="235">
        <v>0.2</v>
      </c>
      <c r="O301" s="72">
        <v>3.4090909090909088E-2</v>
      </c>
      <c r="Q301" s="235">
        <v>-0.2</v>
      </c>
      <c r="R301" s="232">
        <v>22.346368715083798</v>
      </c>
      <c r="T301" s="235">
        <v>0.2</v>
      </c>
      <c r="U301" s="232">
        <v>34.090909090909093</v>
      </c>
    </row>
    <row r="302" spans="2:21" x14ac:dyDescent="0.25">
      <c r="B302" s="235">
        <v>0.5</v>
      </c>
      <c r="C302" s="72">
        <v>4.2553191489361701E-2</v>
      </c>
      <c r="E302" s="235">
        <v>0.5</v>
      </c>
      <c r="F302" s="72">
        <v>2.6595744680851064E-2</v>
      </c>
      <c r="H302" s="235">
        <v>0.5</v>
      </c>
      <c r="I302" s="72">
        <v>0.75</v>
      </c>
      <c r="K302" s="235">
        <v>-0.2</v>
      </c>
      <c r="L302" s="72">
        <v>5.0561797752808987E-2</v>
      </c>
      <c r="N302" s="235">
        <v>0.2</v>
      </c>
      <c r="O302" s="72">
        <v>3.2258064516129031E-2</v>
      </c>
      <c r="Q302" s="235">
        <v>-0.2</v>
      </c>
      <c r="R302" s="232">
        <v>56.179775280898873</v>
      </c>
      <c r="T302" s="235">
        <v>0.2</v>
      </c>
      <c r="U302" s="232">
        <v>37.634408602150536</v>
      </c>
    </row>
    <row r="303" spans="2:21" x14ac:dyDescent="0.25">
      <c r="B303" s="235">
        <v>0.5</v>
      </c>
      <c r="C303" s="72">
        <v>4.4554455445544552E-2</v>
      </c>
      <c r="E303" s="235">
        <v>0.5</v>
      </c>
      <c r="F303" s="72">
        <v>3.9603960396039604E-2</v>
      </c>
      <c r="H303" s="235">
        <v>0.5</v>
      </c>
      <c r="I303" s="72">
        <v>0.35294117647058826</v>
      </c>
      <c r="K303" s="235">
        <v>-0.2</v>
      </c>
      <c r="L303" s="72">
        <v>8.9108910891089105E-2</v>
      </c>
      <c r="N303" s="235">
        <v>0.2</v>
      </c>
      <c r="O303" s="72">
        <v>5.9113300492610835E-2</v>
      </c>
      <c r="Q303" s="235">
        <v>-0.2</v>
      </c>
      <c r="R303" s="232">
        <v>59.405940594059409</v>
      </c>
      <c r="T303" s="235">
        <v>0.2</v>
      </c>
      <c r="U303" s="232">
        <v>34.482758620689658</v>
      </c>
    </row>
    <row r="304" spans="2:21" x14ac:dyDescent="0.25">
      <c r="B304" s="235">
        <v>0.75</v>
      </c>
      <c r="C304" s="72">
        <v>2.0833333333333332E-2</v>
      </c>
      <c r="E304" s="235">
        <v>0.75</v>
      </c>
      <c r="F304" s="72">
        <v>1.5625E-2</v>
      </c>
      <c r="H304" s="235">
        <v>0.75</v>
      </c>
      <c r="I304" s="72">
        <v>0.625</v>
      </c>
      <c r="K304" s="235">
        <v>-0.1</v>
      </c>
      <c r="L304" s="72">
        <v>2.0408163265306121E-2</v>
      </c>
      <c r="N304" s="235">
        <v>0.3</v>
      </c>
      <c r="O304" s="72">
        <v>2.072538860103627E-2</v>
      </c>
      <c r="Q304" s="235">
        <v>-0.1</v>
      </c>
      <c r="R304" s="232">
        <v>25.510204081632654</v>
      </c>
      <c r="T304" s="235">
        <v>0.3</v>
      </c>
      <c r="U304" s="232">
        <v>31.088082901554404</v>
      </c>
    </row>
    <row r="305" spans="2:21" x14ac:dyDescent="0.25">
      <c r="B305" s="235">
        <v>0.75</v>
      </c>
      <c r="C305" s="72">
        <v>2.072538860103627E-2</v>
      </c>
      <c r="E305" s="235">
        <v>0.75</v>
      </c>
      <c r="F305" s="72">
        <v>2.5906735751295335E-2</v>
      </c>
      <c r="H305" s="235">
        <v>0.75</v>
      </c>
      <c r="I305" s="72">
        <v>0.5</v>
      </c>
      <c r="K305" s="235">
        <v>-0.1</v>
      </c>
      <c r="L305" s="72">
        <v>4.712041884816754E-2</v>
      </c>
      <c r="N305" s="235">
        <v>0.3</v>
      </c>
      <c r="O305" s="72">
        <v>3.6649214659685861E-2</v>
      </c>
      <c r="Q305" s="235">
        <v>-0.1</v>
      </c>
      <c r="R305" s="232">
        <v>31.413612565445025</v>
      </c>
      <c r="T305" s="235">
        <v>0.3</v>
      </c>
      <c r="U305" s="232">
        <v>36.64921465968586</v>
      </c>
    </row>
    <row r="306" spans="2:21" x14ac:dyDescent="0.25">
      <c r="B306" s="235">
        <v>0.75</v>
      </c>
      <c r="C306" s="72">
        <v>1.0101010101010102E-2</v>
      </c>
      <c r="E306" s="235">
        <v>0.75</v>
      </c>
      <c r="F306" s="72">
        <v>3.5353535353535352E-2</v>
      </c>
      <c r="H306" s="235">
        <v>0.75</v>
      </c>
      <c r="I306" s="72">
        <v>0.5714285714285714</v>
      </c>
      <c r="K306" s="235">
        <v>-0.1</v>
      </c>
      <c r="L306" s="72">
        <v>4.6875E-2</v>
      </c>
      <c r="N306" s="235">
        <v>0.3</v>
      </c>
      <c r="O306" s="72">
        <v>5.1546391752577317E-2</v>
      </c>
      <c r="Q306" s="235">
        <v>-0.1</v>
      </c>
      <c r="R306" s="232">
        <v>36.458333333333336</v>
      </c>
      <c r="T306" s="235">
        <v>0.3</v>
      </c>
      <c r="U306" s="232">
        <v>20.618556701030929</v>
      </c>
    </row>
    <row r="307" spans="2:21" x14ac:dyDescent="0.25">
      <c r="B307" s="235">
        <v>0.75</v>
      </c>
      <c r="C307" s="72">
        <v>1.6216216216216217E-2</v>
      </c>
      <c r="E307" s="235">
        <v>0.75</v>
      </c>
      <c r="F307" s="72">
        <v>4.8648648648648651E-2</v>
      </c>
      <c r="H307" s="235">
        <v>0.75</v>
      </c>
      <c r="I307" s="72">
        <v>0.5714285714285714</v>
      </c>
      <c r="K307" s="235">
        <v>-0.1</v>
      </c>
      <c r="L307" s="72">
        <v>6.9148936170212769E-2</v>
      </c>
      <c r="N307" s="235">
        <v>0.3</v>
      </c>
      <c r="O307" s="72">
        <v>4.712041884816754E-2</v>
      </c>
      <c r="Q307" s="235">
        <v>-0.1</v>
      </c>
      <c r="R307" s="232">
        <v>53.191489361702125</v>
      </c>
      <c r="T307" s="235">
        <v>0.3</v>
      </c>
      <c r="U307" s="232">
        <v>31.413612565445025</v>
      </c>
    </row>
    <row r="308" spans="2:21" x14ac:dyDescent="0.25">
      <c r="B308" s="235">
        <v>0.75</v>
      </c>
      <c r="C308" s="72">
        <v>0</v>
      </c>
      <c r="E308" s="235">
        <v>0.75</v>
      </c>
      <c r="F308" s="72">
        <v>4.1025641025641026E-2</v>
      </c>
      <c r="H308" s="235">
        <v>0.75</v>
      </c>
      <c r="I308" s="72">
        <v>0.25</v>
      </c>
      <c r="K308" s="235">
        <v>-0.1</v>
      </c>
      <c r="L308" s="72">
        <v>3.608247422680412E-2</v>
      </c>
      <c r="N308" s="235">
        <v>0.3</v>
      </c>
      <c r="O308" s="72">
        <v>3.5714285714285712E-2</v>
      </c>
      <c r="Q308" s="235">
        <v>-0.1</v>
      </c>
      <c r="R308" s="232">
        <v>25.773195876288661</v>
      </c>
      <c r="T308" s="235">
        <v>0.3</v>
      </c>
      <c r="U308" s="232">
        <v>25.510204081632654</v>
      </c>
    </row>
    <row r="309" spans="2:21" x14ac:dyDescent="0.25">
      <c r="B309" s="235">
        <v>0.75</v>
      </c>
      <c r="C309" s="72">
        <v>1.6574585635359115E-2</v>
      </c>
      <c r="E309" s="235">
        <v>0.75</v>
      </c>
      <c r="F309" s="72">
        <v>2.2099447513812154E-2</v>
      </c>
      <c r="H309" s="235">
        <v>0.75</v>
      </c>
      <c r="I309" s="72">
        <v>0.14285714285714285</v>
      </c>
      <c r="K309" s="235">
        <v>-0.1</v>
      </c>
      <c r="L309" s="72">
        <v>2.7472527472527472E-2</v>
      </c>
      <c r="N309" s="235">
        <v>0.3</v>
      </c>
      <c r="O309" s="72">
        <v>2.2099447513812154E-2</v>
      </c>
      <c r="Q309" s="235">
        <v>-0.1</v>
      </c>
      <c r="R309" s="232">
        <v>10.989010989010989</v>
      </c>
      <c r="T309" s="235">
        <v>0.3</v>
      </c>
      <c r="U309" s="232">
        <v>16.574585635359117</v>
      </c>
    </row>
    <row r="310" spans="2:21" x14ac:dyDescent="0.25">
      <c r="B310" s="235">
        <v>0.75</v>
      </c>
      <c r="C310" s="72">
        <v>1.1494252873563218E-2</v>
      </c>
      <c r="E310" s="235">
        <v>0.75</v>
      </c>
      <c r="F310" s="72">
        <v>4.5977011494252873E-2</v>
      </c>
      <c r="H310" s="235">
        <v>0.75</v>
      </c>
      <c r="I310" s="72">
        <v>0.33333333333333331</v>
      </c>
      <c r="K310" s="235">
        <v>-0.1</v>
      </c>
      <c r="L310" s="72">
        <v>5.232558139534884E-2</v>
      </c>
      <c r="N310" s="235">
        <v>0.3</v>
      </c>
      <c r="O310" s="72">
        <v>6.358381502890173E-2</v>
      </c>
      <c r="Q310" s="235">
        <v>-0.1</v>
      </c>
      <c r="R310" s="232">
        <v>29.069767441860463</v>
      </c>
      <c r="T310" s="235">
        <v>0.3</v>
      </c>
      <c r="U310" s="232">
        <v>28.901734104046241</v>
      </c>
    </row>
    <row r="311" spans="2:21" x14ac:dyDescent="0.25">
      <c r="B311" s="235">
        <v>0.75</v>
      </c>
      <c r="C311" s="72">
        <v>2.1052631578947368E-2</v>
      </c>
      <c r="E311" s="235">
        <v>0.75</v>
      </c>
      <c r="F311" s="72">
        <v>2.1052631578947368E-2</v>
      </c>
      <c r="H311" s="235">
        <v>0.75</v>
      </c>
      <c r="I311" s="72">
        <v>0.4375</v>
      </c>
      <c r="K311" s="235">
        <v>-0.1</v>
      </c>
      <c r="L311" s="72">
        <v>4.8128342245989303E-2</v>
      </c>
      <c r="N311" s="235">
        <v>0.3</v>
      </c>
      <c r="O311" s="72">
        <v>3.6649214659685861E-2</v>
      </c>
      <c r="Q311" s="235">
        <v>-0.1</v>
      </c>
      <c r="R311" s="232">
        <v>58.823529411764703</v>
      </c>
      <c r="T311" s="235">
        <v>0.3</v>
      </c>
      <c r="U311" s="232">
        <v>47.120418848167539</v>
      </c>
    </row>
    <row r="312" spans="2:21" x14ac:dyDescent="0.25">
      <c r="B312" s="235">
        <v>0.75</v>
      </c>
      <c r="C312" s="72">
        <v>1.1049723756906077E-2</v>
      </c>
      <c r="E312" s="235">
        <v>0.75</v>
      </c>
      <c r="F312" s="72">
        <v>1.6574585635359115E-2</v>
      </c>
      <c r="H312" s="235">
        <v>0.75</v>
      </c>
      <c r="I312" s="72">
        <v>0.5</v>
      </c>
      <c r="K312" s="235">
        <v>-0.1</v>
      </c>
      <c r="L312" s="72">
        <v>3.2786885245901641E-2</v>
      </c>
      <c r="N312" s="235">
        <v>0.3</v>
      </c>
      <c r="O312" s="72">
        <v>3.825136612021858E-2</v>
      </c>
      <c r="Q312" s="235">
        <v>-0.1</v>
      </c>
      <c r="R312" s="232">
        <v>27.3224043715847</v>
      </c>
      <c r="T312" s="235">
        <v>0.3</v>
      </c>
      <c r="U312" s="232">
        <v>32.786885245901637</v>
      </c>
    </row>
    <row r="313" spans="2:21" x14ac:dyDescent="0.25">
      <c r="B313" s="235">
        <v>0.75</v>
      </c>
      <c r="C313" s="72">
        <v>1.020408163265306E-2</v>
      </c>
      <c r="E313" s="235">
        <v>0.75</v>
      </c>
      <c r="F313" s="72">
        <v>2.0408163265306121E-2</v>
      </c>
      <c r="H313" s="235">
        <v>0.75</v>
      </c>
      <c r="I313" s="72">
        <v>0.33333333333333331</v>
      </c>
      <c r="K313" s="235">
        <v>-0.1</v>
      </c>
      <c r="L313" s="72">
        <v>3.0612244897959183E-2</v>
      </c>
      <c r="N313" s="235">
        <v>0.3</v>
      </c>
      <c r="O313" s="72">
        <v>2.5510204081632654E-2</v>
      </c>
      <c r="Q313" s="235">
        <v>-0.1</v>
      </c>
      <c r="R313" s="232">
        <v>30.612244897959183</v>
      </c>
      <c r="T313" s="235">
        <v>0.3</v>
      </c>
      <c r="U313" s="232">
        <v>25.510204081632654</v>
      </c>
    </row>
    <row r="314" spans="2:21" x14ac:dyDescent="0.25">
      <c r="B314" s="235">
        <v>0.75</v>
      </c>
      <c r="C314" s="72">
        <v>1.098901098901099E-2</v>
      </c>
      <c r="E314" s="235">
        <v>0.75</v>
      </c>
      <c r="F314" s="72">
        <v>4.3956043956043959E-2</v>
      </c>
      <c r="H314" s="235">
        <v>0.75</v>
      </c>
      <c r="I314" s="72">
        <v>0.2857142857142857</v>
      </c>
      <c r="K314" s="235">
        <v>-0.1</v>
      </c>
      <c r="L314" s="72">
        <v>5.6818181818181816E-2</v>
      </c>
      <c r="N314" s="235">
        <v>0.3</v>
      </c>
      <c r="O314" s="72">
        <v>4.4692737430167599E-2</v>
      </c>
      <c r="Q314" s="235">
        <v>-0.1</v>
      </c>
      <c r="R314" s="232">
        <v>39.772727272727273</v>
      </c>
      <c r="T314" s="235">
        <v>0.3</v>
      </c>
      <c r="U314" s="232">
        <v>27.932960893854748</v>
      </c>
    </row>
    <row r="315" spans="2:21" x14ac:dyDescent="0.25">
      <c r="B315" s="235">
        <v>0.75</v>
      </c>
      <c r="C315" s="72">
        <v>9.9502487562189053E-3</v>
      </c>
      <c r="E315" s="235">
        <v>0.75</v>
      </c>
      <c r="F315" s="72">
        <v>2.4875621890547265E-2</v>
      </c>
      <c r="H315" s="235">
        <v>0.75</v>
      </c>
      <c r="I315" s="72">
        <v>0.5</v>
      </c>
      <c r="K315" s="235">
        <v>-0.1</v>
      </c>
      <c r="L315" s="72">
        <v>0.04</v>
      </c>
      <c r="N315" s="235">
        <v>0.3</v>
      </c>
      <c r="O315" s="72">
        <v>3.9215686274509803E-2</v>
      </c>
      <c r="Q315" s="235">
        <v>-0.1</v>
      </c>
      <c r="R315" s="232">
        <v>25</v>
      </c>
      <c r="T315" s="235">
        <v>0.3</v>
      </c>
      <c r="U315" s="232">
        <v>19.607843137254903</v>
      </c>
    </row>
    <row r="316" spans="2:21" x14ac:dyDescent="0.25">
      <c r="B316" s="235">
        <v>0.75</v>
      </c>
      <c r="C316" s="72">
        <v>1.020408163265306E-2</v>
      </c>
      <c r="E316" s="235">
        <v>0.75</v>
      </c>
      <c r="F316" s="72">
        <v>2.5510204081632654E-2</v>
      </c>
      <c r="H316" s="235">
        <v>0.75</v>
      </c>
      <c r="I316" s="72">
        <v>0.4</v>
      </c>
      <c r="K316" s="235">
        <v>-0.1</v>
      </c>
      <c r="L316" s="72">
        <v>3.0303030303030304E-2</v>
      </c>
      <c r="N316" s="235">
        <v>0.3</v>
      </c>
      <c r="O316" s="72">
        <v>2.0408163265306121E-2</v>
      </c>
      <c r="Q316" s="235">
        <v>-0.1</v>
      </c>
      <c r="R316" s="232">
        <v>10.1010101010101</v>
      </c>
      <c r="T316" s="235">
        <v>0.3</v>
      </c>
      <c r="U316" s="232">
        <v>10.204081632653061</v>
      </c>
    </row>
    <row r="317" spans="2:21" x14ac:dyDescent="0.25">
      <c r="B317" s="235">
        <v>0.75</v>
      </c>
      <c r="C317" s="72">
        <v>1.6393442622950821E-2</v>
      </c>
      <c r="E317" s="235">
        <v>0.75</v>
      </c>
      <c r="F317" s="72">
        <v>1.6393442622950821E-2</v>
      </c>
      <c r="H317" s="235">
        <v>0.75</v>
      </c>
      <c r="I317" s="72">
        <v>0.44444444444444442</v>
      </c>
      <c r="K317" s="235">
        <v>-0.1</v>
      </c>
      <c r="L317" s="72">
        <v>2.197802197802198E-2</v>
      </c>
      <c r="N317" s="235">
        <v>0.3</v>
      </c>
      <c r="O317" s="72">
        <v>1.11731843575419E-2</v>
      </c>
      <c r="Q317" s="235">
        <v>-0.1</v>
      </c>
      <c r="R317" s="232">
        <v>16.483516483516482</v>
      </c>
      <c r="T317" s="235">
        <v>0.3</v>
      </c>
      <c r="U317" s="232">
        <v>22.346368715083798</v>
      </c>
    </row>
    <row r="318" spans="2:21" x14ac:dyDescent="0.25">
      <c r="B318" s="235">
        <v>0.75</v>
      </c>
      <c r="C318" s="72">
        <v>1.5384615384615385E-2</v>
      </c>
      <c r="E318" s="235">
        <v>0.75</v>
      </c>
      <c r="F318" s="72">
        <v>3.0769230769230771E-2</v>
      </c>
      <c r="H318" s="235">
        <v>0.75</v>
      </c>
      <c r="I318" s="72">
        <v>0.5</v>
      </c>
      <c r="K318" s="235">
        <v>-0.1</v>
      </c>
      <c r="L318" s="72">
        <v>2.5000000000000001E-2</v>
      </c>
      <c r="N318" s="235">
        <v>0.3</v>
      </c>
      <c r="O318" s="72">
        <v>3.5175879396984924E-2</v>
      </c>
      <c r="Q318" s="235">
        <v>-0.1</v>
      </c>
      <c r="R318" s="232">
        <v>15</v>
      </c>
      <c r="T318" s="235">
        <v>0.3</v>
      </c>
      <c r="U318" s="232">
        <v>25.125628140703519</v>
      </c>
    </row>
    <row r="319" spans="2:21" x14ac:dyDescent="0.25">
      <c r="B319" s="235">
        <v>0.75</v>
      </c>
      <c r="C319" s="72">
        <v>1.7341040462427744E-2</v>
      </c>
      <c r="E319" s="235">
        <v>0.75</v>
      </c>
      <c r="F319" s="72">
        <v>5.7803468208092483E-3</v>
      </c>
      <c r="H319" s="235">
        <v>0.75</v>
      </c>
      <c r="I319" s="72">
        <v>0.55555555555555558</v>
      </c>
      <c r="K319" s="235">
        <v>-0.1</v>
      </c>
      <c r="L319" s="72">
        <v>2.3255813953488372E-2</v>
      </c>
      <c r="N319" s="235">
        <v>0.3</v>
      </c>
      <c r="O319" s="72">
        <v>1.7142857142857144E-2</v>
      </c>
      <c r="Q319" s="235">
        <v>-0.1</v>
      </c>
      <c r="R319" s="232">
        <v>40.697674418604649</v>
      </c>
      <c r="T319" s="235">
        <v>0.3</v>
      </c>
      <c r="U319" s="232">
        <v>45.714285714285715</v>
      </c>
    </row>
    <row r="320" spans="2:21" x14ac:dyDescent="0.25">
      <c r="B320" s="235">
        <v>0.75</v>
      </c>
      <c r="C320" s="72">
        <v>2.185792349726776E-2</v>
      </c>
      <c r="E320" s="235">
        <v>0.75</v>
      </c>
      <c r="F320" s="72">
        <v>2.7322404371584699E-2</v>
      </c>
      <c r="H320" s="235">
        <v>0.75</v>
      </c>
      <c r="I320" s="72">
        <v>0.46153846153846156</v>
      </c>
      <c r="K320" s="235">
        <v>-0.1</v>
      </c>
      <c r="L320" s="72">
        <v>3.8461538461538464E-2</v>
      </c>
      <c r="N320" s="235">
        <v>0.3</v>
      </c>
      <c r="O320" s="72">
        <v>4.3478260869565216E-2</v>
      </c>
      <c r="Q320" s="235">
        <v>-0.1</v>
      </c>
      <c r="R320" s="232">
        <v>32.967032967032964</v>
      </c>
      <c r="T320" s="235">
        <v>0.3</v>
      </c>
      <c r="U320" s="232">
        <v>54.347826086956523</v>
      </c>
    </row>
    <row r="321" spans="2:21" x14ac:dyDescent="0.25">
      <c r="B321" s="235">
        <v>0.75</v>
      </c>
      <c r="C321" s="72">
        <v>2.0618556701030927E-2</v>
      </c>
      <c r="E321" s="235">
        <v>0.75</v>
      </c>
      <c r="F321" s="72">
        <v>1.0309278350515464E-2</v>
      </c>
      <c r="H321" s="235">
        <v>0.75</v>
      </c>
      <c r="I321" s="72">
        <v>0.33333333333333331</v>
      </c>
      <c r="K321" s="235">
        <v>-0.1</v>
      </c>
      <c r="L321" s="72">
        <v>4.5918367346938778E-2</v>
      </c>
      <c r="N321" s="235">
        <v>0.3</v>
      </c>
      <c r="O321" s="72">
        <v>4.4999999999999998E-2</v>
      </c>
      <c r="Q321" s="235">
        <v>-0.1</v>
      </c>
      <c r="R321" s="232">
        <v>35.714285714285715</v>
      </c>
      <c r="T321" s="235">
        <v>0.3</v>
      </c>
      <c r="U321" s="232">
        <v>40</v>
      </c>
    </row>
    <row r="322" spans="2:21" x14ac:dyDescent="0.25">
      <c r="B322" s="235">
        <v>0.75</v>
      </c>
      <c r="C322" s="72">
        <v>1.6042780748663103E-2</v>
      </c>
      <c r="E322" s="235">
        <v>0.75</v>
      </c>
      <c r="F322" s="72">
        <v>2.1390374331550801E-2</v>
      </c>
      <c r="H322" s="235">
        <v>0.75</v>
      </c>
      <c r="I322" s="72">
        <v>0.2857142857142857</v>
      </c>
      <c r="K322" s="235">
        <v>-0.1</v>
      </c>
      <c r="L322" s="72">
        <v>3.7037037037037035E-2</v>
      </c>
      <c r="N322" s="235">
        <v>0.3</v>
      </c>
      <c r="O322" s="72">
        <v>3.7037037037037035E-2</v>
      </c>
      <c r="Q322" s="235">
        <v>-0.1</v>
      </c>
      <c r="R322" s="232">
        <v>26.455026455026456</v>
      </c>
      <c r="T322" s="235">
        <v>0.3</v>
      </c>
      <c r="U322" s="232">
        <v>26.455026455026456</v>
      </c>
    </row>
    <row r="323" spans="2:21" x14ac:dyDescent="0.25">
      <c r="B323" s="235">
        <v>0.75</v>
      </c>
      <c r="C323" s="72">
        <v>1.8292682926829267E-2</v>
      </c>
      <c r="E323" s="235">
        <v>0.75</v>
      </c>
      <c r="F323" s="72">
        <v>1.8292682926829267E-2</v>
      </c>
      <c r="H323" s="235">
        <v>0.75</v>
      </c>
      <c r="I323" s="72">
        <v>0.25</v>
      </c>
      <c r="K323" s="235">
        <v>-0.1</v>
      </c>
      <c r="L323" s="72">
        <v>3.5928143712574849E-2</v>
      </c>
      <c r="N323" s="235">
        <v>0.3</v>
      </c>
      <c r="O323" s="72">
        <v>1.1299435028248588E-2</v>
      </c>
      <c r="Q323" s="235">
        <v>-0.1</v>
      </c>
      <c r="R323" s="232">
        <v>11.976047904191617</v>
      </c>
      <c r="T323" s="235">
        <v>0.3</v>
      </c>
      <c r="U323" s="232">
        <v>5.6497175141242941</v>
      </c>
    </row>
    <row r="324" spans="2:21" x14ac:dyDescent="0.25">
      <c r="B324" s="235">
        <v>0.75</v>
      </c>
      <c r="C324" s="72">
        <v>1.0526315789473684E-2</v>
      </c>
      <c r="E324" s="235">
        <v>0.75</v>
      </c>
      <c r="F324" s="72">
        <v>1.0526315789473684E-2</v>
      </c>
      <c r="H324" s="235">
        <v>0.75</v>
      </c>
      <c r="I324" s="72">
        <v>0.5</v>
      </c>
      <c r="K324" s="235">
        <v>-0.1</v>
      </c>
      <c r="L324" s="72">
        <v>1.6129032258064516E-2</v>
      </c>
      <c r="N324" s="235">
        <v>0.3</v>
      </c>
      <c r="O324" s="72">
        <v>2.1390374331550801E-2</v>
      </c>
      <c r="Q324" s="235">
        <v>-0.1</v>
      </c>
      <c r="R324" s="232">
        <v>32.258064516129032</v>
      </c>
      <c r="T324" s="235">
        <v>0.3</v>
      </c>
      <c r="U324" s="232">
        <v>26.737967914438503</v>
      </c>
    </row>
    <row r="325" spans="2:21" x14ac:dyDescent="0.25">
      <c r="B325" s="235">
        <v>0.75</v>
      </c>
      <c r="C325" s="72">
        <v>0</v>
      </c>
      <c r="E325" s="235">
        <v>0.75</v>
      </c>
      <c r="F325" s="72">
        <v>2.0100502512562814E-2</v>
      </c>
      <c r="H325" s="235">
        <v>0.75</v>
      </c>
      <c r="I325" s="72">
        <v>0.4</v>
      </c>
      <c r="K325" s="235">
        <v>-0.1</v>
      </c>
      <c r="L325" s="72">
        <v>2.072538860103627E-2</v>
      </c>
      <c r="N325" s="235">
        <v>0.3</v>
      </c>
      <c r="O325" s="72">
        <v>2.5510204081632654E-2</v>
      </c>
      <c r="Q325" s="235">
        <v>-0.1</v>
      </c>
      <c r="R325" s="232">
        <v>20.725388601036268</v>
      </c>
      <c r="T325" s="235">
        <v>0.3</v>
      </c>
      <c r="U325" s="232">
        <v>15.306122448979592</v>
      </c>
    </row>
    <row r="326" spans="2:21" x14ac:dyDescent="0.25">
      <c r="B326" s="235">
        <v>0.75</v>
      </c>
      <c r="C326" s="72">
        <v>1.5228426395939087E-2</v>
      </c>
      <c r="E326" s="235">
        <v>0.75</v>
      </c>
      <c r="F326" s="72">
        <v>2.030456852791878E-2</v>
      </c>
      <c r="H326" s="235">
        <v>0.75</v>
      </c>
      <c r="I326" s="72">
        <v>0.5</v>
      </c>
      <c r="K326" s="235">
        <v>-0.1</v>
      </c>
      <c r="L326" s="72">
        <v>2.0100502512562814E-2</v>
      </c>
      <c r="N326" s="235">
        <v>0.3</v>
      </c>
      <c r="O326" s="72">
        <v>1.5306122448979591E-2</v>
      </c>
      <c r="Q326" s="235">
        <v>-0.1</v>
      </c>
      <c r="R326" s="232">
        <v>35.175879396984925</v>
      </c>
      <c r="T326" s="235">
        <v>0.3</v>
      </c>
      <c r="U326" s="232">
        <v>51.020408163265309</v>
      </c>
    </row>
    <row r="327" spans="2:21" x14ac:dyDescent="0.25">
      <c r="B327" s="235">
        <v>0.75</v>
      </c>
      <c r="C327" s="72">
        <v>2.1739130434782608E-2</v>
      </c>
      <c r="E327" s="235">
        <v>0.75</v>
      </c>
      <c r="F327" s="72">
        <v>3.2608695652173912E-2</v>
      </c>
      <c r="H327" s="235">
        <v>0.75</v>
      </c>
      <c r="I327" s="72">
        <v>0.18181818181818182</v>
      </c>
      <c r="K327" s="235">
        <v>-0.1</v>
      </c>
      <c r="L327" s="72">
        <v>4.3956043956043959E-2</v>
      </c>
      <c r="N327" s="235">
        <v>0.3</v>
      </c>
      <c r="O327" s="72">
        <v>3.8043478260869568E-2</v>
      </c>
      <c r="Q327" s="235">
        <v>-0.1</v>
      </c>
      <c r="R327" s="232">
        <v>21.978021978021978</v>
      </c>
      <c r="T327" s="235">
        <v>0.3</v>
      </c>
      <c r="U327" s="232">
        <v>16.304347826086957</v>
      </c>
    </row>
    <row r="328" spans="2:21" x14ac:dyDescent="0.25">
      <c r="B328" s="235">
        <v>0.75</v>
      </c>
      <c r="C328" s="72">
        <v>1.9607843137254902E-2</v>
      </c>
      <c r="E328" s="235">
        <v>0.75</v>
      </c>
      <c r="F328" s="72">
        <v>2.4509803921568627E-2</v>
      </c>
      <c r="H328" s="235">
        <v>0.75</v>
      </c>
      <c r="I328" s="72">
        <v>0</v>
      </c>
      <c r="K328" s="235">
        <v>-0.1</v>
      </c>
      <c r="L328" s="72">
        <v>4.0201005025125629E-2</v>
      </c>
      <c r="N328" s="235">
        <v>0.3</v>
      </c>
      <c r="O328" s="72">
        <v>3.4482758620689655E-2</v>
      </c>
      <c r="Q328" s="235">
        <v>-0.1</v>
      </c>
      <c r="R328" s="232">
        <v>20.100502512562816</v>
      </c>
      <c r="T328" s="235">
        <v>0.3</v>
      </c>
      <c r="U328" s="232">
        <v>19.704433497536947</v>
      </c>
    </row>
    <row r="329" spans="2:21" x14ac:dyDescent="0.25">
      <c r="B329" s="235">
        <v>0.75</v>
      </c>
      <c r="C329" s="72">
        <v>1.5384615384615385E-2</v>
      </c>
      <c r="E329" s="235">
        <v>0.75</v>
      </c>
      <c r="F329" s="72">
        <v>2.0512820512820513E-2</v>
      </c>
      <c r="H329" s="235">
        <v>0.75</v>
      </c>
      <c r="I329" s="72">
        <v>0.25</v>
      </c>
      <c r="K329" s="235">
        <v>-0.1</v>
      </c>
      <c r="L329" s="72">
        <v>2.6315789473684209E-2</v>
      </c>
      <c r="N329" s="235">
        <v>0.3</v>
      </c>
      <c r="O329" s="72">
        <v>3.015075376884422E-2</v>
      </c>
      <c r="Q329" s="235">
        <v>-0.1</v>
      </c>
      <c r="R329" s="232">
        <v>47.368421052631582</v>
      </c>
      <c r="T329" s="235">
        <v>0.3</v>
      </c>
      <c r="U329" s="232">
        <v>30.150753768844222</v>
      </c>
    </row>
    <row r="330" spans="2:21" x14ac:dyDescent="0.25">
      <c r="B330" s="235">
        <v>0.75</v>
      </c>
      <c r="C330" s="72">
        <v>5.4054054054054057E-3</v>
      </c>
      <c r="E330" s="235">
        <v>0.75</v>
      </c>
      <c r="F330" s="72">
        <v>3.2432432432432434E-2</v>
      </c>
      <c r="H330" s="235">
        <v>0.75</v>
      </c>
      <c r="I330" s="72">
        <v>0.33333333333333331</v>
      </c>
      <c r="K330" s="235">
        <v>-0.1</v>
      </c>
      <c r="L330" s="72">
        <v>3.8043478260869568E-2</v>
      </c>
      <c r="N330" s="235">
        <v>0.3</v>
      </c>
      <c r="O330" s="72">
        <v>4.3010752688172046E-2</v>
      </c>
      <c r="Q330" s="235">
        <v>-0.1</v>
      </c>
      <c r="R330" s="232">
        <v>38.043478260869563</v>
      </c>
      <c r="T330" s="235">
        <v>0.3</v>
      </c>
      <c r="U330" s="232">
        <v>43.01075268817204</v>
      </c>
    </row>
    <row r="331" spans="2:21" x14ac:dyDescent="0.25">
      <c r="B331" s="235">
        <v>0.75</v>
      </c>
      <c r="C331" s="72">
        <v>1.6393442622950821E-2</v>
      </c>
      <c r="E331" s="235">
        <v>0.75</v>
      </c>
      <c r="F331" s="72">
        <v>4.3715846994535519E-2</v>
      </c>
      <c r="H331" s="235">
        <v>0.75</v>
      </c>
      <c r="I331" s="72">
        <v>0.66666666666666663</v>
      </c>
      <c r="K331" s="235">
        <v>-0.1</v>
      </c>
      <c r="L331" s="72">
        <v>6.0773480662983423E-2</v>
      </c>
      <c r="N331" s="235">
        <v>0.3</v>
      </c>
      <c r="O331" s="72">
        <v>4.8128342245989303E-2</v>
      </c>
      <c r="Q331" s="235">
        <v>-0.1</v>
      </c>
      <c r="R331" s="232">
        <v>22.099447513812155</v>
      </c>
      <c r="T331" s="235">
        <v>0.3</v>
      </c>
      <c r="U331" s="232">
        <v>16.042780748663102</v>
      </c>
    </row>
    <row r="332" spans="2:21" x14ac:dyDescent="0.25">
      <c r="B332" s="235">
        <v>0.75</v>
      </c>
      <c r="C332" s="72">
        <v>2.030456852791878E-2</v>
      </c>
      <c r="E332" s="235">
        <v>0.75</v>
      </c>
      <c r="F332" s="72">
        <v>2.030456852791878E-2</v>
      </c>
      <c r="H332" s="235">
        <v>0.75</v>
      </c>
      <c r="I332" s="72">
        <v>0.53846153846153844</v>
      </c>
      <c r="K332" s="235">
        <v>-0.1</v>
      </c>
      <c r="L332" s="72">
        <v>3.5000000000000003E-2</v>
      </c>
      <c r="N332" s="235">
        <v>0.3</v>
      </c>
      <c r="O332" s="72">
        <v>3.5000000000000003E-2</v>
      </c>
      <c r="Q332" s="235">
        <v>-0.1</v>
      </c>
      <c r="R332" s="232">
        <v>35</v>
      </c>
      <c r="T332" s="235">
        <v>0.3</v>
      </c>
      <c r="U332" s="232">
        <v>35</v>
      </c>
    </row>
    <row r="333" spans="2:21" x14ac:dyDescent="0.25">
      <c r="B333" s="235">
        <v>0.75</v>
      </c>
      <c r="C333" s="72">
        <v>1.7441860465116279E-2</v>
      </c>
      <c r="E333" s="235">
        <v>0.75</v>
      </c>
      <c r="F333" s="72">
        <v>2.3255813953488372E-2</v>
      </c>
      <c r="H333" s="235">
        <v>0.75</v>
      </c>
      <c r="I333" s="72">
        <v>0.125</v>
      </c>
      <c r="K333" s="235">
        <v>-0.1</v>
      </c>
      <c r="L333" s="72">
        <v>4.0935672514619881E-2</v>
      </c>
      <c r="N333" s="235">
        <v>0.3</v>
      </c>
      <c r="O333" s="72">
        <v>3.5502958579881658E-2</v>
      </c>
      <c r="Q333" s="235">
        <v>-0.1</v>
      </c>
      <c r="R333" s="232">
        <v>40.935672514619881</v>
      </c>
      <c r="T333" s="235">
        <v>0.3</v>
      </c>
      <c r="U333" s="232">
        <v>41.420118343195263</v>
      </c>
    </row>
    <row r="334" spans="2:21" x14ac:dyDescent="0.25">
      <c r="B334" s="235">
        <v>0.75</v>
      </c>
      <c r="C334" s="72">
        <v>1.6949152542372881E-2</v>
      </c>
      <c r="E334" s="235">
        <v>0.75</v>
      </c>
      <c r="F334" s="72">
        <v>1.6949152542372881E-2</v>
      </c>
      <c r="H334" s="235">
        <v>0.75</v>
      </c>
      <c r="I334" s="72">
        <v>0.33333333333333331</v>
      </c>
      <c r="K334" s="235">
        <v>-0.1</v>
      </c>
      <c r="L334" s="72">
        <v>0.04</v>
      </c>
      <c r="N334" s="235">
        <v>0.3</v>
      </c>
      <c r="O334" s="72">
        <v>2.1505376344086023E-2</v>
      </c>
      <c r="Q334" s="235">
        <v>-0.1</v>
      </c>
      <c r="R334" s="232">
        <v>11.428571428571429</v>
      </c>
      <c r="T334" s="235">
        <v>0.3</v>
      </c>
      <c r="U334" s="232">
        <v>10.75268817204301</v>
      </c>
    </row>
    <row r="335" spans="2:21" x14ac:dyDescent="0.25">
      <c r="B335" s="235">
        <v>0.75</v>
      </c>
      <c r="C335" s="72">
        <v>2.6041666666666668E-2</v>
      </c>
      <c r="E335" s="235">
        <v>0.75</v>
      </c>
      <c r="F335" s="72">
        <v>1.5625E-2</v>
      </c>
      <c r="H335" s="235">
        <v>0.75</v>
      </c>
      <c r="I335" s="72">
        <v>0.4</v>
      </c>
      <c r="K335" s="235">
        <v>-0.1</v>
      </c>
      <c r="L335" s="72">
        <v>3.6458333333333336E-2</v>
      </c>
      <c r="N335" s="235">
        <v>0.3</v>
      </c>
      <c r="O335" s="72">
        <v>3.0303030303030304E-2</v>
      </c>
      <c r="Q335" s="235">
        <v>-0.1</v>
      </c>
      <c r="R335" s="232">
        <v>36.458333333333336</v>
      </c>
      <c r="T335" s="235">
        <v>0.3</v>
      </c>
      <c r="U335" s="232">
        <v>15.151515151515152</v>
      </c>
    </row>
    <row r="336" spans="2:21" x14ac:dyDescent="0.25">
      <c r="B336" s="235">
        <v>0.75</v>
      </c>
      <c r="C336" s="72">
        <v>2.030456852791878E-2</v>
      </c>
      <c r="E336" s="235">
        <v>0.75</v>
      </c>
      <c r="F336" s="72">
        <v>2.030456852791878E-2</v>
      </c>
      <c r="H336" s="235">
        <v>0.75</v>
      </c>
      <c r="I336" s="72">
        <v>0.2857142857142857</v>
      </c>
      <c r="K336" s="235">
        <v>-0.1</v>
      </c>
      <c r="L336" s="72">
        <v>3.5714285714285712E-2</v>
      </c>
      <c r="N336" s="235">
        <v>0.3</v>
      </c>
      <c r="O336" s="72">
        <v>2.564102564102564E-2</v>
      </c>
      <c r="Q336" s="235">
        <v>-0.1</v>
      </c>
      <c r="R336" s="232">
        <v>30.612244897959183</v>
      </c>
      <c r="T336" s="235">
        <v>0.3</v>
      </c>
      <c r="U336" s="232">
        <v>30.76923076923077</v>
      </c>
    </row>
    <row r="337" spans="2:21" x14ac:dyDescent="0.25">
      <c r="B337" s="235">
        <v>0.75</v>
      </c>
      <c r="C337" s="72">
        <v>1.11731843575419E-2</v>
      </c>
      <c r="E337" s="235">
        <v>0.75</v>
      </c>
      <c r="F337" s="72">
        <v>1.6759776536312849E-2</v>
      </c>
      <c r="H337" s="235">
        <v>0.75</v>
      </c>
      <c r="I337" s="72">
        <v>0.14285714285714285</v>
      </c>
      <c r="K337" s="235">
        <v>-0.1</v>
      </c>
      <c r="L337" s="72">
        <v>3.3333333333333333E-2</v>
      </c>
      <c r="N337" s="235">
        <v>0.3</v>
      </c>
      <c r="O337" s="72">
        <v>2.197802197802198E-2</v>
      </c>
      <c r="Q337" s="235">
        <v>-0.1</v>
      </c>
      <c r="R337" s="232">
        <v>11.111111111111111</v>
      </c>
      <c r="T337" s="235">
        <v>0.3</v>
      </c>
      <c r="U337" s="232">
        <v>10.989010989010989</v>
      </c>
    </row>
    <row r="338" spans="2:21" x14ac:dyDescent="0.25">
      <c r="B338" s="235">
        <v>0.75</v>
      </c>
      <c r="C338" s="72">
        <v>5.1813471502590676E-3</v>
      </c>
      <c r="E338" s="235">
        <v>0.75</v>
      </c>
      <c r="F338" s="72">
        <v>3.6269430051813469E-2</v>
      </c>
      <c r="H338" s="235">
        <v>0.75</v>
      </c>
      <c r="I338" s="72">
        <v>0.45454545454545453</v>
      </c>
      <c r="K338" s="235">
        <v>-0.1</v>
      </c>
      <c r="L338" s="72">
        <v>3.1914893617021274E-2</v>
      </c>
      <c r="N338" s="235">
        <v>0.3</v>
      </c>
      <c r="O338" s="72">
        <v>3.1578947368421054E-2</v>
      </c>
      <c r="Q338" s="235">
        <v>-0.1</v>
      </c>
      <c r="R338" s="232">
        <v>31.914893617021278</v>
      </c>
      <c r="T338" s="235">
        <v>0.3</v>
      </c>
      <c r="U338" s="232">
        <v>36.842105263157897</v>
      </c>
    </row>
    <row r="339" spans="2:21" x14ac:dyDescent="0.25">
      <c r="B339" s="235">
        <v>0.75</v>
      </c>
      <c r="C339" s="72">
        <v>2.5125628140703519E-2</v>
      </c>
      <c r="E339" s="235">
        <v>0.75</v>
      </c>
      <c r="F339" s="72">
        <v>3.015075376884422E-2</v>
      </c>
      <c r="H339" s="235">
        <v>0.75</v>
      </c>
      <c r="I339" s="72">
        <v>0.33333333333333331</v>
      </c>
      <c r="K339" s="235">
        <v>-0.1</v>
      </c>
      <c r="L339" s="72">
        <v>4.9504950495049507E-2</v>
      </c>
      <c r="N339" s="235">
        <v>0.3</v>
      </c>
      <c r="O339" s="72">
        <v>3.5175879396984924E-2</v>
      </c>
      <c r="Q339" s="235">
        <v>-0.1</v>
      </c>
      <c r="R339" s="232">
        <v>14.851485148514852</v>
      </c>
      <c r="T339" s="235">
        <v>0.3</v>
      </c>
      <c r="U339" s="232">
        <v>10.050251256281408</v>
      </c>
    </row>
    <row r="340" spans="2:21" x14ac:dyDescent="0.25">
      <c r="B340" s="235">
        <v>0.75</v>
      </c>
      <c r="C340" s="72">
        <v>1.1627906976744186E-2</v>
      </c>
      <c r="E340" s="235">
        <v>0.75</v>
      </c>
      <c r="F340" s="72">
        <v>2.3255813953488372E-2</v>
      </c>
      <c r="H340" s="235">
        <v>0.75</v>
      </c>
      <c r="I340" s="72">
        <v>0</v>
      </c>
      <c r="K340" s="235">
        <v>-0.1</v>
      </c>
      <c r="L340" s="72">
        <v>2.3809523809523808E-2</v>
      </c>
      <c r="N340" s="235">
        <v>0.3</v>
      </c>
      <c r="O340" s="72">
        <v>2.3529411764705882E-2</v>
      </c>
      <c r="Q340" s="235">
        <v>-0.1</v>
      </c>
      <c r="R340" s="232">
        <v>11.904761904761905</v>
      </c>
      <c r="T340" s="235">
        <v>0.3</v>
      </c>
      <c r="U340" s="232">
        <v>11.764705882352942</v>
      </c>
    </row>
    <row r="341" spans="2:21" x14ac:dyDescent="0.25">
      <c r="B341" s="235">
        <v>0.75</v>
      </c>
      <c r="C341" s="72">
        <v>2.6737967914438502E-2</v>
      </c>
      <c r="E341" s="235">
        <v>0.75</v>
      </c>
      <c r="F341" s="72">
        <v>2.1390374331550801E-2</v>
      </c>
      <c r="H341" s="235">
        <v>0.75</v>
      </c>
      <c r="I341" s="72">
        <v>0.44444444444444442</v>
      </c>
      <c r="K341" s="235">
        <v>-0.1</v>
      </c>
      <c r="L341" s="72">
        <v>3.2085561497326207E-2</v>
      </c>
      <c r="N341" s="235">
        <v>0.3</v>
      </c>
      <c r="O341" s="72">
        <v>3.125E-2</v>
      </c>
      <c r="Q341" s="235">
        <v>-0.1</v>
      </c>
      <c r="R341" s="232">
        <v>42.780748663101605</v>
      </c>
      <c r="T341" s="235">
        <v>0.3</v>
      </c>
      <c r="U341" s="232">
        <v>46.875</v>
      </c>
    </row>
    <row r="342" spans="2:21" x14ac:dyDescent="0.25">
      <c r="B342" s="235">
        <v>0.75</v>
      </c>
      <c r="C342" s="72">
        <v>1.0582010582010581E-2</v>
      </c>
      <c r="E342" s="235">
        <v>0.75</v>
      </c>
      <c r="F342" s="72">
        <v>1.5873015873015872E-2</v>
      </c>
      <c r="H342" s="235">
        <v>0.75</v>
      </c>
      <c r="I342" s="72">
        <v>0.75</v>
      </c>
      <c r="K342" s="235">
        <v>-0.1</v>
      </c>
      <c r="L342" s="72">
        <v>2.185792349726776E-2</v>
      </c>
      <c r="N342" s="235">
        <v>0.3</v>
      </c>
      <c r="O342" s="72">
        <v>2.6595744680851064E-2</v>
      </c>
      <c r="Q342" s="235">
        <v>-0.1</v>
      </c>
      <c r="R342" s="232">
        <v>54.644808743169399</v>
      </c>
      <c r="T342" s="235">
        <v>0.3</v>
      </c>
      <c r="U342" s="232">
        <v>47.872340425531917</v>
      </c>
    </row>
    <row r="343" spans="2:21" x14ac:dyDescent="0.25">
      <c r="B343" s="235">
        <v>0.75</v>
      </c>
      <c r="C343" s="72">
        <v>2.9411764705882353E-2</v>
      </c>
      <c r="E343" s="235">
        <v>0.75</v>
      </c>
      <c r="F343" s="72">
        <v>2.3529411764705882E-2</v>
      </c>
      <c r="H343" s="235">
        <v>0.75</v>
      </c>
      <c r="I343" s="72">
        <v>0.14285714285714285</v>
      </c>
      <c r="K343" s="235">
        <v>-0.1</v>
      </c>
      <c r="L343" s="72">
        <v>2.9069767441860465E-2</v>
      </c>
      <c r="N343" s="235">
        <v>0.3</v>
      </c>
      <c r="O343" s="72">
        <v>2.3529411764705882E-2</v>
      </c>
      <c r="Q343" s="235">
        <v>-0.1</v>
      </c>
      <c r="R343" s="232">
        <v>17.441860465116278</v>
      </c>
      <c r="T343" s="235">
        <v>0.3</v>
      </c>
      <c r="U343" s="232">
        <v>5.882352941176471</v>
      </c>
    </row>
    <row r="344" spans="2:21" x14ac:dyDescent="0.25">
      <c r="B344" s="235">
        <v>0.75</v>
      </c>
      <c r="C344" s="72">
        <v>5.0505050505050509E-3</v>
      </c>
      <c r="E344" s="235">
        <v>0.75</v>
      </c>
      <c r="F344" s="72">
        <v>3.5353535353535352E-2</v>
      </c>
      <c r="H344" s="235">
        <v>0.75</v>
      </c>
      <c r="I344" s="72">
        <v>0.72727272727272729</v>
      </c>
      <c r="K344" s="235">
        <v>-0.1</v>
      </c>
      <c r="L344" s="72">
        <v>3.7037037037037035E-2</v>
      </c>
      <c r="N344" s="235">
        <v>0.3</v>
      </c>
      <c r="O344" s="72">
        <v>3.6269430051813469E-2</v>
      </c>
      <c r="Q344" s="235">
        <v>-0.1</v>
      </c>
      <c r="R344" s="232">
        <v>52.910052910052912</v>
      </c>
      <c r="T344" s="235">
        <v>0.3</v>
      </c>
      <c r="U344" s="232">
        <v>41.450777202072537</v>
      </c>
    </row>
    <row r="345" spans="2:21" x14ac:dyDescent="0.25">
      <c r="B345" s="235">
        <v>0.75</v>
      </c>
      <c r="C345" s="72">
        <v>5.1813471502590676E-3</v>
      </c>
      <c r="E345" s="235">
        <v>0.75</v>
      </c>
      <c r="F345" s="72">
        <v>1.0362694300518135E-2</v>
      </c>
      <c r="H345" s="235">
        <v>0.75</v>
      </c>
      <c r="I345" s="72">
        <v>0.44444444444444442</v>
      </c>
      <c r="K345" s="235">
        <v>-0.1</v>
      </c>
      <c r="L345" s="72">
        <v>1.5151515151515152E-2</v>
      </c>
      <c r="N345" s="235">
        <v>0.3</v>
      </c>
      <c r="O345" s="72">
        <v>1.5384615384615385E-2</v>
      </c>
      <c r="Q345" s="235">
        <v>-0.1</v>
      </c>
      <c r="R345" s="232">
        <v>20.202020202020201</v>
      </c>
      <c r="T345" s="235">
        <v>0.3</v>
      </c>
      <c r="U345" s="232">
        <v>15.384615384615385</v>
      </c>
    </row>
    <row r="346" spans="2:21" x14ac:dyDescent="0.25">
      <c r="B346" s="235">
        <v>0.75</v>
      </c>
      <c r="C346" s="72">
        <v>2.1505376344086023E-2</v>
      </c>
      <c r="E346" s="235">
        <v>0.75</v>
      </c>
      <c r="F346" s="72">
        <v>2.1505376344086023E-2</v>
      </c>
      <c r="H346" s="235">
        <v>0.75</v>
      </c>
      <c r="I346" s="72">
        <v>0.8571428571428571</v>
      </c>
      <c r="K346" s="235">
        <v>-0.1</v>
      </c>
      <c r="L346" s="72">
        <v>3.7433155080213901E-2</v>
      </c>
      <c r="N346" s="235">
        <v>0.3</v>
      </c>
      <c r="O346" s="72">
        <v>2.6178010471204188E-2</v>
      </c>
      <c r="Q346" s="235">
        <v>-0.1</v>
      </c>
      <c r="R346" s="232">
        <v>42.780748663101605</v>
      </c>
      <c r="T346" s="235">
        <v>0.3</v>
      </c>
      <c r="U346" s="232">
        <v>26.178010471204189</v>
      </c>
    </row>
    <row r="347" spans="2:21" x14ac:dyDescent="0.25">
      <c r="B347" s="235">
        <v>0.75</v>
      </c>
      <c r="C347" s="72">
        <v>1.507537688442211E-2</v>
      </c>
      <c r="E347" s="235">
        <v>0.75</v>
      </c>
      <c r="F347" s="72">
        <v>2.5125628140703519E-2</v>
      </c>
      <c r="H347" s="235">
        <v>0.75</v>
      </c>
      <c r="I347" s="72">
        <v>0.25</v>
      </c>
      <c r="K347" s="235">
        <v>-0.1</v>
      </c>
      <c r="L347" s="72">
        <v>4.0404040404040407E-2</v>
      </c>
      <c r="N347" s="235">
        <v>0.3</v>
      </c>
      <c r="O347" s="72">
        <v>4.0201005025125629E-2</v>
      </c>
      <c r="Q347" s="235">
        <v>-0.1</v>
      </c>
      <c r="R347" s="232">
        <v>25.252525252525253</v>
      </c>
      <c r="T347" s="235">
        <v>0.3</v>
      </c>
      <c r="U347" s="232">
        <v>35.175879396984925</v>
      </c>
    </row>
    <row r="348" spans="2:21" x14ac:dyDescent="0.25">
      <c r="B348" s="235">
        <v>0.75</v>
      </c>
      <c r="C348" s="72">
        <v>2.2857142857142857E-2</v>
      </c>
      <c r="E348" s="235">
        <v>0.75</v>
      </c>
      <c r="F348" s="72">
        <v>2.8571428571428571E-2</v>
      </c>
      <c r="H348" s="235">
        <v>0.75</v>
      </c>
      <c r="I348" s="72">
        <v>0.1</v>
      </c>
      <c r="K348" s="235">
        <v>-0.1</v>
      </c>
      <c r="L348" s="72">
        <v>5.0847457627118647E-2</v>
      </c>
      <c r="N348" s="235">
        <v>0.3</v>
      </c>
      <c r="O348" s="72">
        <v>4.519774011299435E-2</v>
      </c>
      <c r="Q348" s="235">
        <v>-0.1</v>
      </c>
      <c r="R348" s="232">
        <v>22.598870056497177</v>
      </c>
      <c r="T348" s="235">
        <v>0.3</v>
      </c>
      <c r="U348" s="232">
        <v>11.299435028248588</v>
      </c>
    </row>
    <row r="349" spans="2:21" x14ac:dyDescent="0.25">
      <c r="B349" s="235">
        <v>0.75</v>
      </c>
      <c r="C349" s="72">
        <v>1.5873015873015872E-2</v>
      </c>
      <c r="E349" s="235">
        <v>0.75</v>
      </c>
      <c r="F349" s="72">
        <v>6.3492063492063489E-2</v>
      </c>
      <c r="H349" s="235">
        <v>0.75</v>
      </c>
      <c r="I349" s="72">
        <v>0.4</v>
      </c>
      <c r="K349" s="235">
        <v>-0.1</v>
      </c>
      <c r="L349" s="72">
        <v>6.4171122994652413E-2</v>
      </c>
      <c r="N349" s="235">
        <v>0.3</v>
      </c>
      <c r="O349" s="72">
        <v>6.9148936170212769E-2</v>
      </c>
      <c r="Q349" s="235">
        <v>-0.1</v>
      </c>
      <c r="R349" s="232">
        <v>10.695187165775401</v>
      </c>
      <c r="T349" s="235">
        <v>0.3</v>
      </c>
      <c r="U349" s="232">
        <v>21.276595744680851</v>
      </c>
    </row>
    <row r="350" spans="2:21" x14ac:dyDescent="0.25">
      <c r="B350" s="235">
        <v>0.75</v>
      </c>
      <c r="C350" s="72">
        <v>2.5000000000000001E-2</v>
      </c>
      <c r="E350" s="235">
        <v>0.75</v>
      </c>
      <c r="F350" s="72">
        <v>0.04</v>
      </c>
      <c r="H350" s="235">
        <v>0.75</v>
      </c>
      <c r="I350" s="72">
        <v>0.5</v>
      </c>
      <c r="K350" s="235">
        <v>-0.1</v>
      </c>
      <c r="L350" s="72">
        <v>4.0201005025125629E-2</v>
      </c>
      <c r="N350" s="235">
        <v>0.3</v>
      </c>
      <c r="O350" s="72">
        <v>0.04</v>
      </c>
      <c r="Q350" s="235">
        <v>-0.1</v>
      </c>
      <c r="R350" s="232">
        <v>25.125628140703519</v>
      </c>
      <c r="T350" s="235">
        <v>0.3</v>
      </c>
      <c r="U350" s="232">
        <v>25</v>
      </c>
    </row>
    <row r="351" spans="2:21" x14ac:dyDescent="0.25">
      <c r="B351" s="235">
        <v>0.75</v>
      </c>
      <c r="C351" s="72">
        <v>2.1390374331550801E-2</v>
      </c>
      <c r="E351" s="235">
        <v>0.75</v>
      </c>
      <c r="F351" s="72">
        <v>4.2780748663101602E-2</v>
      </c>
      <c r="H351" s="235">
        <v>0.75</v>
      </c>
      <c r="I351" s="72">
        <v>0.5714285714285714</v>
      </c>
      <c r="K351" s="235">
        <v>-0.1</v>
      </c>
      <c r="L351" s="72">
        <v>3.2608695652173912E-2</v>
      </c>
      <c r="N351" s="235">
        <v>0.3</v>
      </c>
      <c r="O351" s="72">
        <v>4.2780748663101602E-2</v>
      </c>
      <c r="Q351" s="235">
        <v>-0.1</v>
      </c>
      <c r="R351" s="232">
        <v>16.304347826086957</v>
      </c>
      <c r="T351" s="235">
        <v>0.3</v>
      </c>
      <c r="U351" s="232">
        <v>26.737967914438503</v>
      </c>
    </row>
    <row r="352" spans="2:21" x14ac:dyDescent="0.25">
      <c r="B352" s="235">
        <v>0.75</v>
      </c>
      <c r="C352" s="72">
        <v>3.2258064516129031E-2</v>
      </c>
      <c r="E352" s="235">
        <v>0.75</v>
      </c>
      <c r="F352" s="72">
        <v>1.0752688172043012E-2</v>
      </c>
      <c r="H352" s="235">
        <v>0.75</v>
      </c>
      <c r="I352" s="72">
        <v>0.54545454545454541</v>
      </c>
      <c r="K352" s="235">
        <v>-0.1</v>
      </c>
      <c r="L352" s="72">
        <v>2.1621621621621623E-2</v>
      </c>
      <c r="N352" s="235">
        <v>0.3</v>
      </c>
      <c r="O352" s="72">
        <v>1.5957446808510637E-2</v>
      </c>
      <c r="Q352" s="235">
        <v>-0.1</v>
      </c>
      <c r="R352" s="232">
        <v>27.027027027027028</v>
      </c>
      <c r="T352" s="235">
        <v>0.3</v>
      </c>
      <c r="U352" s="232">
        <v>26.595744680851062</v>
      </c>
    </row>
    <row r="353" spans="2:21" x14ac:dyDescent="0.25">
      <c r="B353" s="235">
        <v>0.75</v>
      </c>
      <c r="C353" s="72">
        <v>0</v>
      </c>
      <c r="E353" s="235">
        <v>0.75</v>
      </c>
      <c r="F353" s="72">
        <v>1.8957345971563982E-2</v>
      </c>
      <c r="H353" s="235">
        <v>0.75</v>
      </c>
      <c r="I353" s="72">
        <v>0.5</v>
      </c>
      <c r="K353" s="235">
        <v>-0.1</v>
      </c>
      <c r="L353" s="72">
        <v>3.3653846153846152E-2</v>
      </c>
      <c r="N353" s="235">
        <v>0.3</v>
      </c>
      <c r="O353" s="72">
        <v>2.8846153846153848E-2</v>
      </c>
      <c r="Q353" s="235">
        <v>-0.1</v>
      </c>
      <c r="R353" s="232">
        <v>24.03846153846154</v>
      </c>
      <c r="T353" s="235">
        <v>0.3</v>
      </c>
      <c r="U353" s="232">
        <v>28.846153846153847</v>
      </c>
    </row>
    <row r="354" spans="2:21" x14ac:dyDescent="0.25">
      <c r="B354" s="235">
        <v>0.75</v>
      </c>
      <c r="C354" s="72">
        <v>2.247191011235955E-2</v>
      </c>
      <c r="E354" s="235">
        <v>0.75</v>
      </c>
      <c r="F354" s="72">
        <v>2.8089887640449437E-2</v>
      </c>
      <c r="H354" s="235">
        <v>0.75</v>
      </c>
      <c r="I354" s="72">
        <v>0.22222222222222221</v>
      </c>
      <c r="K354" s="235">
        <v>-0.1</v>
      </c>
      <c r="L354" s="72">
        <v>2.2598870056497175E-2</v>
      </c>
      <c r="N354" s="235">
        <v>0.3</v>
      </c>
      <c r="O354" s="72">
        <v>2.2222222222222223E-2</v>
      </c>
      <c r="Q354" s="235">
        <v>-0.1</v>
      </c>
      <c r="R354" s="232">
        <v>28.248587570621471</v>
      </c>
      <c r="T354" s="235">
        <v>0.3</v>
      </c>
      <c r="U354" s="232">
        <v>27.777777777777779</v>
      </c>
    </row>
    <row r="355" spans="2:21" x14ac:dyDescent="0.25">
      <c r="B355" s="235">
        <v>0.75</v>
      </c>
      <c r="C355" s="72">
        <v>2.1505376344086023E-2</v>
      </c>
      <c r="E355" s="235">
        <v>0.75</v>
      </c>
      <c r="F355" s="72">
        <v>1.6129032258064516E-2</v>
      </c>
      <c r="H355" s="235">
        <v>0.75</v>
      </c>
      <c r="I355" s="72">
        <v>0</v>
      </c>
      <c r="K355" s="235">
        <v>-0.1</v>
      </c>
      <c r="L355" s="72">
        <v>2.717391304347826E-2</v>
      </c>
      <c r="N355" s="235">
        <v>0.3</v>
      </c>
      <c r="O355" s="72">
        <v>3.2432432432432434E-2</v>
      </c>
      <c r="Q355" s="235">
        <v>-0.1</v>
      </c>
      <c r="R355" s="232">
        <v>16.304347826086957</v>
      </c>
      <c r="T355" s="235">
        <v>0.3</v>
      </c>
      <c r="U355" s="232">
        <v>27.027027027027028</v>
      </c>
    </row>
    <row r="356" spans="2:21" x14ac:dyDescent="0.25">
      <c r="B356" s="235">
        <v>0.75</v>
      </c>
      <c r="C356" s="72">
        <v>1.0752688172043012E-2</v>
      </c>
      <c r="E356" s="235">
        <v>0.75</v>
      </c>
      <c r="F356" s="72">
        <v>2.1505376344086023E-2</v>
      </c>
      <c r="H356" s="235">
        <v>0.75</v>
      </c>
      <c r="I356" s="72">
        <v>0.5</v>
      </c>
      <c r="K356" s="235">
        <v>-0.1</v>
      </c>
      <c r="L356" s="72">
        <v>2.197802197802198E-2</v>
      </c>
      <c r="N356" s="235">
        <v>0.3</v>
      </c>
      <c r="O356" s="72">
        <v>1.5957446808510637E-2</v>
      </c>
      <c r="Q356" s="235">
        <v>-0.1</v>
      </c>
      <c r="R356" s="232">
        <v>32.967032967032964</v>
      </c>
      <c r="T356" s="235">
        <v>0.3</v>
      </c>
      <c r="U356" s="232">
        <v>21.276595744680851</v>
      </c>
    </row>
    <row r="357" spans="2:21" x14ac:dyDescent="0.25">
      <c r="B357" s="235">
        <v>0.75</v>
      </c>
      <c r="C357" s="72">
        <v>2.2857142857142857E-2</v>
      </c>
      <c r="E357" s="235">
        <v>0.75</v>
      </c>
      <c r="F357" s="72">
        <v>2.8571428571428571E-2</v>
      </c>
      <c r="H357" s="235">
        <v>0.75</v>
      </c>
      <c r="I357" s="72">
        <v>0.5714285714285714</v>
      </c>
      <c r="K357" s="235">
        <v>-0.1</v>
      </c>
      <c r="L357" s="72">
        <v>2.4096385542168676E-2</v>
      </c>
      <c r="N357" s="235">
        <v>0.3</v>
      </c>
      <c r="O357" s="72">
        <v>2.3391812865497075E-2</v>
      </c>
      <c r="Q357" s="235">
        <v>-0.1</v>
      </c>
      <c r="R357" s="232">
        <v>54.216867469879517</v>
      </c>
      <c r="T357" s="235">
        <v>0.3</v>
      </c>
      <c r="U357" s="232">
        <v>52.631578947368418</v>
      </c>
    </row>
    <row r="358" spans="2:21" x14ac:dyDescent="0.25">
      <c r="B358" s="235">
        <v>0.75</v>
      </c>
      <c r="C358" s="72">
        <v>1.4778325123152709E-2</v>
      </c>
      <c r="E358" s="235">
        <v>0.75</v>
      </c>
      <c r="F358" s="72">
        <v>3.4482758620689655E-2</v>
      </c>
      <c r="H358" s="235">
        <v>0.75</v>
      </c>
      <c r="I358" s="72">
        <v>0.5625</v>
      </c>
      <c r="K358" s="235">
        <v>-0.1</v>
      </c>
      <c r="L358" s="72">
        <v>7.179487179487179E-2</v>
      </c>
      <c r="N358" s="235">
        <v>0.3</v>
      </c>
      <c r="O358" s="72">
        <v>6.9306930693069313E-2</v>
      </c>
      <c r="Q358" s="235">
        <v>-0.1</v>
      </c>
      <c r="R358" s="232">
        <v>51.282051282051285</v>
      </c>
      <c r="T358" s="235">
        <v>0.3</v>
      </c>
      <c r="U358" s="232">
        <v>49.504950495049506</v>
      </c>
    </row>
    <row r="359" spans="2:21" x14ac:dyDescent="0.25">
      <c r="B359" s="235">
        <v>0.75</v>
      </c>
      <c r="C359" s="72">
        <v>5.3763440860215058E-3</v>
      </c>
      <c r="E359" s="235">
        <v>0.75</v>
      </c>
      <c r="F359" s="72">
        <v>3.2258064516129031E-2</v>
      </c>
      <c r="H359" s="235">
        <v>0.75</v>
      </c>
      <c r="I359" s="72">
        <v>0.22222222222222221</v>
      </c>
      <c r="K359" s="235">
        <v>-0.1</v>
      </c>
      <c r="L359" s="72">
        <v>4.4444444444444446E-2</v>
      </c>
      <c r="N359" s="235">
        <v>0.3</v>
      </c>
      <c r="O359" s="72">
        <v>4.3956043956043959E-2</v>
      </c>
      <c r="Q359" s="235">
        <v>-0.1</v>
      </c>
      <c r="R359" s="232">
        <v>55.555555555555557</v>
      </c>
      <c r="T359" s="235">
        <v>0.3</v>
      </c>
      <c r="U359" s="232">
        <v>27.472527472527471</v>
      </c>
    </row>
    <row r="360" spans="2:21" x14ac:dyDescent="0.25">
      <c r="B360" s="235">
        <v>0.75</v>
      </c>
      <c r="C360" s="72">
        <v>1.2269938650306749E-2</v>
      </c>
      <c r="E360" s="235">
        <v>0.75</v>
      </c>
      <c r="F360" s="72">
        <v>1.8404907975460124E-2</v>
      </c>
      <c r="H360" s="235">
        <v>0.75</v>
      </c>
      <c r="I360" s="72">
        <v>0.375</v>
      </c>
      <c r="K360" s="235">
        <v>-0.1</v>
      </c>
      <c r="L360" s="72">
        <v>2.4691358024691357E-2</v>
      </c>
      <c r="N360" s="235">
        <v>0.3</v>
      </c>
      <c r="O360" s="72">
        <v>2.976190476190476E-2</v>
      </c>
      <c r="Q360" s="235">
        <v>-0.1</v>
      </c>
      <c r="R360" s="232">
        <v>18.518518518518519</v>
      </c>
      <c r="T360" s="235">
        <v>0.3</v>
      </c>
      <c r="U360" s="232">
        <v>23.80952380952381</v>
      </c>
    </row>
    <row r="361" spans="2:21" x14ac:dyDescent="0.25">
      <c r="B361" s="235">
        <v>0.75</v>
      </c>
      <c r="C361" s="72">
        <v>1.8867924528301886E-2</v>
      </c>
      <c r="E361" s="235">
        <v>0.75</v>
      </c>
      <c r="F361" s="72">
        <v>2.8301886792452831E-2</v>
      </c>
      <c r="H361" s="235">
        <v>0.75</v>
      </c>
      <c r="I361" s="72">
        <v>0.75</v>
      </c>
      <c r="K361" s="235">
        <v>-0.1</v>
      </c>
      <c r="L361" s="72">
        <v>4.2253521126760563E-2</v>
      </c>
      <c r="N361" s="235">
        <v>0.3</v>
      </c>
      <c r="O361" s="72">
        <v>3.2110091743119268E-2</v>
      </c>
      <c r="Q361" s="235">
        <v>-0.1</v>
      </c>
      <c r="R361" s="232">
        <v>46.948356807511736</v>
      </c>
      <c r="T361" s="235">
        <v>0.3</v>
      </c>
      <c r="U361" s="232">
        <v>27.522935779816514</v>
      </c>
    </row>
    <row r="362" spans="2:21" x14ac:dyDescent="0.25">
      <c r="B362" s="235">
        <v>0.75</v>
      </c>
      <c r="C362" s="72">
        <v>2.7777777777777776E-2</v>
      </c>
      <c r="E362" s="235">
        <v>0.75</v>
      </c>
      <c r="F362" s="72">
        <v>1.1111111111111112E-2</v>
      </c>
      <c r="H362" s="235">
        <v>0.75</v>
      </c>
      <c r="I362" s="72">
        <v>0.44444444444444442</v>
      </c>
      <c r="K362" s="235">
        <v>-0.1</v>
      </c>
      <c r="L362" s="72">
        <v>2.8089887640449437E-2</v>
      </c>
      <c r="N362" s="235">
        <v>0.3</v>
      </c>
      <c r="O362" s="72">
        <v>1.7045454545454544E-2</v>
      </c>
      <c r="Q362" s="235">
        <v>-0.1</v>
      </c>
      <c r="R362" s="232">
        <v>33.707865168539328</v>
      </c>
      <c r="T362" s="235">
        <v>0.3</v>
      </c>
      <c r="U362" s="232">
        <v>34.090909090909093</v>
      </c>
    </row>
    <row r="363" spans="2:21" x14ac:dyDescent="0.25">
      <c r="B363" s="235">
        <v>0.75</v>
      </c>
      <c r="C363" s="72">
        <v>1.6304347826086956E-2</v>
      </c>
      <c r="E363" s="235">
        <v>0.75</v>
      </c>
      <c r="F363" s="72">
        <v>3.2608695652173912E-2</v>
      </c>
      <c r="H363" s="235">
        <v>0.75</v>
      </c>
      <c r="I363" s="72">
        <v>0.4</v>
      </c>
      <c r="K363" s="235">
        <v>-0.1</v>
      </c>
      <c r="L363" s="72">
        <v>4.9723756906077346E-2</v>
      </c>
      <c r="N363" s="235">
        <v>0.3</v>
      </c>
      <c r="O363" s="72">
        <v>4.3243243243243246E-2</v>
      </c>
      <c r="Q363" s="235">
        <v>-0.1</v>
      </c>
      <c r="R363" s="232">
        <v>38.674033149171272</v>
      </c>
      <c r="T363" s="235">
        <v>0.3</v>
      </c>
      <c r="U363" s="232">
        <v>32.432432432432435</v>
      </c>
    </row>
    <row r="364" spans="2:21" x14ac:dyDescent="0.25">
      <c r="B364" s="235">
        <v>0.75</v>
      </c>
      <c r="C364" s="72">
        <v>2.8301886792452831E-2</v>
      </c>
      <c r="E364" s="235">
        <v>0.75</v>
      </c>
      <c r="F364" s="72">
        <v>1.8867924528301886E-2</v>
      </c>
      <c r="H364" s="235">
        <v>0.75</v>
      </c>
      <c r="I364" s="72">
        <v>0.2</v>
      </c>
      <c r="K364" s="235">
        <v>-0.1</v>
      </c>
      <c r="L364" s="72">
        <v>3.2863849765258218E-2</v>
      </c>
      <c r="N364" s="235">
        <v>0.3</v>
      </c>
      <c r="O364" s="72">
        <v>2.7522935779816515E-2</v>
      </c>
      <c r="Q364" s="235">
        <v>-0.1</v>
      </c>
      <c r="R364" s="232">
        <v>23.474178403755868</v>
      </c>
      <c r="T364" s="235">
        <v>0.3</v>
      </c>
      <c r="U364" s="232">
        <v>18.348623853211009</v>
      </c>
    </row>
    <row r="365" spans="2:21" x14ac:dyDescent="0.25">
      <c r="B365" s="235">
        <v>0.75</v>
      </c>
      <c r="C365" s="72">
        <v>1.0638297872340425E-2</v>
      </c>
      <c r="E365" s="235">
        <v>0.75</v>
      </c>
      <c r="F365" s="72">
        <v>1.5957446808510637E-2</v>
      </c>
      <c r="H365" s="235">
        <v>0.75</v>
      </c>
      <c r="I365" s="72">
        <v>0.33333333333333331</v>
      </c>
      <c r="K365" s="235">
        <v>-0.1</v>
      </c>
      <c r="L365" s="72">
        <v>2.185792349726776E-2</v>
      </c>
      <c r="N365" s="235">
        <v>0.3</v>
      </c>
      <c r="O365" s="72">
        <v>2.7027027027027029E-2</v>
      </c>
      <c r="Q365" s="235">
        <v>-0.1</v>
      </c>
      <c r="R365" s="232">
        <v>21.857923497267759</v>
      </c>
      <c r="T365" s="235">
        <v>0.3</v>
      </c>
      <c r="U365" s="232">
        <v>27.027027027027028</v>
      </c>
    </row>
    <row r="366" spans="2:21" x14ac:dyDescent="0.25">
      <c r="B366" s="235">
        <v>0.75</v>
      </c>
      <c r="C366" s="72">
        <v>2.5252525252525252E-2</v>
      </c>
      <c r="E366" s="235">
        <v>0.75</v>
      </c>
      <c r="F366" s="72">
        <v>2.0202020202020204E-2</v>
      </c>
      <c r="H366" s="235">
        <v>0.75</v>
      </c>
      <c r="I366" s="72">
        <v>0.4</v>
      </c>
      <c r="K366" s="235">
        <v>-0.1</v>
      </c>
      <c r="L366" s="72">
        <v>4.1666666666666664E-2</v>
      </c>
      <c r="N366" s="235">
        <v>0.3</v>
      </c>
      <c r="O366" s="72">
        <v>2.5380710659898477E-2</v>
      </c>
      <c r="Q366" s="235">
        <v>-0.1</v>
      </c>
      <c r="R366" s="232">
        <v>20.833333333333332</v>
      </c>
      <c r="T366" s="235">
        <v>0.3</v>
      </c>
      <c r="U366" s="232">
        <v>15.228426395939087</v>
      </c>
    </row>
    <row r="367" spans="2:21" x14ac:dyDescent="0.25">
      <c r="B367" s="235">
        <v>0.75</v>
      </c>
      <c r="C367" s="72">
        <v>0</v>
      </c>
      <c r="E367" s="235">
        <v>0.75</v>
      </c>
      <c r="F367" s="72">
        <v>1.9512195121951219E-2</v>
      </c>
      <c r="H367" s="235">
        <v>0.75</v>
      </c>
      <c r="I367" s="72">
        <v>0.25</v>
      </c>
      <c r="K367" s="235">
        <v>-0.1</v>
      </c>
      <c r="L367" s="72">
        <v>2.4752475247524754E-2</v>
      </c>
      <c r="N367" s="235">
        <v>0.3</v>
      </c>
      <c r="O367" s="72">
        <v>2.9556650246305417E-2</v>
      </c>
      <c r="Q367" s="235">
        <v>-0.1</v>
      </c>
      <c r="R367" s="232">
        <v>14.851485148514852</v>
      </c>
      <c r="T367" s="235">
        <v>0.3</v>
      </c>
      <c r="U367" s="232">
        <v>14.77832512315271</v>
      </c>
    </row>
    <row r="368" spans="2:21" x14ac:dyDescent="0.25">
      <c r="B368" s="235">
        <v>0.75</v>
      </c>
      <c r="C368" s="72">
        <v>5.4644808743169399E-3</v>
      </c>
      <c r="E368" s="235">
        <v>0.75</v>
      </c>
      <c r="F368" s="72">
        <v>2.7322404371584699E-2</v>
      </c>
      <c r="H368" s="235">
        <v>0.75</v>
      </c>
      <c r="I368" s="72">
        <v>0.375</v>
      </c>
      <c r="K368" s="235">
        <v>-0.1</v>
      </c>
      <c r="L368" s="72">
        <v>3.825136612021858E-2</v>
      </c>
      <c r="N368" s="235">
        <v>0.3</v>
      </c>
      <c r="O368" s="72">
        <v>3.783783783783784E-2</v>
      </c>
      <c r="Q368" s="235">
        <v>-0.1</v>
      </c>
      <c r="R368" s="232">
        <v>21.857923497267759</v>
      </c>
      <c r="T368" s="235">
        <v>0.3</v>
      </c>
      <c r="U368" s="232">
        <v>16.216216216216218</v>
      </c>
    </row>
    <row r="369" spans="2:21" x14ac:dyDescent="0.25">
      <c r="B369" s="235">
        <v>0.75</v>
      </c>
      <c r="C369" s="72">
        <v>2.5380710659898477E-2</v>
      </c>
      <c r="E369" s="235">
        <v>0.75</v>
      </c>
      <c r="F369" s="72">
        <v>4.060913705583756E-2</v>
      </c>
      <c r="H369" s="235">
        <v>0.75</v>
      </c>
      <c r="I369" s="72">
        <v>0.36363636363636365</v>
      </c>
      <c r="K369" s="235">
        <v>-0.1</v>
      </c>
      <c r="L369" s="72">
        <v>4.1884816753926704E-2</v>
      </c>
      <c r="N369" s="235">
        <v>0.3</v>
      </c>
      <c r="O369" s="72">
        <v>4.0816326530612242E-2</v>
      </c>
      <c r="Q369" s="235">
        <v>-0.1</v>
      </c>
      <c r="R369" s="232">
        <v>36.64921465968586</v>
      </c>
      <c r="T369" s="235">
        <v>0.3</v>
      </c>
      <c r="U369" s="232">
        <v>20.408163265306122</v>
      </c>
    </row>
    <row r="370" spans="2:21" x14ac:dyDescent="0.25">
      <c r="B370" s="235">
        <v>0.75</v>
      </c>
      <c r="C370" s="72">
        <v>1.4354066985645933E-2</v>
      </c>
      <c r="E370" s="235">
        <v>0.75</v>
      </c>
      <c r="F370" s="72">
        <v>3.8277511961722487E-2</v>
      </c>
      <c r="H370" s="235">
        <v>0.75</v>
      </c>
      <c r="I370" s="72">
        <v>0.375</v>
      </c>
      <c r="K370" s="235">
        <v>-0.1</v>
      </c>
      <c r="L370" s="72">
        <v>5.3140096618357488E-2</v>
      </c>
      <c r="N370" s="235">
        <v>0.3</v>
      </c>
      <c r="O370" s="72">
        <v>3.8461538461538464E-2</v>
      </c>
      <c r="Q370" s="235">
        <v>-0.1</v>
      </c>
      <c r="R370" s="232">
        <v>43.478260869565219</v>
      </c>
      <c r="T370" s="235">
        <v>0.3</v>
      </c>
      <c r="U370" s="232">
        <v>33.653846153846153</v>
      </c>
    </row>
    <row r="371" spans="2:21" x14ac:dyDescent="0.25">
      <c r="B371" s="235">
        <v>0.75</v>
      </c>
      <c r="C371" s="72">
        <v>0</v>
      </c>
      <c r="E371" s="235">
        <v>0.75</v>
      </c>
      <c r="F371" s="72">
        <v>9.6618357487922701E-3</v>
      </c>
      <c r="H371" s="235">
        <v>0.75</v>
      </c>
      <c r="I371" s="72">
        <v>0</v>
      </c>
      <c r="K371" s="235">
        <v>-0.1</v>
      </c>
      <c r="L371" s="72">
        <v>1.9230769230769232E-2</v>
      </c>
      <c r="N371" s="235">
        <v>0.3</v>
      </c>
      <c r="O371" s="72">
        <v>1.4492753623188406E-2</v>
      </c>
      <c r="Q371" s="235">
        <v>-0.1</v>
      </c>
      <c r="R371" s="232">
        <v>4.8076923076923075</v>
      </c>
      <c r="T371" s="235">
        <v>0.3</v>
      </c>
      <c r="U371" s="232">
        <v>0</v>
      </c>
    </row>
    <row r="372" spans="2:21" x14ac:dyDescent="0.25">
      <c r="B372" s="235">
        <v>0.75</v>
      </c>
      <c r="C372" s="72">
        <v>2.0547945205479451E-2</v>
      </c>
      <c r="E372" s="235">
        <v>0.75</v>
      </c>
      <c r="F372" s="72">
        <v>2.7397260273972601E-2</v>
      </c>
      <c r="H372" s="235">
        <v>0.75</v>
      </c>
      <c r="I372" s="72">
        <v>0.5</v>
      </c>
      <c r="K372" s="235">
        <v>-0.1</v>
      </c>
      <c r="L372" s="72">
        <v>4.8611111111111112E-2</v>
      </c>
      <c r="N372" s="235">
        <v>0.3</v>
      </c>
      <c r="O372" s="72">
        <v>3.4965034965034968E-2</v>
      </c>
      <c r="Q372" s="235">
        <v>-0.1</v>
      </c>
      <c r="R372" s="232">
        <v>13.888888888888889</v>
      </c>
      <c r="T372" s="235">
        <v>0.3</v>
      </c>
      <c r="U372" s="232">
        <v>20.97902097902098</v>
      </c>
    </row>
    <row r="373" spans="2:21" x14ac:dyDescent="0.25">
      <c r="B373" s="235">
        <v>0.75</v>
      </c>
      <c r="C373" s="72">
        <v>1.1235955056179775E-2</v>
      </c>
      <c r="E373" s="235">
        <v>0.75</v>
      </c>
      <c r="F373" s="72">
        <v>1.6853932584269662E-2</v>
      </c>
      <c r="H373" s="235">
        <v>0.75</v>
      </c>
      <c r="I373" s="72">
        <v>0.5</v>
      </c>
      <c r="K373" s="235">
        <v>-0.1</v>
      </c>
      <c r="L373" s="72">
        <v>2.2988505747126436E-2</v>
      </c>
      <c r="N373" s="235">
        <v>0.3</v>
      </c>
      <c r="O373" s="72">
        <v>2.2222222222222223E-2</v>
      </c>
      <c r="Q373" s="235">
        <v>-0.1</v>
      </c>
      <c r="R373" s="232">
        <v>22.988505747126435</v>
      </c>
      <c r="T373" s="235">
        <v>0.3</v>
      </c>
      <c r="U373" s="232">
        <v>11.111111111111111</v>
      </c>
    </row>
    <row r="374" spans="2:21" x14ac:dyDescent="0.25">
      <c r="B374" s="235">
        <v>0.75</v>
      </c>
      <c r="C374" s="72">
        <v>2.8571428571428571E-2</v>
      </c>
      <c r="E374" s="235">
        <v>0.75</v>
      </c>
      <c r="F374" s="72">
        <v>2.8571428571428571E-2</v>
      </c>
      <c r="H374" s="235">
        <v>0.75</v>
      </c>
      <c r="I374" s="72">
        <v>0.27272727272727271</v>
      </c>
      <c r="K374" s="235">
        <v>-0.1</v>
      </c>
      <c r="L374" s="72">
        <v>0.04</v>
      </c>
      <c r="N374" s="235">
        <v>0.3</v>
      </c>
      <c r="O374" s="72">
        <v>4.0229885057471264E-2</v>
      </c>
      <c r="Q374" s="235">
        <v>-0.1</v>
      </c>
      <c r="R374" s="232">
        <v>40</v>
      </c>
      <c r="T374" s="235">
        <v>0.3</v>
      </c>
      <c r="U374" s="232">
        <v>45.977011494252871</v>
      </c>
    </row>
    <row r="375" spans="2:21" x14ac:dyDescent="0.25">
      <c r="B375" s="235">
        <v>0.75</v>
      </c>
      <c r="C375" s="72">
        <v>4.8543689320388345E-3</v>
      </c>
      <c r="E375" s="235">
        <v>0.75</v>
      </c>
      <c r="F375" s="72">
        <v>4.8543689320388349E-2</v>
      </c>
      <c r="H375" s="235">
        <v>0.75</v>
      </c>
      <c r="I375" s="72">
        <v>0.1111111111111111</v>
      </c>
      <c r="K375" s="235">
        <v>-0.1</v>
      </c>
      <c r="L375" s="72">
        <v>6.4356435643564358E-2</v>
      </c>
      <c r="N375" s="235">
        <v>0.3</v>
      </c>
      <c r="O375" s="72">
        <v>5.0761421319796954E-2</v>
      </c>
      <c r="Q375" s="235">
        <v>-0.1</v>
      </c>
      <c r="R375" s="232">
        <v>34.653465346534652</v>
      </c>
      <c r="T375" s="235">
        <v>0.3</v>
      </c>
      <c r="U375" s="232">
        <v>40.609137055837564</v>
      </c>
    </row>
    <row r="376" spans="2:21" x14ac:dyDescent="0.25">
      <c r="B376" s="235">
        <v>0.75</v>
      </c>
      <c r="C376" s="72">
        <v>1.0050251256281407E-2</v>
      </c>
      <c r="E376" s="235">
        <v>0.75</v>
      </c>
      <c r="F376" s="72">
        <v>3.5175879396984924E-2</v>
      </c>
      <c r="H376" s="235">
        <v>0.75</v>
      </c>
      <c r="I376" s="72">
        <v>0.30769230769230771</v>
      </c>
      <c r="K376" s="235">
        <v>-0.1</v>
      </c>
      <c r="L376" s="72">
        <v>6.280193236714976E-2</v>
      </c>
      <c r="N376" s="235">
        <v>0.3</v>
      </c>
      <c r="O376" s="72">
        <v>4.4334975369458129E-2</v>
      </c>
      <c r="Q376" s="235">
        <v>-0.1</v>
      </c>
      <c r="R376" s="232">
        <v>24.154589371980677</v>
      </c>
      <c r="T376" s="235">
        <v>0.3</v>
      </c>
      <c r="U376" s="232">
        <v>24.630541871921181</v>
      </c>
    </row>
    <row r="377" spans="2:21" x14ac:dyDescent="0.25">
      <c r="B377" s="235">
        <v>0.75</v>
      </c>
      <c r="C377" s="72">
        <v>5.5555555555555558E-3</v>
      </c>
      <c r="E377" s="235">
        <v>0.75</v>
      </c>
      <c r="F377" s="72">
        <v>1.1111111111111112E-2</v>
      </c>
      <c r="H377" s="235">
        <v>0.75</v>
      </c>
      <c r="I377" s="72">
        <v>0.44444444444444442</v>
      </c>
      <c r="K377" s="235">
        <v>-0.1</v>
      </c>
      <c r="L377" s="72">
        <v>2.2222222222222223E-2</v>
      </c>
      <c r="N377" s="235">
        <v>0.3</v>
      </c>
      <c r="O377" s="72">
        <v>2.2099447513812154E-2</v>
      </c>
      <c r="Q377" s="235">
        <v>-0.1</v>
      </c>
      <c r="R377" s="232">
        <v>22.222222222222221</v>
      </c>
      <c r="T377" s="235">
        <v>0.3</v>
      </c>
      <c r="U377" s="232">
        <v>22.099447513812155</v>
      </c>
    </row>
    <row r="378" spans="2:21" x14ac:dyDescent="0.25">
      <c r="B378" s="235">
        <v>0.75</v>
      </c>
      <c r="C378" s="72">
        <v>1.1049723756906077E-2</v>
      </c>
      <c r="E378" s="235">
        <v>0.75</v>
      </c>
      <c r="F378" s="72">
        <v>2.7624309392265192E-2</v>
      </c>
      <c r="H378" s="235">
        <v>0.75</v>
      </c>
      <c r="I378" s="72">
        <v>0</v>
      </c>
      <c r="K378" s="235">
        <v>-0.1</v>
      </c>
      <c r="L378" s="72">
        <v>3.8674033149171269E-2</v>
      </c>
      <c r="N378" s="235">
        <v>0.3</v>
      </c>
      <c r="O378" s="72">
        <v>2.7624309392265192E-2</v>
      </c>
      <c r="Q378" s="235">
        <v>-0.1</v>
      </c>
      <c r="R378" s="232">
        <v>16.574585635359117</v>
      </c>
      <c r="T378" s="235">
        <v>0.3</v>
      </c>
      <c r="U378" s="232">
        <v>16.574585635359117</v>
      </c>
    </row>
    <row r="379" spans="2:21" x14ac:dyDescent="0.25">
      <c r="B379" s="235">
        <v>0.75</v>
      </c>
      <c r="C379" s="72">
        <v>1.2121212121212121E-2</v>
      </c>
      <c r="E379" s="235">
        <v>0.75</v>
      </c>
      <c r="F379" s="72">
        <v>6.0606060606060606E-3</v>
      </c>
      <c r="H379" s="235">
        <v>0.75</v>
      </c>
      <c r="I379" s="72">
        <v>0.4</v>
      </c>
      <c r="K379" s="235">
        <v>-0.1</v>
      </c>
      <c r="L379" s="72">
        <v>3.5928143712574849E-2</v>
      </c>
      <c r="N379" s="235">
        <v>0.3</v>
      </c>
      <c r="O379" s="72">
        <v>2.3809523809523808E-2</v>
      </c>
      <c r="Q379" s="235">
        <v>-0.1</v>
      </c>
      <c r="R379" s="232">
        <v>23.952095808383234</v>
      </c>
      <c r="T379" s="235">
        <v>0.3</v>
      </c>
      <c r="U379" s="232">
        <v>23.80952380952381</v>
      </c>
    </row>
    <row r="380" spans="2:21" x14ac:dyDescent="0.25">
      <c r="B380" s="235">
        <v>0.75</v>
      </c>
      <c r="C380" s="72">
        <v>0</v>
      </c>
      <c r="E380" s="235">
        <v>0.75</v>
      </c>
      <c r="F380" s="72">
        <v>2.5380710659898477E-2</v>
      </c>
      <c r="H380" s="235">
        <v>0.75</v>
      </c>
      <c r="I380" s="72">
        <v>0.47058823529411764</v>
      </c>
      <c r="K380" s="235">
        <v>-0.1</v>
      </c>
      <c r="L380" s="72">
        <v>4.9261083743842367E-2</v>
      </c>
      <c r="N380" s="235">
        <v>0.3</v>
      </c>
      <c r="O380" s="72">
        <v>4.9261083743842367E-2</v>
      </c>
      <c r="Q380" s="235">
        <v>-0.1</v>
      </c>
      <c r="R380" s="232">
        <v>54.187192118226598</v>
      </c>
      <c r="T380" s="235">
        <v>0.3</v>
      </c>
      <c r="U380" s="232">
        <v>59.11330049261084</v>
      </c>
    </row>
    <row r="381" spans="2:21" x14ac:dyDescent="0.25">
      <c r="B381" s="235">
        <v>0.75</v>
      </c>
      <c r="C381" s="72">
        <v>2.4752475247524754E-2</v>
      </c>
      <c r="E381" s="235">
        <v>0.75</v>
      </c>
      <c r="F381" s="72">
        <v>2.4752475247524754E-2</v>
      </c>
      <c r="H381" s="235">
        <v>0.75</v>
      </c>
      <c r="I381" s="72">
        <v>0.5</v>
      </c>
      <c r="K381" s="235">
        <v>-0.1</v>
      </c>
      <c r="L381" s="72">
        <v>2.9556650246305417E-2</v>
      </c>
      <c r="N381" s="235">
        <v>0.3</v>
      </c>
      <c r="O381" s="72">
        <v>2.9268292682926831E-2</v>
      </c>
      <c r="Q381" s="235">
        <v>-0.1</v>
      </c>
      <c r="R381" s="232">
        <v>34.482758620689658</v>
      </c>
      <c r="T381" s="235">
        <v>0.3</v>
      </c>
      <c r="U381" s="232">
        <v>24.390243902439025</v>
      </c>
    </row>
    <row r="382" spans="2:21" x14ac:dyDescent="0.25">
      <c r="B382" s="235">
        <v>0.75</v>
      </c>
      <c r="C382" s="72">
        <v>2.9702970297029702E-2</v>
      </c>
      <c r="E382" s="235">
        <v>0.75</v>
      </c>
      <c r="F382" s="72">
        <v>3.4653465346534656E-2</v>
      </c>
      <c r="H382" s="235">
        <v>0.75</v>
      </c>
      <c r="I382" s="72">
        <v>0.5714285714285714</v>
      </c>
      <c r="K382" s="235">
        <v>-0.1</v>
      </c>
      <c r="L382" s="72">
        <v>4.9019607843137254E-2</v>
      </c>
      <c r="N382" s="235">
        <v>0.3</v>
      </c>
      <c r="O382" s="72">
        <v>2.8985507246376812E-2</v>
      </c>
      <c r="Q382" s="235">
        <v>-0.1</v>
      </c>
      <c r="R382" s="232">
        <v>34.313725490196077</v>
      </c>
      <c r="T382" s="235">
        <v>0.3</v>
      </c>
      <c r="U382" s="232">
        <v>14.492753623188406</v>
      </c>
    </row>
    <row r="383" spans="2:21" x14ac:dyDescent="0.25">
      <c r="B383" s="235">
        <v>0.75</v>
      </c>
      <c r="C383" s="72">
        <v>2.1052631578947368E-2</v>
      </c>
      <c r="E383" s="235">
        <v>0.75</v>
      </c>
      <c r="F383" s="72">
        <v>1.5789473684210527E-2</v>
      </c>
      <c r="H383" s="235">
        <v>0.75</v>
      </c>
      <c r="I383" s="72">
        <v>0.375</v>
      </c>
      <c r="K383" s="235">
        <v>-0.1</v>
      </c>
      <c r="L383" s="72">
        <v>3.1413612565445025E-2</v>
      </c>
      <c r="N383" s="235">
        <v>0.3</v>
      </c>
      <c r="O383" s="72">
        <v>1.5873015873015872E-2</v>
      </c>
      <c r="Q383" s="235">
        <v>-0.1</v>
      </c>
      <c r="R383" s="232">
        <v>20.94240837696335</v>
      </c>
      <c r="T383" s="235">
        <v>0.3</v>
      </c>
      <c r="U383" s="232">
        <v>15.873015873015873</v>
      </c>
    </row>
    <row r="384" spans="2:21" x14ac:dyDescent="0.25">
      <c r="B384" s="235">
        <v>0.75</v>
      </c>
      <c r="C384" s="72">
        <v>2.4844720496894408E-2</v>
      </c>
      <c r="E384" s="235">
        <v>0.75</v>
      </c>
      <c r="F384" s="72">
        <v>2.4844720496894408E-2</v>
      </c>
      <c r="H384" s="235">
        <v>0.75</v>
      </c>
      <c r="I384" s="72">
        <v>0.45454545454545453</v>
      </c>
      <c r="K384" s="235">
        <v>-0.1</v>
      </c>
      <c r="L384" s="72">
        <v>4.878048780487805E-2</v>
      </c>
      <c r="N384" s="235">
        <v>0.3</v>
      </c>
      <c r="O384" s="72">
        <v>5.5555555555555552E-2</v>
      </c>
      <c r="Q384" s="235">
        <v>-0.1</v>
      </c>
      <c r="R384" s="232">
        <v>30.487804878048781</v>
      </c>
      <c r="T384" s="235">
        <v>0.3</v>
      </c>
      <c r="U384" s="232">
        <v>30.864197530864196</v>
      </c>
    </row>
    <row r="385" spans="2:21" x14ac:dyDescent="0.25">
      <c r="B385" s="235">
        <v>0.75</v>
      </c>
      <c r="C385" s="72">
        <v>2.6455026455026454E-2</v>
      </c>
      <c r="E385" s="235">
        <v>0.75</v>
      </c>
      <c r="F385" s="72">
        <v>3.1746031746031744E-2</v>
      </c>
      <c r="H385" s="235">
        <v>0.75</v>
      </c>
      <c r="I385" s="72">
        <v>0.33333333333333331</v>
      </c>
      <c r="K385" s="235">
        <v>-0.1</v>
      </c>
      <c r="L385" s="72">
        <v>4.3010752688172046E-2</v>
      </c>
      <c r="N385" s="235">
        <v>0.3</v>
      </c>
      <c r="O385" s="72">
        <v>4.2780748663101602E-2</v>
      </c>
      <c r="Q385" s="235">
        <v>-0.1</v>
      </c>
      <c r="R385" s="232">
        <v>43.01075268817204</v>
      </c>
      <c r="T385" s="235">
        <v>0.3</v>
      </c>
      <c r="U385" s="232">
        <v>26.737967914438503</v>
      </c>
    </row>
    <row r="386" spans="2:21" x14ac:dyDescent="0.25">
      <c r="B386" s="235">
        <v>0.75</v>
      </c>
      <c r="C386" s="72">
        <v>1.6216216216216217E-2</v>
      </c>
      <c r="E386" s="235">
        <v>0.75</v>
      </c>
      <c r="F386" s="72">
        <v>2.1621621621621623E-2</v>
      </c>
      <c r="H386" s="235">
        <v>0.75</v>
      </c>
      <c r="I386" s="72">
        <v>0.4375</v>
      </c>
      <c r="K386" s="235">
        <v>-0.1</v>
      </c>
      <c r="L386" s="72">
        <v>3.7234042553191488E-2</v>
      </c>
      <c r="N386" s="235">
        <v>0.3</v>
      </c>
      <c r="O386" s="72">
        <v>2.185792349726776E-2</v>
      </c>
      <c r="Q386" s="235">
        <v>-0.1</v>
      </c>
      <c r="R386" s="232">
        <v>63.829787234042556</v>
      </c>
      <c r="T386" s="235">
        <v>0.3</v>
      </c>
      <c r="U386" s="232">
        <v>65.573770491803273</v>
      </c>
    </row>
    <row r="387" spans="2:21" x14ac:dyDescent="0.25">
      <c r="B387" s="235">
        <v>0.75</v>
      </c>
      <c r="C387" s="72">
        <v>2.0408163265306121E-2</v>
      </c>
      <c r="E387" s="235">
        <v>0.75</v>
      </c>
      <c r="F387" s="72">
        <v>3.0612244897959183E-2</v>
      </c>
      <c r="H387" s="235">
        <v>0.75</v>
      </c>
      <c r="I387" s="72">
        <v>0.33333333333333331</v>
      </c>
      <c r="K387" s="235">
        <v>-0.1</v>
      </c>
      <c r="L387" s="72">
        <v>3.6842105263157891E-2</v>
      </c>
      <c r="N387" s="235">
        <v>0.3</v>
      </c>
      <c r="O387" s="72">
        <v>2.6595744680851064E-2</v>
      </c>
      <c r="Q387" s="235">
        <v>-0.1</v>
      </c>
      <c r="R387" s="232">
        <v>31.578947368421051</v>
      </c>
      <c r="T387" s="235">
        <v>0.3</v>
      </c>
      <c r="U387" s="232">
        <v>31.914893617021278</v>
      </c>
    </row>
    <row r="388" spans="2:21" x14ac:dyDescent="0.25">
      <c r="B388" s="235">
        <v>0.75</v>
      </c>
      <c r="C388" s="72">
        <v>4.2553191489361701E-2</v>
      </c>
      <c r="E388" s="235">
        <v>0.75</v>
      </c>
      <c r="F388" s="72">
        <v>3.7234042553191488E-2</v>
      </c>
      <c r="H388" s="235">
        <v>0.75</v>
      </c>
      <c r="I388" s="72">
        <v>0.72727272727272729</v>
      </c>
      <c r="K388" s="235">
        <v>-0.1</v>
      </c>
      <c r="L388" s="72">
        <v>4.7872340425531915E-2</v>
      </c>
      <c r="N388" s="235">
        <v>0.3</v>
      </c>
      <c r="O388" s="72">
        <v>4.1884816753926704E-2</v>
      </c>
      <c r="Q388" s="235">
        <v>-0.1</v>
      </c>
      <c r="R388" s="232">
        <v>42.553191489361701</v>
      </c>
      <c r="T388" s="235">
        <v>0.3</v>
      </c>
      <c r="U388" s="232">
        <v>36.64921465968586</v>
      </c>
    </row>
    <row r="389" spans="2:21" x14ac:dyDescent="0.25">
      <c r="B389" s="235">
        <v>0.75</v>
      </c>
      <c r="C389" s="72">
        <v>2.3391812865497075E-2</v>
      </c>
      <c r="E389" s="235">
        <v>0.75</v>
      </c>
      <c r="F389" s="72">
        <v>5.8479532163742687E-3</v>
      </c>
      <c r="H389" s="235">
        <v>0.75</v>
      </c>
      <c r="I389" s="72">
        <v>0.66666666666666663</v>
      </c>
      <c r="K389" s="235">
        <v>-0.1</v>
      </c>
      <c r="L389" s="72">
        <v>2.9411764705882353E-2</v>
      </c>
      <c r="N389" s="235">
        <v>0.3</v>
      </c>
      <c r="O389" s="72">
        <v>1.1428571428571429E-2</v>
      </c>
      <c r="Q389" s="235">
        <v>-0.1</v>
      </c>
      <c r="R389" s="232">
        <v>47.058823529411768</v>
      </c>
      <c r="T389" s="235">
        <v>0.3</v>
      </c>
      <c r="U389" s="232">
        <v>51.428571428571431</v>
      </c>
    </row>
    <row r="390" spans="2:21" x14ac:dyDescent="0.25">
      <c r="B390" s="235">
        <v>0.75</v>
      </c>
      <c r="C390" s="72">
        <v>1.7142857142857144E-2</v>
      </c>
      <c r="E390" s="235">
        <v>0.75</v>
      </c>
      <c r="F390" s="72">
        <v>1.1428571428571429E-2</v>
      </c>
      <c r="H390" s="235">
        <v>0.75</v>
      </c>
      <c r="I390" s="72">
        <v>0.5</v>
      </c>
      <c r="K390" s="235">
        <v>-0.1</v>
      </c>
      <c r="L390" s="72">
        <v>4.0697674418604654E-2</v>
      </c>
      <c r="N390" s="235">
        <v>0.3</v>
      </c>
      <c r="O390" s="72">
        <v>2.8735632183908046E-2</v>
      </c>
      <c r="Q390" s="235">
        <v>-0.1</v>
      </c>
      <c r="R390" s="232">
        <v>11.627906976744185</v>
      </c>
      <c r="T390" s="235">
        <v>0.3</v>
      </c>
      <c r="U390" s="232">
        <v>11.494252873563218</v>
      </c>
    </row>
    <row r="391" spans="2:21" x14ac:dyDescent="0.25">
      <c r="B391" s="235">
        <v>0.75</v>
      </c>
      <c r="C391" s="72">
        <v>2.6881720430107527E-2</v>
      </c>
      <c r="E391" s="235">
        <v>0.75</v>
      </c>
      <c r="F391" s="72">
        <v>1.6129032258064516E-2</v>
      </c>
      <c r="H391" s="235">
        <v>0.75</v>
      </c>
      <c r="I391" s="72">
        <v>0.5</v>
      </c>
      <c r="K391" s="235">
        <v>-0.1</v>
      </c>
      <c r="L391" s="72">
        <v>1.0638297872340425E-2</v>
      </c>
      <c r="N391" s="235">
        <v>0.3</v>
      </c>
      <c r="O391" s="72">
        <v>1.0638297872340425E-2</v>
      </c>
      <c r="Q391" s="235">
        <v>-0.1</v>
      </c>
      <c r="R391" s="232">
        <v>15.957446808510639</v>
      </c>
      <c r="T391" s="235">
        <v>0.3</v>
      </c>
      <c r="U391" s="232">
        <v>21.276595744680851</v>
      </c>
    </row>
    <row r="392" spans="2:21" x14ac:dyDescent="0.25">
      <c r="B392" s="235">
        <v>0.75</v>
      </c>
      <c r="C392" s="72">
        <v>4.7393364928909956E-3</v>
      </c>
      <c r="E392" s="235">
        <v>0.75</v>
      </c>
      <c r="F392" s="72">
        <v>1.8957345971563982E-2</v>
      </c>
      <c r="H392" s="235">
        <v>0.75</v>
      </c>
      <c r="I392" s="72">
        <v>0.5714285714285714</v>
      </c>
      <c r="K392" s="235">
        <v>-0.1</v>
      </c>
      <c r="L392" s="72">
        <v>4.2654028436018961E-2</v>
      </c>
      <c r="N392" s="235">
        <v>0.3</v>
      </c>
      <c r="O392" s="72">
        <v>2.8985507246376812E-2</v>
      </c>
      <c r="Q392" s="235">
        <v>-0.1</v>
      </c>
      <c r="R392" s="232">
        <v>52.132701421800945</v>
      </c>
      <c r="T392" s="235">
        <v>0.3</v>
      </c>
      <c r="U392" s="232">
        <v>53.140096618357489</v>
      </c>
    </row>
    <row r="393" spans="2:21" x14ac:dyDescent="0.25">
      <c r="B393" s="235">
        <v>0.75</v>
      </c>
      <c r="C393" s="72">
        <v>2.1739130434782608E-2</v>
      </c>
      <c r="E393" s="235">
        <v>0.75</v>
      </c>
      <c r="F393" s="72">
        <v>3.8043478260869568E-2</v>
      </c>
      <c r="H393" s="235">
        <v>0.75</v>
      </c>
      <c r="I393" s="72">
        <v>0.33333333333333331</v>
      </c>
      <c r="K393" s="235">
        <v>-0.1</v>
      </c>
      <c r="L393" s="72">
        <v>6.1797752808988762E-2</v>
      </c>
      <c r="N393" s="235">
        <v>0.3</v>
      </c>
      <c r="O393" s="72">
        <v>5.5865921787709494E-2</v>
      </c>
      <c r="Q393" s="235">
        <v>-0.1</v>
      </c>
      <c r="R393" s="232">
        <v>22.471910112359552</v>
      </c>
      <c r="T393" s="235">
        <v>0.3</v>
      </c>
      <c r="U393" s="232">
        <v>27.932960893854748</v>
      </c>
    </row>
    <row r="394" spans="2:21" x14ac:dyDescent="0.25">
      <c r="B394" s="235">
        <v>0.75</v>
      </c>
      <c r="C394" s="72">
        <v>2.0618556701030927E-2</v>
      </c>
      <c r="E394" s="235">
        <v>0.75</v>
      </c>
      <c r="F394" s="72">
        <v>2.5773195876288658E-2</v>
      </c>
      <c r="H394" s="235">
        <v>0.75</v>
      </c>
      <c r="I394" s="72">
        <v>0.44444444444444442</v>
      </c>
      <c r="K394" s="235">
        <v>-0.1</v>
      </c>
      <c r="L394" s="72">
        <v>3.1914893617021274E-2</v>
      </c>
      <c r="N394" s="235">
        <v>0.3</v>
      </c>
      <c r="O394" s="72">
        <v>3.7234042553191488E-2</v>
      </c>
      <c r="Q394" s="235">
        <v>-0.1</v>
      </c>
      <c r="R394" s="232">
        <v>26.595744680851062</v>
      </c>
      <c r="T394" s="235">
        <v>0.3</v>
      </c>
      <c r="U394" s="232">
        <v>26.595744680851062</v>
      </c>
    </row>
    <row r="395" spans="2:21" x14ac:dyDescent="0.25">
      <c r="B395" s="235">
        <v>0.75</v>
      </c>
      <c r="C395" s="72">
        <v>2.2988505747126436E-2</v>
      </c>
      <c r="E395" s="235">
        <v>0.75</v>
      </c>
      <c r="F395" s="72">
        <v>2.8735632183908046E-2</v>
      </c>
      <c r="H395" s="235">
        <v>0.75</v>
      </c>
      <c r="I395" s="72">
        <v>0.22222222222222221</v>
      </c>
      <c r="K395" s="235">
        <v>-0.1</v>
      </c>
      <c r="L395" s="72">
        <v>3.9772727272727272E-2</v>
      </c>
      <c r="N395" s="235">
        <v>0.3</v>
      </c>
      <c r="O395" s="72">
        <v>3.954802259887006E-2</v>
      </c>
      <c r="Q395" s="235">
        <v>-0.1</v>
      </c>
      <c r="R395" s="232">
        <v>22.727272727272727</v>
      </c>
      <c r="T395" s="235">
        <v>0.3</v>
      </c>
      <c r="U395" s="232">
        <v>33.898305084745765</v>
      </c>
    </row>
    <row r="396" spans="2:21" x14ac:dyDescent="0.25">
      <c r="B396" s="235">
        <v>0.75</v>
      </c>
      <c r="C396" s="72">
        <v>5.5555555555555558E-3</v>
      </c>
      <c r="E396" s="235">
        <v>0.75</v>
      </c>
      <c r="F396" s="72">
        <v>1.1111111111111112E-2</v>
      </c>
      <c r="H396" s="235">
        <v>0.75</v>
      </c>
      <c r="I396" s="72">
        <v>0.42857142857142855</v>
      </c>
      <c r="K396" s="235">
        <v>-0.1</v>
      </c>
      <c r="L396" s="72">
        <v>5.2023121387283239E-2</v>
      </c>
      <c r="N396" s="235">
        <v>0.3</v>
      </c>
      <c r="O396" s="72">
        <v>2.2598870056497175E-2</v>
      </c>
      <c r="Q396" s="235">
        <v>-0.1</v>
      </c>
      <c r="R396" s="232">
        <v>46.24277456647399</v>
      </c>
      <c r="T396" s="235">
        <v>0.3</v>
      </c>
      <c r="U396" s="232">
        <v>39.548022598870055</v>
      </c>
    </row>
    <row r="397" spans="2:21" x14ac:dyDescent="0.25">
      <c r="B397" s="235">
        <v>0.75</v>
      </c>
      <c r="C397" s="72">
        <v>9.2165898617511521E-3</v>
      </c>
      <c r="E397" s="235">
        <v>0.75</v>
      </c>
      <c r="F397" s="72">
        <v>1.8433179723502304E-2</v>
      </c>
      <c r="H397" s="235">
        <v>0.75</v>
      </c>
      <c r="I397" s="72">
        <v>0.7</v>
      </c>
      <c r="K397" s="235">
        <v>-0.1</v>
      </c>
      <c r="L397" s="72">
        <v>3.3980582524271843E-2</v>
      </c>
      <c r="N397" s="235">
        <v>0.3</v>
      </c>
      <c r="O397" s="72">
        <v>2.843601895734597E-2</v>
      </c>
      <c r="Q397" s="235">
        <v>-0.1</v>
      </c>
      <c r="R397" s="232">
        <v>48.543689320388353</v>
      </c>
      <c r="T397" s="235">
        <v>0.3</v>
      </c>
      <c r="U397" s="232">
        <v>47.393364928909953</v>
      </c>
    </row>
    <row r="398" spans="2:21" x14ac:dyDescent="0.25">
      <c r="B398" s="235">
        <v>0.75</v>
      </c>
      <c r="C398" s="72">
        <v>2.4752475247524754E-2</v>
      </c>
      <c r="E398" s="235">
        <v>0.75</v>
      </c>
      <c r="F398" s="72">
        <v>3.4653465346534656E-2</v>
      </c>
      <c r="H398" s="235">
        <v>0.75</v>
      </c>
      <c r="I398" s="72">
        <v>0.2857142857142857</v>
      </c>
      <c r="K398" s="235">
        <v>-0.1</v>
      </c>
      <c r="L398" s="72">
        <v>2.5510204081632654E-2</v>
      </c>
      <c r="N398" s="235">
        <v>0.3</v>
      </c>
      <c r="O398" s="72">
        <v>3.5175879396984924E-2</v>
      </c>
      <c r="Q398" s="235">
        <v>-0.1</v>
      </c>
      <c r="R398" s="232">
        <v>40.816326530612244</v>
      </c>
      <c r="T398" s="235">
        <v>0.3</v>
      </c>
      <c r="U398" s="232">
        <v>40.201005025125632</v>
      </c>
    </row>
    <row r="399" spans="2:21" x14ac:dyDescent="0.25">
      <c r="B399" s="235">
        <v>0.75</v>
      </c>
      <c r="C399" s="72">
        <v>3.1578947368421054E-2</v>
      </c>
      <c r="E399" s="235">
        <v>0.75</v>
      </c>
      <c r="F399" s="72">
        <v>4.2105263157894736E-2</v>
      </c>
      <c r="H399" s="235">
        <v>0.75</v>
      </c>
      <c r="I399" s="72">
        <v>0.4</v>
      </c>
      <c r="K399" s="235">
        <v>-0.1</v>
      </c>
      <c r="L399" s="72">
        <v>4.5685279187817257E-2</v>
      </c>
      <c r="N399" s="235">
        <v>0.3</v>
      </c>
      <c r="O399" s="72">
        <v>0.05</v>
      </c>
      <c r="Q399" s="235">
        <v>-0.1</v>
      </c>
      <c r="R399" s="232">
        <v>20.304568527918782</v>
      </c>
      <c r="T399" s="235">
        <v>0.3</v>
      </c>
      <c r="U399" s="232">
        <v>20</v>
      </c>
    </row>
    <row r="400" spans="2:21" x14ac:dyDescent="0.25">
      <c r="B400" s="235">
        <v>0.75</v>
      </c>
      <c r="C400" s="72">
        <v>2.9940119760479042E-2</v>
      </c>
      <c r="E400" s="235">
        <v>0.75</v>
      </c>
      <c r="F400" s="72">
        <v>1.1976047904191617E-2</v>
      </c>
      <c r="H400" s="235">
        <v>0.75</v>
      </c>
      <c r="I400" s="72">
        <v>0.2</v>
      </c>
      <c r="K400" s="235">
        <v>-0.1</v>
      </c>
      <c r="L400" s="72">
        <v>2.3809523809523808E-2</v>
      </c>
      <c r="N400" s="235">
        <v>0.3</v>
      </c>
      <c r="O400" s="72">
        <v>2.9940119760479042E-2</v>
      </c>
      <c r="Q400" s="235">
        <v>-0.1</v>
      </c>
      <c r="R400" s="232">
        <v>17.857142857142858</v>
      </c>
      <c r="T400" s="235">
        <v>0.3</v>
      </c>
      <c r="U400" s="232">
        <v>11.976047904191617</v>
      </c>
    </row>
    <row r="401" spans="2:21" x14ac:dyDescent="0.25">
      <c r="B401" s="235">
        <v>0.75</v>
      </c>
      <c r="C401" s="72">
        <v>3.4682080924855488E-2</v>
      </c>
      <c r="E401" s="235">
        <v>0.75</v>
      </c>
      <c r="F401" s="72">
        <v>1.1560693641618497E-2</v>
      </c>
      <c r="H401" s="235">
        <v>0.75</v>
      </c>
      <c r="I401" s="72">
        <v>0.4</v>
      </c>
      <c r="K401" s="235">
        <v>-0.1</v>
      </c>
      <c r="L401" s="72">
        <v>1.7045454545454544E-2</v>
      </c>
      <c r="N401" s="235">
        <v>0.3</v>
      </c>
      <c r="O401" s="72">
        <v>3.4285714285714287E-2</v>
      </c>
      <c r="Q401" s="235">
        <v>-0.1</v>
      </c>
      <c r="R401" s="232">
        <v>28.40909090909091</v>
      </c>
      <c r="T401" s="235">
        <v>0.3</v>
      </c>
      <c r="U401" s="232">
        <v>40</v>
      </c>
    </row>
    <row r="402" spans="2:21" x14ac:dyDescent="0.25">
      <c r="B402" s="235">
        <v>0.75</v>
      </c>
      <c r="C402" s="72">
        <v>2.6178010471204188E-2</v>
      </c>
      <c r="E402" s="235">
        <v>0.75</v>
      </c>
      <c r="F402" s="72">
        <v>3.1413612565445025E-2</v>
      </c>
      <c r="H402" s="235">
        <v>0.75</v>
      </c>
      <c r="I402" s="72">
        <v>0.66666666666666663</v>
      </c>
      <c r="K402" s="235">
        <v>-0.1</v>
      </c>
      <c r="L402" s="72">
        <v>5.027932960893855E-2</v>
      </c>
      <c r="N402" s="235">
        <v>0.3</v>
      </c>
      <c r="O402" s="72">
        <v>3.2432432432432434E-2</v>
      </c>
      <c r="Q402" s="235">
        <v>-0.1</v>
      </c>
      <c r="R402" s="232">
        <v>50.279329608938546</v>
      </c>
      <c r="T402" s="235">
        <v>0.3</v>
      </c>
      <c r="U402" s="232">
        <v>37.837837837837839</v>
      </c>
    </row>
    <row r="403" spans="2:21" x14ac:dyDescent="0.25">
      <c r="B403" s="235">
        <v>0.75</v>
      </c>
      <c r="C403" s="72">
        <v>2.4875621890547265E-2</v>
      </c>
      <c r="E403" s="235">
        <v>0.75</v>
      </c>
      <c r="F403" s="72">
        <v>3.482587064676617E-2</v>
      </c>
      <c r="H403" s="235">
        <v>0.75</v>
      </c>
      <c r="I403" s="72">
        <v>0.33333333333333331</v>
      </c>
      <c r="K403" s="235">
        <v>-0.1</v>
      </c>
      <c r="L403" s="72">
        <v>9.3137254901960786E-2</v>
      </c>
      <c r="N403" s="235">
        <v>0.3</v>
      </c>
      <c r="O403" s="72">
        <v>5.4726368159203981E-2</v>
      </c>
      <c r="Q403" s="235">
        <v>-0.1</v>
      </c>
      <c r="R403" s="232">
        <v>39.215686274509807</v>
      </c>
      <c r="T403" s="235">
        <v>0.3</v>
      </c>
      <c r="U403" s="232">
        <v>34.82587064676617</v>
      </c>
    </row>
    <row r="404" spans="2:21" x14ac:dyDescent="0.25">
      <c r="B404" s="235">
        <v>1</v>
      </c>
      <c r="C404" s="72">
        <v>0</v>
      </c>
      <c r="E404" s="235">
        <v>1</v>
      </c>
      <c r="F404" s="72">
        <v>1.5625E-2</v>
      </c>
      <c r="H404" s="235">
        <v>1</v>
      </c>
      <c r="I404" s="72">
        <v>0.55555555555555558</v>
      </c>
      <c r="K404" s="235">
        <v>0</v>
      </c>
      <c r="L404" s="72">
        <v>2.0833333333333332E-2</v>
      </c>
      <c r="N404" s="235">
        <v>0.4</v>
      </c>
      <c r="O404" s="72">
        <v>2.0833333333333332E-2</v>
      </c>
      <c r="Q404" s="235">
        <v>0</v>
      </c>
      <c r="R404" s="232">
        <v>26.041666666666668</v>
      </c>
      <c r="T404" s="235">
        <v>0.4</v>
      </c>
      <c r="U404" s="232">
        <v>31.25</v>
      </c>
    </row>
    <row r="405" spans="2:21" x14ac:dyDescent="0.25">
      <c r="B405" s="235">
        <v>1</v>
      </c>
      <c r="C405" s="72">
        <v>0</v>
      </c>
      <c r="E405" s="235">
        <v>1</v>
      </c>
      <c r="F405" s="72">
        <v>1.5544041450777202E-2</v>
      </c>
      <c r="H405" s="235">
        <v>1</v>
      </c>
      <c r="I405" s="72">
        <v>0.45454545454545453</v>
      </c>
      <c r="K405" s="235">
        <v>0</v>
      </c>
      <c r="L405" s="72">
        <v>4.1884816753926704E-2</v>
      </c>
      <c r="N405" s="235">
        <v>0.4</v>
      </c>
      <c r="O405" s="72">
        <v>3.6649214659685861E-2</v>
      </c>
      <c r="Q405" s="235">
        <v>0</v>
      </c>
      <c r="R405" s="232">
        <v>36.64921465968586</v>
      </c>
      <c r="T405" s="235">
        <v>0.4</v>
      </c>
      <c r="U405" s="232">
        <v>41.8848167539267</v>
      </c>
    </row>
    <row r="406" spans="2:21" x14ac:dyDescent="0.25">
      <c r="B406" s="235">
        <v>1</v>
      </c>
      <c r="C406" s="72">
        <v>0</v>
      </c>
      <c r="E406" s="235">
        <v>1</v>
      </c>
      <c r="F406" s="72">
        <v>3.0456852791878174E-2</v>
      </c>
      <c r="H406" s="235">
        <v>1</v>
      </c>
      <c r="I406" s="72">
        <v>0.33333333333333331</v>
      </c>
      <c r="K406" s="235">
        <v>0</v>
      </c>
      <c r="L406" s="72">
        <v>5.1546391752577317E-2</v>
      </c>
      <c r="N406" s="235">
        <v>0.4</v>
      </c>
      <c r="O406" s="72">
        <v>5.1546391752577317E-2</v>
      </c>
      <c r="Q406" s="235">
        <v>0</v>
      </c>
      <c r="R406" s="232">
        <v>30.927835051546392</v>
      </c>
      <c r="T406" s="235">
        <v>0.4</v>
      </c>
      <c r="U406" s="232">
        <v>25.773195876288661</v>
      </c>
    </row>
    <row r="407" spans="2:21" x14ac:dyDescent="0.25">
      <c r="B407" s="235">
        <v>1</v>
      </c>
      <c r="C407" s="72">
        <v>0</v>
      </c>
      <c r="E407" s="235">
        <v>1</v>
      </c>
      <c r="F407" s="72">
        <v>4.3243243243243246E-2</v>
      </c>
      <c r="H407" s="235">
        <v>1</v>
      </c>
      <c r="I407" s="72">
        <v>0.5</v>
      </c>
      <c r="K407" s="235">
        <v>0</v>
      </c>
      <c r="L407" s="72">
        <v>6.4171122994652413E-2</v>
      </c>
      <c r="N407" s="235">
        <v>0.4</v>
      </c>
      <c r="O407" s="72">
        <v>5.2356020942408377E-2</v>
      </c>
      <c r="Q407" s="235">
        <v>0</v>
      </c>
      <c r="R407" s="232">
        <v>42.780748663101605</v>
      </c>
      <c r="T407" s="235">
        <v>0.4</v>
      </c>
      <c r="U407" s="232">
        <v>31.413612565445025</v>
      </c>
    </row>
    <row r="408" spans="2:21" x14ac:dyDescent="0.25">
      <c r="B408" s="235">
        <v>1</v>
      </c>
      <c r="C408" s="72">
        <v>0</v>
      </c>
      <c r="E408" s="235">
        <v>1</v>
      </c>
      <c r="F408" s="72">
        <v>3.5897435897435895E-2</v>
      </c>
      <c r="H408" s="235">
        <v>1</v>
      </c>
      <c r="I408" s="72">
        <v>0.16666666666666666</v>
      </c>
      <c r="K408" s="235">
        <v>0</v>
      </c>
      <c r="L408" s="72">
        <v>3.5897435897435895E-2</v>
      </c>
      <c r="N408" s="235">
        <v>0.4</v>
      </c>
      <c r="O408" s="72">
        <v>3.553299492385787E-2</v>
      </c>
      <c r="Q408" s="235">
        <v>0</v>
      </c>
      <c r="R408" s="232">
        <v>25.641025641025642</v>
      </c>
      <c r="T408" s="235">
        <v>0.4</v>
      </c>
      <c r="U408" s="232">
        <v>25.380710659898476</v>
      </c>
    </row>
    <row r="409" spans="2:21" x14ac:dyDescent="0.25">
      <c r="B409" s="235">
        <v>1</v>
      </c>
      <c r="C409" s="72">
        <v>0</v>
      </c>
      <c r="E409" s="235">
        <v>1</v>
      </c>
      <c r="F409" s="72">
        <v>2.2099447513812154E-2</v>
      </c>
      <c r="H409" s="235">
        <v>1</v>
      </c>
      <c r="I409" s="72">
        <v>0.125</v>
      </c>
      <c r="K409" s="235">
        <v>0</v>
      </c>
      <c r="L409" s="72">
        <v>2.2099447513812154E-2</v>
      </c>
      <c r="N409" s="235">
        <v>0.4</v>
      </c>
      <c r="O409" s="72">
        <v>1.6574585635359115E-2</v>
      </c>
      <c r="Q409" s="235">
        <v>0</v>
      </c>
      <c r="R409" s="232">
        <v>16.574585635359117</v>
      </c>
      <c r="T409" s="235">
        <v>0.4</v>
      </c>
      <c r="U409" s="232">
        <v>11.049723756906078</v>
      </c>
    </row>
    <row r="410" spans="2:21" x14ac:dyDescent="0.25">
      <c r="B410" s="235">
        <v>1</v>
      </c>
      <c r="C410" s="72">
        <v>0</v>
      </c>
      <c r="E410" s="235">
        <v>1</v>
      </c>
      <c r="F410" s="72">
        <v>3.4682080924855488E-2</v>
      </c>
      <c r="H410" s="235">
        <v>1</v>
      </c>
      <c r="I410" s="72">
        <v>0.33333333333333331</v>
      </c>
      <c r="K410" s="235">
        <v>0</v>
      </c>
      <c r="L410" s="72">
        <v>5.232558139534884E-2</v>
      </c>
      <c r="N410" s="235">
        <v>0.4</v>
      </c>
      <c r="O410" s="72">
        <v>6.3953488372093026E-2</v>
      </c>
      <c r="Q410" s="235">
        <v>0</v>
      </c>
      <c r="R410" s="232">
        <v>29.069767441860463</v>
      </c>
      <c r="T410" s="235">
        <v>0.4</v>
      </c>
      <c r="U410" s="232">
        <v>29.069767441860463</v>
      </c>
    </row>
    <row r="411" spans="2:21" x14ac:dyDescent="0.25">
      <c r="B411" s="235">
        <v>1</v>
      </c>
      <c r="C411" s="72">
        <v>0</v>
      </c>
      <c r="E411" s="235">
        <v>1</v>
      </c>
      <c r="F411" s="72">
        <v>1.5625E-2</v>
      </c>
      <c r="H411" s="235">
        <v>1</v>
      </c>
      <c r="I411" s="72">
        <v>0.46666666666666667</v>
      </c>
      <c r="K411" s="235">
        <v>0</v>
      </c>
      <c r="L411" s="72">
        <v>3.7037037037037035E-2</v>
      </c>
      <c r="N411" s="235">
        <v>0.4</v>
      </c>
      <c r="O411" s="72">
        <v>3.1578947368421054E-2</v>
      </c>
      <c r="Q411" s="235">
        <v>0</v>
      </c>
      <c r="R411" s="232">
        <v>52.910052910052912</v>
      </c>
      <c r="T411" s="235">
        <v>0.4</v>
      </c>
      <c r="U411" s="232">
        <v>47.368421052631582</v>
      </c>
    </row>
    <row r="412" spans="2:21" x14ac:dyDescent="0.25">
      <c r="B412" s="235">
        <v>1</v>
      </c>
      <c r="C412" s="72">
        <v>0</v>
      </c>
      <c r="E412" s="235">
        <v>1</v>
      </c>
      <c r="F412" s="72">
        <v>1.6483516483516484E-2</v>
      </c>
      <c r="H412" s="235">
        <v>1</v>
      </c>
      <c r="I412" s="72">
        <v>0.33333333333333331</v>
      </c>
      <c r="K412" s="235">
        <v>0</v>
      </c>
      <c r="L412" s="72">
        <v>2.7472527472527472E-2</v>
      </c>
      <c r="N412" s="235">
        <v>0.4</v>
      </c>
      <c r="O412" s="72">
        <v>3.825136612021858E-2</v>
      </c>
      <c r="Q412" s="235">
        <v>0</v>
      </c>
      <c r="R412" s="232">
        <v>27.472527472527471</v>
      </c>
      <c r="T412" s="235">
        <v>0.4</v>
      </c>
      <c r="U412" s="232">
        <v>27.3224043715847</v>
      </c>
    </row>
    <row r="413" spans="2:21" x14ac:dyDescent="0.25">
      <c r="B413" s="235">
        <v>1</v>
      </c>
      <c r="C413" s="72">
        <v>0</v>
      </c>
      <c r="E413" s="235">
        <v>1</v>
      </c>
      <c r="F413" s="72">
        <v>2.0408163265306121E-2</v>
      </c>
      <c r="H413" s="235">
        <v>1</v>
      </c>
      <c r="I413" s="72">
        <v>0.33333333333333331</v>
      </c>
      <c r="K413" s="235">
        <v>0</v>
      </c>
      <c r="L413" s="72">
        <v>2.6041666666666668E-2</v>
      </c>
      <c r="N413" s="235">
        <v>0.4</v>
      </c>
      <c r="O413" s="72">
        <v>3.0612244897959183E-2</v>
      </c>
      <c r="Q413" s="235">
        <v>0</v>
      </c>
      <c r="R413" s="232">
        <v>36.458333333333336</v>
      </c>
      <c r="T413" s="235">
        <v>0.4</v>
      </c>
      <c r="U413" s="232">
        <v>25.510204081632654</v>
      </c>
    </row>
    <row r="414" spans="2:21" x14ac:dyDescent="0.25">
      <c r="B414" s="235">
        <v>1</v>
      </c>
      <c r="C414" s="72">
        <v>0</v>
      </c>
      <c r="E414" s="235">
        <v>1</v>
      </c>
      <c r="F414" s="72">
        <v>3.8674033149171269E-2</v>
      </c>
      <c r="H414" s="235">
        <v>1</v>
      </c>
      <c r="I414" s="72">
        <v>0.2857142857142857</v>
      </c>
      <c r="K414" s="235">
        <v>0</v>
      </c>
      <c r="L414" s="72">
        <v>0.05</v>
      </c>
      <c r="N414" s="235">
        <v>0.4</v>
      </c>
      <c r="O414" s="72">
        <v>4.4692737430167599E-2</v>
      </c>
      <c r="Q414" s="235">
        <v>0</v>
      </c>
      <c r="R414" s="232">
        <v>33.333333333333336</v>
      </c>
      <c r="T414" s="235">
        <v>0.4</v>
      </c>
      <c r="U414" s="232">
        <v>27.932960893854748</v>
      </c>
    </row>
    <row r="415" spans="2:21" x14ac:dyDescent="0.25">
      <c r="B415" s="235">
        <v>1</v>
      </c>
      <c r="C415" s="72">
        <v>0</v>
      </c>
      <c r="E415" s="235">
        <v>1</v>
      </c>
      <c r="F415" s="72">
        <v>2.4630541871921183E-2</v>
      </c>
      <c r="H415" s="235">
        <v>1</v>
      </c>
      <c r="I415" s="72">
        <v>0.22222222222222221</v>
      </c>
      <c r="K415" s="235">
        <v>0</v>
      </c>
      <c r="L415" s="72">
        <v>3.5000000000000003E-2</v>
      </c>
      <c r="N415" s="235">
        <v>0.4</v>
      </c>
      <c r="O415" s="72">
        <v>3.9024390243902439E-2</v>
      </c>
      <c r="Q415" s="235">
        <v>0</v>
      </c>
      <c r="R415" s="232">
        <v>20</v>
      </c>
      <c r="T415" s="235">
        <v>0.4</v>
      </c>
      <c r="U415" s="232">
        <v>19.512195121951219</v>
      </c>
    </row>
    <row r="416" spans="2:21" x14ac:dyDescent="0.25">
      <c r="B416" s="235">
        <v>1</v>
      </c>
      <c r="C416" s="72">
        <v>0</v>
      </c>
      <c r="E416" s="235">
        <v>1</v>
      </c>
      <c r="F416" s="72">
        <v>2.0408163265306121E-2</v>
      </c>
      <c r="H416" s="235">
        <v>1</v>
      </c>
      <c r="I416" s="72">
        <v>0.33333333333333331</v>
      </c>
      <c r="K416" s="235">
        <v>0</v>
      </c>
      <c r="L416" s="72">
        <v>2.5125628140703519E-2</v>
      </c>
      <c r="N416" s="235">
        <v>0.4</v>
      </c>
      <c r="O416" s="72">
        <v>2.0408163265306121E-2</v>
      </c>
      <c r="Q416" s="235">
        <v>0</v>
      </c>
      <c r="R416" s="232">
        <v>10.050251256281408</v>
      </c>
      <c r="T416" s="235">
        <v>0.4</v>
      </c>
      <c r="U416" s="232">
        <v>10.204081632653061</v>
      </c>
    </row>
    <row r="417" spans="2:21" x14ac:dyDescent="0.25">
      <c r="B417" s="235">
        <v>1</v>
      </c>
      <c r="C417" s="72">
        <v>0</v>
      </c>
      <c r="E417" s="235">
        <v>1</v>
      </c>
      <c r="F417" s="72">
        <v>1.0869565217391304E-2</v>
      </c>
      <c r="H417" s="235">
        <v>1</v>
      </c>
      <c r="I417" s="72">
        <v>0.5</v>
      </c>
      <c r="K417" s="235">
        <v>0</v>
      </c>
      <c r="L417" s="72">
        <v>2.185792349726776E-2</v>
      </c>
      <c r="N417" s="235">
        <v>0.4</v>
      </c>
      <c r="O417" s="72">
        <v>1.11731843575419E-2</v>
      </c>
      <c r="Q417" s="235">
        <v>0</v>
      </c>
      <c r="R417" s="232">
        <v>16.393442622950818</v>
      </c>
      <c r="T417" s="235">
        <v>0.4</v>
      </c>
      <c r="U417" s="232">
        <v>22.346368715083798</v>
      </c>
    </row>
    <row r="418" spans="2:21" x14ac:dyDescent="0.25">
      <c r="B418" s="235">
        <v>1</v>
      </c>
      <c r="C418" s="72">
        <v>0</v>
      </c>
      <c r="E418" s="235">
        <v>1</v>
      </c>
      <c r="F418" s="72">
        <v>3.0769230769230771E-2</v>
      </c>
      <c r="H418" s="235">
        <v>1</v>
      </c>
      <c r="I418" s="72">
        <v>0.5</v>
      </c>
      <c r="K418" s="235">
        <v>0</v>
      </c>
      <c r="L418" s="72">
        <v>3.0303030303030304E-2</v>
      </c>
      <c r="N418" s="235">
        <v>0.4</v>
      </c>
      <c r="O418" s="72">
        <v>3.5000000000000003E-2</v>
      </c>
      <c r="Q418" s="235">
        <v>0</v>
      </c>
      <c r="R418" s="232">
        <v>20.202020202020201</v>
      </c>
      <c r="T418" s="235">
        <v>0.4</v>
      </c>
      <c r="U418" s="232">
        <v>25</v>
      </c>
    </row>
    <row r="419" spans="2:21" x14ac:dyDescent="0.25">
      <c r="B419" s="235">
        <v>1</v>
      </c>
      <c r="C419" s="72">
        <v>0</v>
      </c>
      <c r="E419" s="235">
        <v>1</v>
      </c>
      <c r="F419" s="72">
        <v>5.7803468208092483E-3</v>
      </c>
      <c r="H419" s="235">
        <v>1</v>
      </c>
      <c r="I419" s="72">
        <v>0.55555555555555558</v>
      </c>
      <c r="K419" s="235">
        <v>0</v>
      </c>
      <c r="L419" s="72">
        <v>1.1627906976744186E-2</v>
      </c>
      <c r="N419" s="235">
        <v>0.4</v>
      </c>
      <c r="O419" s="72">
        <v>2.2727272727272728E-2</v>
      </c>
      <c r="Q419" s="235">
        <v>0</v>
      </c>
      <c r="R419" s="232">
        <v>46.511627906976742</v>
      </c>
      <c r="T419" s="235">
        <v>0.4</v>
      </c>
      <c r="U419" s="232">
        <v>39.772727272727273</v>
      </c>
    </row>
    <row r="420" spans="2:21" x14ac:dyDescent="0.25">
      <c r="B420" s="235">
        <v>1</v>
      </c>
      <c r="C420" s="72">
        <v>0</v>
      </c>
      <c r="E420" s="235">
        <v>1</v>
      </c>
      <c r="F420" s="72">
        <v>2.7472527472527472E-2</v>
      </c>
      <c r="H420" s="235">
        <v>1</v>
      </c>
      <c r="I420" s="72">
        <v>0.46153846153846156</v>
      </c>
      <c r="K420" s="235">
        <v>0</v>
      </c>
      <c r="L420" s="72">
        <v>4.3715846994535519E-2</v>
      </c>
      <c r="N420" s="235">
        <v>0.4</v>
      </c>
      <c r="O420" s="72">
        <v>4.3243243243243246E-2</v>
      </c>
      <c r="Q420" s="235">
        <v>0</v>
      </c>
      <c r="R420" s="232">
        <v>54.644808743169399</v>
      </c>
      <c r="T420" s="235">
        <v>0.4</v>
      </c>
      <c r="U420" s="232">
        <v>54.054054054054056</v>
      </c>
    </row>
    <row r="421" spans="2:21" x14ac:dyDescent="0.25">
      <c r="B421" s="235">
        <v>1</v>
      </c>
      <c r="C421" s="72">
        <v>0</v>
      </c>
      <c r="E421" s="235">
        <v>1</v>
      </c>
      <c r="F421" s="72">
        <v>1.0256410256410256E-2</v>
      </c>
      <c r="H421" s="235">
        <v>1</v>
      </c>
      <c r="I421" s="72">
        <v>0.21428571428571427</v>
      </c>
      <c r="K421" s="235">
        <v>0</v>
      </c>
      <c r="L421" s="72">
        <v>3.5897435897435895E-2</v>
      </c>
      <c r="N421" s="235">
        <v>0.4</v>
      </c>
      <c r="O421" s="72">
        <v>4.4999999999999998E-2</v>
      </c>
      <c r="Q421" s="235">
        <v>0</v>
      </c>
      <c r="R421" s="232">
        <v>41.025641025641029</v>
      </c>
      <c r="T421" s="235">
        <v>0.4</v>
      </c>
      <c r="U421" s="232">
        <v>40</v>
      </c>
    </row>
    <row r="422" spans="2:21" x14ac:dyDescent="0.25">
      <c r="B422" s="235">
        <v>1</v>
      </c>
      <c r="C422" s="72">
        <v>0</v>
      </c>
      <c r="E422" s="235">
        <v>1</v>
      </c>
      <c r="F422" s="72">
        <v>2.1164021164021163E-2</v>
      </c>
      <c r="H422" s="235">
        <v>1</v>
      </c>
      <c r="I422" s="72">
        <v>0.16666666666666666</v>
      </c>
      <c r="K422" s="235">
        <v>0</v>
      </c>
      <c r="L422" s="72">
        <v>3.6458333333333336E-2</v>
      </c>
      <c r="N422" s="235">
        <v>0.4</v>
      </c>
      <c r="O422" s="72">
        <v>3.7433155080213901E-2</v>
      </c>
      <c r="Q422" s="235">
        <v>0</v>
      </c>
      <c r="R422" s="232">
        <v>26.041666666666668</v>
      </c>
      <c r="T422" s="235">
        <v>0.4</v>
      </c>
      <c r="U422" s="232">
        <v>26.737967914438503</v>
      </c>
    </row>
    <row r="423" spans="2:21" x14ac:dyDescent="0.25">
      <c r="B423" s="235">
        <v>1</v>
      </c>
      <c r="C423" s="72">
        <v>0</v>
      </c>
      <c r="E423" s="235">
        <v>1</v>
      </c>
      <c r="F423" s="72">
        <v>1.8292682926829267E-2</v>
      </c>
      <c r="H423" s="235">
        <v>1</v>
      </c>
      <c r="I423" s="72">
        <v>0.14285714285714285</v>
      </c>
      <c r="K423" s="235">
        <v>0</v>
      </c>
      <c r="L423" s="72">
        <v>2.3529411764705882E-2</v>
      </c>
      <c r="N423" s="235">
        <v>0.4</v>
      </c>
      <c r="O423" s="72">
        <v>1.1299435028248588E-2</v>
      </c>
      <c r="Q423" s="235">
        <v>0</v>
      </c>
      <c r="R423" s="232">
        <v>11.764705882352942</v>
      </c>
      <c r="T423" s="235">
        <v>0.4</v>
      </c>
      <c r="U423" s="232">
        <v>5.6497175141242941</v>
      </c>
    </row>
    <row r="424" spans="2:21" x14ac:dyDescent="0.25">
      <c r="B424" s="235">
        <v>1</v>
      </c>
      <c r="C424" s="72">
        <v>0</v>
      </c>
      <c r="E424" s="235">
        <v>1</v>
      </c>
      <c r="F424" s="72">
        <v>1.0582010582010581E-2</v>
      </c>
      <c r="H424" s="235">
        <v>1</v>
      </c>
      <c r="I424" s="72">
        <v>0.44444444444444442</v>
      </c>
      <c r="K424" s="235">
        <v>0</v>
      </c>
      <c r="L424" s="72">
        <v>1.5789473684210527E-2</v>
      </c>
      <c r="N424" s="235">
        <v>0.4</v>
      </c>
      <c r="O424" s="72">
        <v>2.1390374331550801E-2</v>
      </c>
      <c r="Q424" s="235">
        <v>0</v>
      </c>
      <c r="R424" s="232">
        <v>26.315789473684209</v>
      </c>
      <c r="T424" s="235">
        <v>0.4</v>
      </c>
      <c r="U424" s="232">
        <v>26.737967914438503</v>
      </c>
    </row>
    <row r="425" spans="2:21" x14ac:dyDescent="0.25">
      <c r="B425" s="235">
        <v>1</v>
      </c>
      <c r="C425" s="72">
        <v>0</v>
      </c>
      <c r="E425" s="235">
        <v>1</v>
      </c>
      <c r="F425" s="72">
        <v>1.4999999999999999E-2</v>
      </c>
      <c r="H425" s="235">
        <v>1</v>
      </c>
      <c r="I425" s="72">
        <v>0.2</v>
      </c>
      <c r="K425" s="235">
        <v>0</v>
      </c>
      <c r="L425" s="72">
        <v>3.0612244897959183E-2</v>
      </c>
      <c r="N425" s="235">
        <v>0.4</v>
      </c>
      <c r="O425" s="72">
        <v>0.02</v>
      </c>
      <c r="Q425" s="235">
        <v>0</v>
      </c>
      <c r="R425" s="232">
        <v>20.408163265306122</v>
      </c>
      <c r="T425" s="235">
        <v>0.4</v>
      </c>
      <c r="U425" s="232">
        <v>10</v>
      </c>
    </row>
    <row r="426" spans="2:21" x14ac:dyDescent="0.25">
      <c r="B426" s="235">
        <v>1</v>
      </c>
      <c r="C426" s="72">
        <v>0</v>
      </c>
      <c r="E426" s="235">
        <v>1</v>
      </c>
      <c r="F426" s="72">
        <v>1.5306122448979591E-2</v>
      </c>
      <c r="H426" s="235">
        <v>1</v>
      </c>
      <c r="I426" s="72">
        <v>0.38461538461538464</v>
      </c>
      <c r="K426" s="235">
        <v>0</v>
      </c>
      <c r="L426" s="72">
        <v>2.5510204081632654E-2</v>
      </c>
      <c r="N426" s="235">
        <v>0.4</v>
      </c>
      <c r="O426" s="72">
        <v>1.5306122448979591E-2</v>
      </c>
      <c r="Q426" s="235">
        <v>0</v>
      </c>
      <c r="R426" s="232">
        <v>40.816326530612244</v>
      </c>
      <c r="T426" s="235">
        <v>0.4</v>
      </c>
      <c r="U426" s="232">
        <v>51.020408163265309</v>
      </c>
    </row>
    <row r="427" spans="2:21" x14ac:dyDescent="0.25">
      <c r="B427" s="235">
        <v>1</v>
      </c>
      <c r="C427" s="72">
        <v>0</v>
      </c>
      <c r="E427" s="235">
        <v>1</v>
      </c>
      <c r="F427" s="72">
        <v>2.7322404371584699E-2</v>
      </c>
      <c r="H427" s="235">
        <v>1</v>
      </c>
      <c r="I427" s="72">
        <v>8.3333333333333329E-2</v>
      </c>
      <c r="K427" s="235">
        <v>0</v>
      </c>
      <c r="L427" s="72">
        <v>4.3010752688172046E-2</v>
      </c>
      <c r="N427" s="235">
        <v>0.4</v>
      </c>
      <c r="O427" s="72">
        <v>3.8043478260869568E-2</v>
      </c>
      <c r="Q427" s="235">
        <v>0</v>
      </c>
      <c r="R427" s="232">
        <v>16.129032258064516</v>
      </c>
      <c r="T427" s="235">
        <v>0.4</v>
      </c>
      <c r="U427" s="232">
        <v>16.304347826086957</v>
      </c>
    </row>
    <row r="428" spans="2:21" x14ac:dyDescent="0.25">
      <c r="B428" s="235">
        <v>1</v>
      </c>
      <c r="C428" s="72">
        <v>4.8780487804878049E-3</v>
      </c>
      <c r="E428" s="235">
        <v>1</v>
      </c>
      <c r="F428" s="72">
        <v>1.9512195121951219E-2</v>
      </c>
      <c r="H428" s="235">
        <v>1</v>
      </c>
      <c r="I428" s="72">
        <v>0</v>
      </c>
      <c r="K428" s="235">
        <v>0</v>
      </c>
      <c r="L428" s="72">
        <v>3.482587064676617E-2</v>
      </c>
      <c r="N428" s="235">
        <v>0.4</v>
      </c>
      <c r="O428" s="72">
        <v>3.4313725490196081E-2</v>
      </c>
      <c r="Q428" s="235">
        <v>0</v>
      </c>
      <c r="R428" s="232">
        <v>14.925373134328359</v>
      </c>
      <c r="T428" s="235">
        <v>0.4</v>
      </c>
      <c r="U428" s="232">
        <v>19.607843137254903</v>
      </c>
    </row>
    <row r="429" spans="2:21" x14ac:dyDescent="0.25">
      <c r="B429" s="235">
        <v>1</v>
      </c>
      <c r="C429" s="72">
        <v>0</v>
      </c>
      <c r="E429" s="235">
        <v>1</v>
      </c>
      <c r="F429" s="72">
        <v>2.0618556701030927E-2</v>
      </c>
      <c r="H429" s="235">
        <v>1</v>
      </c>
      <c r="I429" s="72">
        <v>0.125</v>
      </c>
      <c r="K429" s="235">
        <v>0</v>
      </c>
      <c r="L429" s="72">
        <v>2.5906735751295335E-2</v>
      </c>
      <c r="N429" s="235">
        <v>0.4</v>
      </c>
      <c r="O429" s="72">
        <v>3.0303030303030304E-2</v>
      </c>
      <c r="Q429" s="235">
        <v>0</v>
      </c>
      <c r="R429" s="232">
        <v>36.269430051813472</v>
      </c>
      <c r="T429" s="235">
        <v>0.4</v>
      </c>
      <c r="U429" s="232">
        <v>30.303030303030305</v>
      </c>
    </row>
    <row r="430" spans="2:21" x14ac:dyDescent="0.25">
      <c r="B430" s="235">
        <v>1</v>
      </c>
      <c r="C430" s="72">
        <v>0</v>
      </c>
      <c r="E430" s="235">
        <v>1</v>
      </c>
      <c r="F430" s="72">
        <v>2.7027027027027029E-2</v>
      </c>
      <c r="H430" s="235">
        <v>1</v>
      </c>
      <c r="I430" s="72">
        <v>0.18181818181818182</v>
      </c>
      <c r="K430" s="235">
        <v>0</v>
      </c>
      <c r="L430" s="72">
        <v>4.2780748663101602E-2</v>
      </c>
      <c r="N430" s="235">
        <v>0.4</v>
      </c>
      <c r="O430" s="72">
        <v>3.2608695652173912E-2</v>
      </c>
      <c r="Q430" s="235">
        <v>0</v>
      </c>
      <c r="R430" s="232">
        <v>37.433155080213901</v>
      </c>
      <c r="T430" s="235">
        <v>0.4</v>
      </c>
      <c r="U430" s="232">
        <v>48.913043478260867</v>
      </c>
    </row>
    <row r="431" spans="2:21" x14ac:dyDescent="0.25">
      <c r="B431" s="235">
        <v>1</v>
      </c>
      <c r="C431" s="72">
        <v>0</v>
      </c>
      <c r="E431" s="235">
        <v>1</v>
      </c>
      <c r="F431" s="72">
        <v>4.3243243243243246E-2</v>
      </c>
      <c r="H431" s="235">
        <v>1</v>
      </c>
      <c r="I431" s="72">
        <v>0.5</v>
      </c>
      <c r="K431" s="235">
        <v>0</v>
      </c>
      <c r="L431" s="72">
        <v>5.4644808743169397E-2</v>
      </c>
      <c r="N431" s="235">
        <v>0.4</v>
      </c>
      <c r="O431" s="72">
        <v>4.7872340425531915E-2</v>
      </c>
      <c r="Q431" s="235">
        <v>0</v>
      </c>
      <c r="R431" s="232">
        <v>21.857923497267759</v>
      </c>
      <c r="T431" s="235">
        <v>0.4</v>
      </c>
      <c r="U431" s="232">
        <v>15.957446808510639</v>
      </c>
    </row>
    <row r="432" spans="2:21" x14ac:dyDescent="0.25">
      <c r="B432" s="235">
        <v>1</v>
      </c>
      <c r="C432" s="72">
        <v>0</v>
      </c>
      <c r="E432" s="235">
        <v>1</v>
      </c>
      <c r="F432" s="72">
        <v>2.0202020202020204E-2</v>
      </c>
      <c r="H432" s="235">
        <v>1</v>
      </c>
      <c r="I432" s="72">
        <v>0.41666666666666669</v>
      </c>
      <c r="K432" s="235">
        <v>0</v>
      </c>
      <c r="L432" s="72">
        <v>3.015075376884422E-2</v>
      </c>
      <c r="N432" s="235">
        <v>0.4</v>
      </c>
      <c r="O432" s="72">
        <v>3.5000000000000003E-2</v>
      </c>
      <c r="Q432" s="235">
        <v>0</v>
      </c>
      <c r="R432" s="232">
        <v>35.175879396984925</v>
      </c>
      <c r="T432" s="235">
        <v>0.4</v>
      </c>
      <c r="U432" s="232">
        <v>35</v>
      </c>
    </row>
    <row r="433" spans="2:21" x14ac:dyDescent="0.25">
      <c r="B433" s="235">
        <v>1</v>
      </c>
      <c r="C433" s="72">
        <v>0</v>
      </c>
      <c r="E433" s="235">
        <v>1</v>
      </c>
      <c r="F433" s="72">
        <v>1.7441860465116279E-2</v>
      </c>
      <c r="H433" s="235">
        <v>1</v>
      </c>
      <c r="I433" s="72">
        <v>0.14285714285714285</v>
      </c>
      <c r="K433" s="235">
        <v>0</v>
      </c>
      <c r="L433" s="72">
        <v>3.5294117647058823E-2</v>
      </c>
      <c r="N433" s="235">
        <v>0.4</v>
      </c>
      <c r="O433" s="72">
        <v>3.5502958579881658E-2</v>
      </c>
      <c r="Q433" s="235">
        <v>0</v>
      </c>
      <c r="R433" s="232">
        <v>41.176470588235297</v>
      </c>
      <c r="T433" s="235">
        <v>0.4</v>
      </c>
      <c r="U433" s="232">
        <v>41.420118343195263</v>
      </c>
    </row>
    <row r="434" spans="2:21" x14ac:dyDescent="0.25">
      <c r="B434" s="235">
        <v>1</v>
      </c>
      <c r="C434" s="72">
        <v>0</v>
      </c>
      <c r="E434" s="235">
        <v>1</v>
      </c>
      <c r="F434" s="72">
        <v>1.6949152542372881E-2</v>
      </c>
      <c r="H434" s="235">
        <v>1</v>
      </c>
      <c r="I434" s="72">
        <v>0.33333333333333331</v>
      </c>
      <c r="K434" s="235">
        <v>0</v>
      </c>
      <c r="L434" s="72">
        <v>2.7932960893854747E-2</v>
      </c>
      <c r="N434" s="235">
        <v>0.4</v>
      </c>
      <c r="O434" s="72">
        <v>2.1621621621621623E-2</v>
      </c>
      <c r="Q434" s="235">
        <v>0</v>
      </c>
      <c r="R434" s="232">
        <v>5.5865921787709496</v>
      </c>
      <c r="T434" s="235">
        <v>0.4</v>
      </c>
      <c r="U434" s="232">
        <v>10.810810810810811</v>
      </c>
    </row>
    <row r="435" spans="2:21" x14ac:dyDescent="0.25">
      <c r="B435" s="235">
        <v>1</v>
      </c>
      <c r="C435" s="72">
        <v>0</v>
      </c>
      <c r="E435" s="235">
        <v>1</v>
      </c>
      <c r="F435" s="72">
        <v>1.5384615384615385E-2</v>
      </c>
      <c r="H435" s="235">
        <v>1</v>
      </c>
      <c r="I435" s="72">
        <v>0.2857142857142857</v>
      </c>
      <c r="K435" s="235">
        <v>0</v>
      </c>
      <c r="L435" s="72">
        <v>3.1088082901554404E-2</v>
      </c>
      <c r="N435" s="235">
        <v>0.4</v>
      </c>
      <c r="O435" s="72">
        <v>3.0456852791878174E-2</v>
      </c>
      <c r="Q435" s="235">
        <v>0</v>
      </c>
      <c r="R435" s="232">
        <v>31.088082901554404</v>
      </c>
      <c r="T435" s="235">
        <v>0.4</v>
      </c>
      <c r="U435" s="232">
        <v>15.228426395939087</v>
      </c>
    </row>
    <row r="436" spans="2:21" x14ac:dyDescent="0.25">
      <c r="B436" s="235">
        <v>1</v>
      </c>
      <c r="C436" s="72">
        <v>0</v>
      </c>
      <c r="E436" s="235">
        <v>1</v>
      </c>
      <c r="F436" s="72">
        <v>1.5306122448979591E-2</v>
      </c>
      <c r="H436" s="235">
        <v>1</v>
      </c>
      <c r="I436" s="72">
        <v>0.25</v>
      </c>
      <c r="K436" s="235">
        <v>0</v>
      </c>
      <c r="L436" s="72">
        <v>2.5252525252525252E-2</v>
      </c>
      <c r="N436" s="235">
        <v>0.4</v>
      </c>
      <c r="O436" s="72">
        <v>2.0512820512820513E-2</v>
      </c>
      <c r="Q436" s="235">
        <v>0</v>
      </c>
      <c r="R436" s="232">
        <v>25.252525252525253</v>
      </c>
      <c r="T436" s="235">
        <v>0.4</v>
      </c>
      <c r="U436" s="232">
        <v>25.641025641025642</v>
      </c>
    </row>
    <row r="437" spans="2:21" x14ac:dyDescent="0.25">
      <c r="B437" s="235">
        <v>1</v>
      </c>
      <c r="C437" s="72">
        <v>0</v>
      </c>
      <c r="E437" s="235">
        <v>1</v>
      </c>
      <c r="F437" s="72">
        <v>1.6853932584269662E-2</v>
      </c>
      <c r="H437" s="235">
        <v>1</v>
      </c>
      <c r="I437" s="72">
        <v>0.14285714285714285</v>
      </c>
      <c r="K437" s="235">
        <v>0</v>
      </c>
      <c r="L437" s="72">
        <v>2.7624309392265192E-2</v>
      </c>
      <c r="N437" s="235">
        <v>0.4</v>
      </c>
      <c r="O437" s="72">
        <v>2.2222222222222223E-2</v>
      </c>
      <c r="Q437" s="235">
        <v>0</v>
      </c>
      <c r="R437" s="232">
        <v>5.5248618784530388</v>
      </c>
      <c r="T437" s="235">
        <v>0.4</v>
      </c>
      <c r="U437" s="232">
        <v>11.111111111111111</v>
      </c>
    </row>
    <row r="438" spans="2:21" x14ac:dyDescent="0.25">
      <c r="B438" s="235">
        <v>1</v>
      </c>
      <c r="C438" s="72">
        <v>0</v>
      </c>
      <c r="E438" s="235">
        <v>1</v>
      </c>
      <c r="F438" s="72">
        <v>2.0942408376963352E-2</v>
      </c>
      <c r="H438" s="235">
        <v>1</v>
      </c>
      <c r="I438" s="72">
        <v>0.3</v>
      </c>
      <c r="K438" s="235">
        <v>0</v>
      </c>
      <c r="L438" s="72">
        <v>4.1237113402061855E-2</v>
      </c>
      <c r="N438" s="235">
        <v>0.4</v>
      </c>
      <c r="O438" s="72">
        <v>3.125E-2</v>
      </c>
      <c r="Q438" s="235">
        <v>0</v>
      </c>
      <c r="R438" s="232">
        <v>36.082474226804123</v>
      </c>
      <c r="T438" s="235">
        <v>0.4</v>
      </c>
      <c r="U438" s="232">
        <v>31.25</v>
      </c>
    </row>
    <row r="439" spans="2:21" x14ac:dyDescent="0.25">
      <c r="B439" s="235">
        <v>1</v>
      </c>
      <c r="C439" s="72">
        <v>0</v>
      </c>
      <c r="E439" s="235">
        <v>1</v>
      </c>
      <c r="F439" s="72">
        <v>2.0202020202020204E-2</v>
      </c>
      <c r="H439" s="235">
        <v>1</v>
      </c>
      <c r="I439" s="72">
        <v>0.33333333333333331</v>
      </c>
      <c r="K439" s="235">
        <v>0</v>
      </c>
      <c r="L439" s="72">
        <v>4.0201005025125629E-2</v>
      </c>
      <c r="N439" s="235">
        <v>0.4</v>
      </c>
      <c r="O439" s="72">
        <v>3.482587064676617E-2</v>
      </c>
      <c r="Q439" s="235">
        <v>0</v>
      </c>
      <c r="R439" s="232">
        <v>15.075376884422111</v>
      </c>
      <c r="T439" s="235">
        <v>0.4</v>
      </c>
      <c r="U439" s="232">
        <v>9.9502487562189046</v>
      </c>
    </row>
    <row r="440" spans="2:21" x14ac:dyDescent="0.25">
      <c r="B440" s="235">
        <v>1</v>
      </c>
      <c r="C440" s="72">
        <v>0</v>
      </c>
      <c r="E440" s="235">
        <v>1</v>
      </c>
      <c r="F440" s="72">
        <v>2.3255813953488372E-2</v>
      </c>
      <c r="H440" s="235">
        <v>1</v>
      </c>
      <c r="I440" s="72">
        <v>0</v>
      </c>
      <c r="K440" s="235">
        <v>0</v>
      </c>
      <c r="L440" s="72">
        <v>2.976190476190476E-2</v>
      </c>
      <c r="N440" s="235">
        <v>0.4</v>
      </c>
      <c r="O440" s="72">
        <v>2.3668639053254437E-2</v>
      </c>
      <c r="Q440" s="235">
        <v>0</v>
      </c>
      <c r="R440" s="232">
        <v>11.904761904761905</v>
      </c>
      <c r="T440" s="235">
        <v>0.4</v>
      </c>
      <c r="U440" s="232">
        <v>17.751479289940828</v>
      </c>
    </row>
    <row r="441" spans="2:21" x14ac:dyDescent="0.25">
      <c r="B441" s="235">
        <v>1</v>
      </c>
      <c r="C441" s="72">
        <v>0</v>
      </c>
      <c r="E441" s="235">
        <v>1</v>
      </c>
      <c r="F441" s="72">
        <v>1.0752688172043012E-2</v>
      </c>
      <c r="H441" s="235">
        <v>1</v>
      </c>
      <c r="I441" s="72">
        <v>0.3</v>
      </c>
      <c r="K441" s="235">
        <v>0</v>
      </c>
      <c r="L441" s="72">
        <v>3.6842105263157891E-2</v>
      </c>
      <c r="N441" s="235">
        <v>0.4</v>
      </c>
      <c r="O441" s="72">
        <v>3.125E-2</v>
      </c>
      <c r="Q441" s="235">
        <v>0</v>
      </c>
      <c r="R441" s="232">
        <v>42.10526315789474</v>
      </c>
      <c r="T441" s="235">
        <v>0.4</v>
      </c>
      <c r="U441" s="232">
        <v>46.875</v>
      </c>
    </row>
    <row r="442" spans="2:21" x14ac:dyDescent="0.25">
      <c r="B442" s="235">
        <v>1</v>
      </c>
      <c r="C442" s="72">
        <v>5.3191489361702126E-3</v>
      </c>
      <c r="E442" s="235">
        <v>1</v>
      </c>
      <c r="F442" s="72">
        <v>1.5957446808510637E-2</v>
      </c>
      <c r="H442" s="235">
        <v>1</v>
      </c>
      <c r="I442" s="72">
        <v>0.75</v>
      </c>
      <c r="K442" s="235">
        <v>0</v>
      </c>
      <c r="L442" s="72">
        <v>2.7322404371584699E-2</v>
      </c>
      <c r="N442" s="235">
        <v>0.4</v>
      </c>
      <c r="O442" s="72">
        <v>2.6315789473684209E-2</v>
      </c>
      <c r="Q442" s="235">
        <v>0</v>
      </c>
      <c r="R442" s="232">
        <v>60.10928961748634</v>
      </c>
      <c r="T442" s="235">
        <v>0.4</v>
      </c>
      <c r="U442" s="232">
        <v>47.368421052631582</v>
      </c>
    </row>
    <row r="443" spans="2:21" x14ac:dyDescent="0.25">
      <c r="B443" s="235">
        <v>1</v>
      </c>
      <c r="C443" s="72">
        <v>0</v>
      </c>
      <c r="E443" s="235">
        <v>1</v>
      </c>
      <c r="F443" s="72">
        <v>2.3668639053254437E-2</v>
      </c>
      <c r="H443" s="235">
        <v>1</v>
      </c>
      <c r="I443" s="72">
        <v>0.125</v>
      </c>
      <c r="K443" s="235">
        <v>0</v>
      </c>
      <c r="L443" s="72">
        <v>2.3391812865497075E-2</v>
      </c>
      <c r="N443" s="235">
        <v>0.4</v>
      </c>
      <c r="O443" s="72">
        <v>2.3391812865497075E-2</v>
      </c>
      <c r="Q443" s="235">
        <v>0</v>
      </c>
      <c r="R443" s="232">
        <v>5.8479532163742691</v>
      </c>
      <c r="T443" s="235">
        <v>0.4</v>
      </c>
      <c r="U443" s="232">
        <v>5.8479532163742691</v>
      </c>
    </row>
    <row r="444" spans="2:21" x14ac:dyDescent="0.25">
      <c r="B444" s="235">
        <v>1</v>
      </c>
      <c r="C444" s="72">
        <v>0</v>
      </c>
      <c r="E444" s="235">
        <v>1</v>
      </c>
      <c r="F444" s="72">
        <v>4.0201005025125629E-2</v>
      </c>
      <c r="H444" s="235">
        <v>1</v>
      </c>
      <c r="I444" s="72">
        <v>0.61538461538461542</v>
      </c>
      <c r="K444" s="235">
        <v>0</v>
      </c>
      <c r="L444" s="72">
        <v>3.125E-2</v>
      </c>
      <c r="N444" s="235">
        <v>0.4</v>
      </c>
      <c r="O444" s="72">
        <v>3.5897435897435895E-2</v>
      </c>
      <c r="Q444" s="235">
        <v>0</v>
      </c>
      <c r="R444" s="232">
        <v>52.083333333333336</v>
      </c>
      <c r="T444" s="235">
        <v>0.4</v>
      </c>
      <c r="U444" s="232">
        <v>35.897435897435898</v>
      </c>
    </row>
    <row r="445" spans="2:21" x14ac:dyDescent="0.25">
      <c r="B445" s="235">
        <v>1</v>
      </c>
      <c r="C445" s="72">
        <v>0</v>
      </c>
      <c r="E445" s="235">
        <v>1</v>
      </c>
      <c r="F445" s="72">
        <v>1.0362694300518135E-2</v>
      </c>
      <c r="H445" s="235">
        <v>1</v>
      </c>
      <c r="I445" s="72">
        <v>0.4</v>
      </c>
      <c r="K445" s="235">
        <v>0</v>
      </c>
      <c r="L445" s="72">
        <v>1.5306122448979591E-2</v>
      </c>
      <c r="N445" s="235">
        <v>0.4</v>
      </c>
      <c r="O445" s="72">
        <v>2.072538860103627E-2</v>
      </c>
      <c r="Q445" s="235">
        <v>0</v>
      </c>
      <c r="R445" s="232">
        <v>20.408163265306122</v>
      </c>
      <c r="T445" s="235">
        <v>0.4</v>
      </c>
      <c r="U445" s="232">
        <v>15.544041450777202</v>
      </c>
    </row>
    <row r="446" spans="2:21" x14ac:dyDescent="0.25">
      <c r="B446" s="235">
        <v>1</v>
      </c>
      <c r="C446" s="72">
        <v>0</v>
      </c>
      <c r="E446" s="235">
        <v>1</v>
      </c>
      <c r="F446" s="72">
        <v>5.4644808743169399E-3</v>
      </c>
      <c r="H446" s="235">
        <v>1</v>
      </c>
      <c r="I446" s="72">
        <v>0.7142857142857143</v>
      </c>
      <c r="K446" s="235">
        <v>0</v>
      </c>
      <c r="L446" s="72">
        <v>2.6595744680851064E-2</v>
      </c>
      <c r="N446" s="235">
        <v>0.4</v>
      </c>
      <c r="O446" s="72">
        <v>2.6041666666666668E-2</v>
      </c>
      <c r="Q446" s="235">
        <v>0</v>
      </c>
      <c r="R446" s="232">
        <v>26.595744680851062</v>
      </c>
      <c r="T446" s="235">
        <v>0.4</v>
      </c>
      <c r="U446" s="232">
        <v>26.041666666666668</v>
      </c>
    </row>
    <row r="447" spans="2:21" x14ac:dyDescent="0.25">
      <c r="B447" s="235">
        <v>1</v>
      </c>
      <c r="C447" s="72">
        <v>0</v>
      </c>
      <c r="E447" s="235">
        <v>1</v>
      </c>
      <c r="F447" s="72">
        <v>2.0202020202020204E-2</v>
      </c>
      <c r="H447" s="235">
        <v>1</v>
      </c>
      <c r="I447" s="72">
        <v>0.25</v>
      </c>
      <c r="K447" s="235">
        <v>0</v>
      </c>
      <c r="L447" s="72">
        <v>3.5353535353535352E-2</v>
      </c>
      <c r="N447" s="235">
        <v>0.4</v>
      </c>
      <c r="O447" s="72">
        <v>0.04</v>
      </c>
      <c r="Q447" s="235">
        <v>0</v>
      </c>
      <c r="R447" s="232">
        <v>30.303030303030305</v>
      </c>
      <c r="T447" s="235">
        <v>0.4</v>
      </c>
      <c r="U447" s="232">
        <v>30</v>
      </c>
    </row>
    <row r="448" spans="2:21" x14ac:dyDescent="0.25">
      <c r="B448" s="235">
        <v>1</v>
      </c>
      <c r="C448" s="72">
        <v>0</v>
      </c>
      <c r="E448" s="235">
        <v>1</v>
      </c>
      <c r="F448" s="72">
        <v>2.8735632183908046E-2</v>
      </c>
      <c r="H448" s="235">
        <v>1</v>
      </c>
      <c r="I448" s="72">
        <v>9.0909090909090912E-2</v>
      </c>
      <c r="K448" s="235">
        <v>0</v>
      </c>
      <c r="L448" s="72">
        <v>5.0561797752808987E-2</v>
      </c>
      <c r="N448" s="235">
        <v>0.4</v>
      </c>
      <c r="O448" s="72">
        <v>4.5454545454545456E-2</v>
      </c>
      <c r="Q448" s="235">
        <v>0</v>
      </c>
      <c r="R448" s="232">
        <v>11.235955056179776</v>
      </c>
      <c r="T448" s="235">
        <v>0.4</v>
      </c>
      <c r="U448" s="232">
        <v>11.363636363636363</v>
      </c>
    </row>
    <row r="449" spans="2:21" x14ac:dyDescent="0.25">
      <c r="B449" s="235">
        <v>1</v>
      </c>
      <c r="C449" s="72">
        <v>0</v>
      </c>
      <c r="E449" s="235">
        <v>1</v>
      </c>
      <c r="F449" s="72">
        <v>4.8913043478260872E-2</v>
      </c>
      <c r="H449" s="235">
        <v>1</v>
      </c>
      <c r="I449" s="72">
        <v>0.4</v>
      </c>
      <c r="K449" s="235">
        <v>0</v>
      </c>
      <c r="L449" s="72">
        <v>7.2538860103626937E-2</v>
      </c>
      <c r="N449" s="235">
        <v>0.4</v>
      </c>
      <c r="O449" s="72">
        <v>6.8783068783068779E-2</v>
      </c>
      <c r="Q449" s="235">
        <v>0</v>
      </c>
      <c r="R449" s="232">
        <v>10.362694300518134</v>
      </c>
      <c r="T449" s="235">
        <v>0.4</v>
      </c>
      <c r="U449" s="232">
        <v>21.164021164021165</v>
      </c>
    </row>
    <row r="450" spans="2:21" x14ac:dyDescent="0.25">
      <c r="B450" s="235">
        <v>1</v>
      </c>
      <c r="C450" s="72">
        <v>0</v>
      </c>
      <c r="E450" s="235">
        <v>1</v>
      </c>
      <c r="F450" s="72">
        <v>3.5353535353535352E-2</v>
      </c>
      <c r="H450" s="235">
        <v>1</v>
      </c>
      <c r="I450" s="72">
        <v>0.5</v>
      </c>
      <c r="K450" s="235">
        <v>0</v>
      </c>
      <c r="L450" s="72">
        <v>4.0201005025125629E-2</v>
      </c>
      <c r="N450" s="235">
        <v>0.4</v>
      </c>
      <c r="O450" s="72">
        <v>4.5226130653266333E-2</v>
      </c>
      <c r="Q450" s="235">
        <v>0</v>
      </c>
      <c r="R450" s="232">
        <v>25.125628140703519</v>
      </c>
      <c r="T450" s="235">
        <v>0.4</v>
      </c>
      <c r="U450" s="232">
        <v>30.150753768844222</v>
      </c>
    </row>
    <row r="451" spans="2:21" x14ac:dyDescent="0.25">
      <c r="B451" s="235">
        <v>1</v>
      </c>
      <c r="C451" s="72">
        <v>0</v>
      </c>
      <c r="E451" s="235">
        <v>1</v>
      </c>
      <c r="F451" s="72">
        <v>4.2780748663101602E-2</v>
      </c>
      <c r="H451" s="235">
        <v>1</v>
      </c>
      <c r="I451" s="72">
        <v>0.5714285714285714</v>
      </c>
      <c r="K451" s="235">
        <v>0</v>
      </c>
      <c r="L451" s="72">
        <v>3.783783783783784E-2</v>
      </c>
      <c r="N451" s="235">
        <v>0.4</v>
      </c>
      <c r="O451" s="72">
        <v>3.7634408602150539E-2</v>
      </c>
      <c r="Q451" s="235">
        <v>0</v>
      </c>
      <c r="R451" s="232">
        <v>21.621621621621621</v>
      </c>
      <c r="T451" s="235">
        <v>0.4</v>
      </c>
      <c r="U451" s="232">
        <v>26.881720430107528</v>
      </c>
    </row>
    <row r="452" spans="2:21" x14ac:dyDescent="0.25">
      <c r="B452" s="235">
        <v>1</v>
      </c>
      <c r="C452" s="72">
        <v>0</v>
      </c>
      <c r="E452" s="235">
        <v>1</v>
      </c>
      <c r="F452" s="72">
        <v>1.5957446808510637E-2</v>
      </c>
      <c r="H452" s="235">
        <v>1</v>
      </c>
      <c r="I452" s="72">
        <v>0.44444444444444442</v>
      </c>
      <c r="K452" s="235">
        <v>0</v>
      </c>
      <c r="L452" s="72">
        <v>1.6042780748663103E-2</v>
      </c>
      <c r="N452" s="235">
        <v>0.4</v>
      </c>
      <c r="O452" s="72">
        <v>1.5789473684210527E-2</v>
      </c>
      <c r="Q452" s="235">
        <v>0</v>
      </c>
      <c r="R452" s="232">
        <v>26.737967914438503</v>
      </c>
      <c r="T452" s="235">
        <v>0.4</v>
      </c>
      <c r="U452" s="232">
        <v>26.315789473684209</v>
      </c>
    </row>
    <row r="453" spans="2:21" x14ac:dyDescent="0.25">
      <c r="B453" s="235">
        <v>1</v>
      </c>
      <c r="C453" s="72">
        <v>0</v>
      </c>
      <c r="E453" s="235">
        <v>1</v>
      </c>
      <c r="F453" s="72">
        <v>1.8691588785046728E-2</v>
      </c>
      <c r="H453" s="235">
        <v>1</v>
      </c>
      <c r="I453" s="72">
        <v>0.375</v>
      </c>
      <c r="K453" s="235">
        <v>0</v>
      </c>
      <c r="L453" s="72">
        <v>2.8571428571428571E-2</v>
      </c>
      <c r="N453" s="235">
        <v>0.4</v>
      </c>
      <c r="O453" s="72">
        <v>2.9126213592233011E-2</v>
      </c>
      <c r="Q453" s="235">
        <v>0</v>
      </c>
      <c r="R453" s="232">
        <v>28.571428571428573</v>
      </c>
      <c r="T453" s="235">
        <v>0.4</v>
      </c>
      <c r="U453" s="232">
        <v>33.980582524271846</v>
      </c>
    </row>
    <row r="454" spans="2:21" x14ac:dyDescent="0.25">
      <c r="B454" s="235">
        <v>1</v>
      </c>
      <c r="C454" s="72">
        <v>0</v>
      </c>
      <c r="E454" s="235">
        <v>1</v>
      </c>
      <c r="F454" s="72">
        <v>2.2857142857142857E-2</v>
      </c>
      <c r="H454" s="235">
        <v>1</v>
      </c>
      <c r="I454" s="72">
        <v>0.16666666666666666</v>
      </c>
      <c r="K454" s="235">
        <v>0</v>
      </c>
      <c r="L454" s="72">
        <v>2.247191011235955E-2</v>
      </c>
      <c r="N454" s="235">
        <v>0.4</v>
      </c>
      <c r="O454" s="72">
        <v>2.2099447513812154E-2</v>
      </c>
      <c r="Q454" s="235">
        <v>0</v>
      </c>
      <c r="R454" s="232">
        <v>28.089887640449437</v>
      </c>
      <c r="T454" s="235">
        <v>0.4</v>
      </c>
      <c r="U454" s="232">
        <v>27.624309392265193</v>
      </c>
    </row>
    <row r="455" spans="2:21" x14ac:dyDescent="0.25">
      <c r="B455" s="235">
        <v>1</v>
      </c>
      <c r="C455" s="72">
        <v>0</v>
      </c>
      <c r="E455" s="235">
        <v>1</v>
      </c>
      <c r="F455" s="72">
        <v>1.6216216216216217E-2</v>
      </c>
      <c r="H455" s="235">
        <v>1</v>
      </c>
      <c r="I455" s="72">
        <v>0</v>
      </c>
      <c r="K455" s="235">
        <v>0</v>
      </c>
      <c r="L455" s="72">
        <v>2.7322404371584699E-2</v>
      </c>
      <c r="N455" s="235">
        <v>0.4</v>
      </c>
      <c r="O455" s="72">
        <v>3.2085561497326207E-2</v>
      </c>
      <c r="Q455" s="235">
        <v>0</v>
      </c>
      <c r="R455" s="232">
        <v>27.3224043715847</v>
      </c>
      <c r="T455" s="235">
        <v>0.4</v>
      </c>
      <c r="U455" s="232">
        <v>21.390374331550802</v>
      </c>
    </row>
    <row r="456" spans="2:21" x14ac:dyDescent="0.25">
      <c r="B456" s="235">
        <v>1</v>
      </c>
      <c r="C456" s="72">
        <v>0</v>
      </c>
      <c r="E456" s="235">
        <v>1</v>
      </c>
      <c r="F456" s="72">
        <v>1.0752688172043012E-2</v>
      </c>
      <c r="H456" s="235">
        <v>1</v>
      </c>
      <c r="I456" s="72">
        <v>0.4</v>
      </c>
      <c r="K456" s="235">
        <v>0</v>
      </c>
      <c r="L456" s="72">
        <v>2.1505376344086023E-2</v>
      </c>
      <c r="N456" s="235">
        <v>0.4</v>
      </c>
      <c r="O456" s="72">
        <v>1.5873015873015872E-2</v>
      </c>
      <c r="Q456" s="235">
        <v>0</v>
      </c>
      <c r="R456" s="232">
        <v>26.881720430107528</v>
      </c>
      <c r="T456" s="235">
        <v>0.4</v>
      </c>
      <c r="U456" s="232">
        <v>21.164021164021165</v>
      </c>
    </row>
    <row r="457" spans="2:21" x14ac:dyDescent="0.25">
      <c r="B457" s="235">
        <v>1</v>
      </c>
      <c r="C457" s="72">
        <v>0</v>
      </c>
      <c r="E457" s="235">
        <v>1</v>
      </c>
      <c r="F457" s="72">
        <v>2.2857142857142857E-2</v>
      </c>
      <c r="H457" s="235">
        <v>1</v>
      </c>
      <c r="I457" s="72">
        <v>0.5</v>
      </c>
      <c r="K457" s="235">
        <v>0</v>
      </c>
      <c r="L457" s="72">
        <v>2.3391812865497075E-2</v>
      </c>
      <c r="N457" s="235">
        <v>0.4</v>
      </c>
      <c r="O457" s="72">
        <v>2.3668639053254437E-2</v>
      </c>
      <c r="Q457" s="235">
        <v>0</v>
      </c>
      <c r="R457" s="232">
        <v>46.783625730994153</v>
      </c>
      <c r="T457" s="235">
        <v>0.4</v>
      </c>
      <c r="U457" s="232">
        <v>53.254437869822482</v>
      </c>
    </row>
    <row r="458" spans="2:21" x14ac:dyDescent="0.25">
      <c r="B458" s="235">
        <v>1</v>
      </c>
      <c r="C458" s="72">
        <v>0</v>
      </c>
      <c r="E458" s="235">
        <v>1</v>
      </c>
      <c r="F458" s="72">
        <v>3.4313725490196081E-2</v>
      </c>
      <c r="H458" s="235">
        <v>1</v>
      </c>
      <c r="I458" s="72">
        <v>0.53333333333333333</v>
      </c>
      <c r="K458" s="235">
        <v>0</v>
      </c>
      <c r="L458" s="72">
        <v>6.4039408866995079E-2</v>
      </c>
      <c r="N458" s="235">
        <v>0.4</v>
      </c>
      <c r="O458" s="72">
        <v>6.9306930693069313E-2</v>
      </c>
      <c r="Q458" s="235">
        <v>0</v>
      </c>
      <c r="R458" s="232">
        <v>49.261083743842363</v>
      </c>
      <c r="T458" s="235">
        <v>0.4</v>
      </c>
      <c r="U458" s="232">
        <v>49.504950495049506</v>
      </c>
    </row>
    <row r="459" spans="2:21" x14ac:dyDescent="0.25">
      <c r="B459" s="235">
        <v>1</v>
      </c>
      <c r="C459" s="72">
        <v>0</v>
      </c>
      <c r="E459" s="235">
        <v>1</v>
      </c>
      <c r="F459" s="72">
        <v>3.7433155080213901E-2</v>
      </c>
      <c r="H459" s="235">
        <v>1</v>
      </c>
      <c r="I459" s="72">
        <v>0.2</v>
      </c>
      <c r="K459" s="235">
        <v>0</v>
      </c>
      <c r="L459" s="72">
        <v>3.825136612021858E-2</v>
      </c>
      <c r="N459" s="235">
        <v>0.4</v>
      </c>
      <c r="O459" s="72">
        <v>4.3956043956043959E-2</v>
      </c>
      <c r="Q459" s="235">
        <v>0</v>
      </c>
      <c r="R459" s="232">
        <v>32.786885245901637</v>
      </c>
      <c r="T459" s="235">
        <v>0.4</v>
      </c>
      <c r="U459" s="232">
        <v>27.472527472527471</v>
      </c>
    </row>
    <row r="460" spans="2:21" x14ac:dyDescent="0.25">
      <c r="B460" s="235">
        <v>1</v>
      </c>
      <c r="C460" s="72">
        <v>0</v>
      </c>
      <c r="E460" s="235">
        <v>1</v>
      </c>
      <c r="F460" s="72">
        <v>1.8518518518518517E-2</v>
      </c>
      <c r="H460" s="235">
        <v>1</v>
      </c>
      <c r="I460" s="72">
        <v>0.22222222222222221</v>
      </c>
      <c r="K460" s="235">
        <v>0</v>
      </c>
      <c r="L460" s="72">
        <v>3.0120481927710843E-2</v>
      </c>
      <c r="N460" s="235">
        <v>0.4</v>
      </c>
      <c r="O460" s="72">
        <v>2.3809523809523808E-2</v>
      </c>
      <c r="Q460" s="235">
        <v>0</v>
      </c>
      <c r="R460" s="232">
        <v>24.096385542168676</v>
      </c>
      <c r="T460" s="235">
        <v>0.4</v>
      </c>
      <c r="U460" s="232">
        <v>23.80952380952381</v>
      </c>
    </row>
    <row r="461" spans="2:21" x14ac:dyDescent="0.25">
      <c r="B461" s="235">
        <v>1</v>
      </c>
      <c r="C461" s="72">
        <v>0</v>
      </c>
      <c r="E461" s="235">
        <v>1</v>
      </c>
      <c r="F461" s="72">
        <v>2.7777777777777776E-2</v>
      </c>
      <c r="H461" s="235">
        <v>1</v>
      </c>
      <c r="I461" s="72">
        <v>0.66666666666666663</v>
      </c>
      <c r="K461" s="235">
        <v>0</v>
      </c>
      <c r="L461" s="72">
        <v>3.7558685446009391E-2</v>
      </c>
      <c r="N461" s="235">
        <v>0.4</v>
      </c>
      <c r="O461" s="72">
        <v>3.2258064516129031E-2</v>
      </c>
      <c r="Q461" s="235">
        <v>0</v>
      </c>
      <c r="R461" s="232">
        <v>42.25352112676056</v>
      </c>
      <c r="T461" s="235">
        <v>0.4</v>
      </c>
      <c r="U461" s="232">
        <v>27.649769585253456</v>
      </c>
    </row>
    <row r="462" spans="2:21" x14ac:dyDescent="0.25">
      <c r="B462" s="235">
        <v>1</v>
      </c>
      <c r="C462" s="72">
        <v>0</v>
      </c>
      <c r="E462" s="235">
        <v>1</v>
      </c>
      <c r="F462" s="72">
        <v>5.5865921787709499E-3</v>
      </c>
      <c r="H462" s="235">
        <v>1</v>
      </c>
      <c r="I462" s="72">
        <v>0.44444444444444442</v>
      </c>
      <c r="K462" s="235">
        <v>0</v>
      </c>
      <c r="L462" s="72">
        <v>1.6759776536312849E-2</v>
      </c>
      <c r="N462" s="235">
        <v>0.4</v>
      </c>
      <c r="O462" s="72">
        <v>1.7142857142857144E-2</v>
      </c>
      <c r="Q462" s="235">
        <v>0</v>
      </c>
      <c r="R462" s="232">
        <v>33.519553072625698</v>
      </c>
      <c r="T462" s="235">
        <v>0.4</v>
      </c>
      <c r="U462" s="232">
        <v>34.285714285714285</v>
      </c>
    </row>
    <row r="463" spans="2:21" x14ac:dyDescent="0.25">
      <c r="B463" s="235">
        <v>1</v>
      </c>
      <c r="C463" s="72">
        <v>0</v>
      </c>
      <c r="E463" s="235">
        <v>1</v>
      </c>
      <c r="F463" s="72">
        <v>1.6216216216216217E-2</v>
      </c>
      <c r="H463" s="235">
        <v>1</v>
      </c>
      <c r="I463" s="72">
        <v>0.25</v>
      </c>
      <c r="K463" s="235">
        <v>0</v>
      </c>
      <c r="L463" s="72">
        <v>3.783783783783784E-2</v>
      </c>
      <c r="N463" s="235">
        <v>0.4</v>
      </c>
      <c r="O463" s="72">
        <v>3.2085561497326207E-2</v>
      </c>
      <c r="Q463" s="235">
        <v>0</v>
      </c>
      <c r="R463" s="232">
        <v>32.432432432432435</v>
      </c>
      <c r="T463" s="235">
        <v>0.4</v>
      </c>
      <c r="U463" s="232">
        <v>32.085561497326204</v>
      </c>
    </row>
    <row r="464" spans="2:21" x14ac:dyDescent="0.25">
      <c r="B464" s="235">
        <v>1</v>
      </c>
      <c r="C464" s="72">
        <v>0</v>
      </c>
      <c r="E464" s="235">
        <v>1</v>
      </c>
      <c r="F464" s="72">
        <v>9.3896713615023476E-3</v>
      </c>
      <c r="H464" s="235">
        <v>1</v>
      </c>
      <c r="I464" s="72">
        <v>0.18181818181818182</v>
      </c>
      <c r="K464" s="235">
        <v>0</v>
      </c>
      <c r="L464" s="72">
        <v>2.7906976744186046E-2</v>
      </c>
      <c r="N464" s="235">
        <v>0.4</v>
      </c>
      <c r="O464" s="72">
        <v>2.7522935779816515E-2</v>
      </c>
      <c r="Q464" s="235">
        <v>0</v>
      </c>
      <c r="R464" s="232">
        <v>18.604651162790699</v>
      </c>
      <c r="T464" s="235">
        <v>0.4</v>
      </c>
      <c r="U464" s="232">
        <v>18.348623853211009</v>
      </c>
    </row>
    <row r="465" spans="2:21" x14ac:dyDescent="0.25">
      <c r="B465" s="235">
        <v>1</v>
      </c>
      <c r="C465" s="72">
        <v>0</v>
      </c>
      <c r="E465" s="235">
        <v>1</v>
      </c>
      <c r="F465" s="72">
        <v>1.6042780748663103E-2</v>
      </c>
      <c r="H465" s="235">
        <v>1</v>
      </c>
      <c r="I465" s="72">
        <v>0.33333333333333331</v>
      </c>
      <c r="K465" s="235">
        <v>0</v>
      </c>
      <c r="L465" s="72">
        <v>2.1505376344086023E-2</v>
      </c>
      <c r="N465" s="235">
        <v>0.4</v>
      </c>
      <c r="O465" s="72">
        <v>2.1621621621621623E-2</v>
      </c>
      <c r="Q465" s="235">
        <v>0</v>
      </c>
      <c r="R465" s="232">
        <v>16.129032258064516</v>
      </c>
      <c r="T465" s="235">
        <v>0.4</v>
      </c>
      <c r="U465" s="232">
        <v>21.621621621621621</v>
      </c>
    </row>
    <row r="466" spans="2:21" x14ac:dyDescent="0.25">
      <c r="B466" s="235">
        <v>1</v>
      </c>
      <c r="C466" s="72">
        <v>0</v>
      </c>
      <c r="E466" s="235">
        <v>1</v>
      </c>
      <c r="F466" s="72">
        <v>2.0408163265306121E-2</v>
      </c>
      <c r="H466" s="235">
        <v>1</v>
      </c>
      <c r="I466" s="72">
        <v>0.2857142857142857</v>
      </c>
      <c r="K466" s="235">
        <v>0</v>
      </c>
      <c r="L466" s="72">
        <v>3.015075376884422E-2</v>
      </c>
      <c r="N466" s="235">
        <v>0.4</v>
      </c>
      <c r="O466" s="72">
        <v>3.0612244897959183E-2</v>
      </c>
      <c r="Q466" s="235">
        <v>0</v>
      </c>
      <c r="R466" s="232">
        <v>15.075376884422111</v>
      </c>
      <c r="T466" s="235">
        <v>0.4</v>
      </c>
      <c r="U466" s="232">
        <v>20.408163265306122</v>
      </c>
    </row>
    <row r="467" spans="2:21" x14ac:dyDescent="0.25">
      <c r="B467" s="235">
        <v>1</v>
      </c>
      <c r="C467" s="72">
        <v>0</v>
      </c>
      <c r="E467" s="235">
        <v>1</v>
      </c>
      <c r="F467" s="72">
        <v>1.4705882352941176E-2</v>
      </c>
      <c r="H467" s="235">
        <v>1</v>
      </c>
      <c r="I467" s="72">
        <v>0.25</v>
      </c>
      <c r="K467" s="235">
        <v>0</v>
      </c>
      <c r="L467" s="72">
        <v>2.9702970297029702E-2</v>
      </c>
      <c r="N467" s="235">
        <v>0.4</v>
      </c>
      <c r="O467" s="72">
        <v>3.4313725490196081E-2</v>
      </c>
      <c r="Q467" s="235">
        <v>0</v>
      </c>
      <c r="R467" s="232">
        <v>14.851485148514852</v>
      </c>
      <c r="T467" s="235">
        <v>0.4</v>
      </c>
      <c r="U467" s="232">
        <v>14.705882352941176</v>
      </c>
    </row>
    <row r="468" spans="2:21" x14ac:dyDescent="0.25">
      <c r="B468" s="235">
        <v>1</v>
      </c>
      <c r="C468" s="72">
        <v>0</v>
      </c>
      <c r="E468" s="235">
        <v>1</v>
      </c>
      <c r="F468" s="72">
        <v>3.2432432432432434E-2</v>
      </c>
      <c r="H468" s="235">
        <v>1</v>
      </c>
      <c r="I468" s="72">
        <v>0.5</v>
      </c>
      <c r="K468" s="235">
        <v>0</v>
      </c>
      <c r="L468" s="72">
        <v>4.3478260869565216E-2</v>
      </c>
      <c r="N468" s="235">
        <v>0.4</v>
      </c>
      <c r="O468" s="72">
        <v>3.783783783783784E-2</v>
      </c>
      <c r="Q468" s="235">
        <v>0</v>
      </c>
      <c r="R468" s="232">
        <v>21.739130434782609</v>
      </c>
      <c r="T468" s="235">
        <v>0.4</v>
      </c>
      <c r="U468" s="232">
        <v>16.216216216216218</v>
      </c>
    </row>
    <row r="469" spans="2:21" x14ac:dyDescent="0.25">
      <c r="B469" s="235">
        <v>1</v>
      </c>
      <c r="C469" s="72">
        <v>0</v>
      </c>
      <c r="E469" s="235">
        <v>1</v>
      </c>
      <c r="F469" s="72">
        <v>3.0612244897959183E-2</v>
      </c>
      <c r="H469" s="235">
        <v>1</v>
      </c>
      <c r="I469" s="72">
        <v>0.30769230769230771</v>
      </c>
      <c r="K469" s="235">
        <v>0</v>
      </c>
      <c r="L469" s="72">
        <v>4.1025641025641026E-2</v>
      </c>
      <c r="N469" s="235">
        <v>0.4</v>
      </c>
      <c r="O469" s="72">
        <v>4.1025641025641026E-2</v>
      </c>
      <c r="Q469" s="235">
        <v>0</v>
      </c>
      <c r="R469" s="232">
        <v>30.76923076923077</v>
      </c>
      <c r="T469" s="235">
        <v>0.4</v>
      </c>
      <c r="U469" s="232">
        <v>20.512820512820515</v>
      </c>
    </row>
    <row r="470" spans="2:21" x14ac:dyDescent="0.25">
      <c r="B470" s="235">
        <v>1</v>
      </c>
      <c r="C470" s="72">
        <v>0</v>
      </c>
      <c r="E470" s="235">
        <v>1</v>
      </c>
      <c r="F470" s="72">
        <v>3.8095238095238099E-2</v>
      </c>
      <c r="H470" s="235">
        <v>1</v>
      </c>
      <c r="I470" s="72">
        <v>0.33333333333333331</v>
      </c>
      <c r="K470" s="235">
        <v>0</v>
      </c>
      <c r="L470" s="72">
        <v>4.3269230769230768E-2</v>
      </c>
      <c r="N470" s="235">
        <v>0.4</v>
      </c>
      <c r="O470" s="72">
        <v>3.8277511961722487E-2</v>
      </c>
      <c r="Q470" s="235">
        <v>0</v>
      </c>
      <c r="R470" s="232">
        <v>28.846153846153847</v>
      </c>
      <c r="T470" s="235">
        <v>0.4</v>
      </c>
      <c r="U470" s="232">
        <v>33.492822966507177</v>
      </c>
    </row>
    <row r="471" spans="2:21" x14ac:dyDescent="0.25">
      <c r="B471" s="235">
        <v>1</v>
      </c>
      <c r="C471" s="72">
        <v>0</v>
      </c>
      <c r="E471" s="235">
        <v>1</v>
      </c>
      <c r="F471" s="72">
        <v>9.7087378640776691E-3</v>
      </c>
      <c r="H471" s="235">
        <v>1</v>
      </c>
      <c r="I471" s="72">
        <v>0</v>
      </c>
      <c r="K471" s="235">
        <v>0</v>
      </c>
      <c r="L471" s="72">
        <v>1.4423076923076924E-2</v>
      </c>
      <c r="N471" s="235">
        <v>0.4</v>
      </c>
      <c r="O471" s="72">
        <v>1.4492753623188406E-2</v>
      </c>
      <c r="Q471" s="235">
        <v>0</v>
      </c>
      <c r="R471" s="232">
        <v>4.8076923076923075</v>
      </c>
      <c r="T471" s="235">
        <v>0.4</v>
      </c>
      <c r="U471" s="232">
        <v>0</v>
      </c>
    </row>
    <row r="472" spans="2:21" x14ac:dyDescent="0.25">
      <c r="B472" s="235">
        <v>1</v>
      </c>
      <c r="C472" s="72">
        <v>0</v>
      </c>
      <c r="E472" s="235">
        <v>1</v>
      </c>
      <c r="F472" s="72">
        <v>3.4246575342465752E-2</v>
      </c>
      <c r="H472" s="235">
        <v>1</v>
      </c>
      <c r="I472" s="72">
        <v>0.5</v>
      </c>
      <c r="K472" s="235">
        <v>0</v>
      </c>
      <c r="L472" s="72">
        <v>4.195804195804196E-2</v>
      </c>
      <c r="N472" s="235">
        <v>0.4</v>
      </c>
      <c r="O472" s="72">
        <v>3.4246575342465752E-2</v>
      </c>
      <c r="Q472" s="235">
        <v>0</v>
      </c>
      <c r="R472" s="232">
        <v>20.97902097902098</v>
      </c>
      <c r="T472" s="235">
        <v>0.4</v>
      </c>
      <c r="U472" s="232">
        <v>20.547945205479451</v>
      </c>
    </row>
    <row r="473" spans="2:21" x14ac:dyDescent="0.25">
      <c r="B473" s="235">
        <v>1</v>
      </c>
      <c r="C473" s="72">
        <v>0</v>
      </c>
      <c r="E473" s="235">
        <v>1</v>
      </c>
      <c r="F473" s="72">
        <v>1.6666666666666666E-2</v>
      </c>
      <c r="H473" s="235">
        <v>1</v>
      </c>
      <c r="I473" s="72">
        <v>0.16666666666666666</v>
      </c>
      <c r="K473" s="235">
        <v>0</v>
      </c>
      <c r="L473" s="72">
        <v>2.8089887640449437E-2</v>
      </c>
      <c r="N473" s="235">
        <v>0.4</v>
      </c>
      <c r="O473" s="72">
        <v>2.197802197802198E-2</v>
      </c>
      <c r="Q473" s="235">
        <v>0</v>
      </c>
      <c r="R473" s="232">
        <v>22.471910112359552</v>
      </c>
      <c r="T473" s="235">
        <v>0.4</v>
      </c>
      <c r="U473" s="232">
        <v>10.989010989010989</v>
      </c>
    </row>
    <row r="474" spans="2:21" x14ac:dyDescent="0.25">
      <c r="B474" s="235">
        <v>1</v>
      </c>
      <c r="C474" s="72">
        <v>0</v>
      </c>
      <c r="E474" s="235">
        <v>1</v>
      </c>
      <c r="F474" s="72">
        <v>1.7045454545454544E-2</v>
      </c>
      <c r="H474" s="235">
        <v>1</v>
      </c>
      <c r="I474" s="72">
        <v>0.16666666666666666</v>
      </c>
      <c r="K474" s="235">
        <v>0</v>
      </c>
      <c r="L474" s="72">
        <v>0.04</v>
      </c>
      <c r="N474" s="235">
        <v>0.4</v>
      </c>
      <c r="O474" s="72">
        <v>4.5977011494252873E-2</v>
      </c>
      <c r="Q474" s="235">
        <v>0</v>
      </c>
      <c r="R474" s="232">
        <v>40</v>
      </c>
      <c r="T474" s="235">
        <v>0.4</v>
      </c>
      <c r="U474" s="232">
        <v>45.977011494252871</v>
      </c>
    </row>
    <row r="475" spans="2:21" x14ac:dyDescent="0.25">
      <c r="B475" s="235">
        <v>1</v>
      </c>
      <c r="C475" s="72">
        <v>0</v>
      </c>
      <c r="E475" s="235">
        <v>1</v>
      </c>
      <c r="F475" s="72">
        <v>4.784688995215311E-2</v>
      </c>
      <c r="H475" s="235">
        <v>1</v>
      </c>
      <c r="I475" s="72">
        <v>0.16666666666666666</v>
      </c>
      <c r="K475" s="235">
        <v>0</v>
      </c>
      <c r="L475" s="72">
        <v>6.0913705583756347E-2</v>
      </c>
      <c r="N475" s="235">
        <v>0.4</v>
      </c>
      <c r="O475" s="72">
        <v>0.06</v>
      </c>
      <c r="Q475" s="235">
        <v>0</v>
      </c>
      <c r="R475" s="232">
        <v>35.532994923857871</v>
      </c>
      <c r="T475" s="235">
        <v>0.4</v>
      </c>
      <c r="U475" s="232">
        <v>45</v>
      </c>
    </row>
    <row r="476" spans="2:21" x14ac:dyDescent="0.25">
      <c r="B476" s="235">
        <v>1</v>
      </c>
      <c r="C476" s="72">
        <v>0</v>
      </c>
      <c r="E476" s="235">
        <v>1</v>
      </c>
      <c r="F476" s="72">
        <v>3.015075376884422E-2</v>
      </c>
      <c r="H476" s="235">
        <v>1</v>
      </c>
      <c r="I476" s="72">
        <v>0.23076923076923078</v>
      </c>
      <c r="K476" s="235">
        <v>0</v>
      </c>
      <c r="L476" s="72">
        <v>4.4554455445544552E-2</v>
      </c>
      <c r="N476" s="235">
        <v>0.4</v>
      </c>
      <c r="O476" s="72">
        <v>4.9261083743842367E-2</v>
      </c>
      <c r="Q476" s="235">
        <v>0</v>
      </c>
      <c r="R476" s="232">
        <v>19.801980198019802</v>
      </c>
      <c r="T476" s="235">
        <v>0.4</v>
      </c>
      <c r="U476" s="232">
        <v>24.630541871921181</v>
      </c>
    </row>
    <row r="477" spans="2:21" x14ac:dyDescent="0.25">
      <c r="B477" s="235">
        <v>1</v>
      </c>
      <c r="C477" s="72">
        <v>0</v>
      </c>
      <c r="E477" s="235">
        <v>1</v>
      </c>
      <c r="F477" s="72">
        <v>1.098901098901099E-2</v>
      </c>
      <c r="H477" s="235">
        <v>1</v>
      </c>
      <c r="I477" s="72">
        <v>0.4</v>
      </c>
      <c r="K477" s="235">
        <v>0</v>
      </c>
      <c r="L477" s="72">
        <v>1.6574585635359115E-2</v>
      </c>
      <c r="N477" s="235">
        <v>0.4</v>
      </c>
      <c r="O477" s="72">
        <v>2.7472527472527472E-2</v>
      </c>
      <c r="Q477" s="235">
        <v>0</v>
      </c>
      <c r="R477" s="232">
        <v>27.624309392265193</v>
      </c>
      <c r="T477" s="235">
        <v>0.4</v>
      </c>
      <c r="U477" s="232">
        <v>21.978021978021978</v>
      </c>
    </row>
    <row r="478" spans="2:21" x14ac:dyDescent="0.25">
      <c r="B478" s="235">
        <v>1</v>
      </c>
      <c r="C478" s="72">
        <v>5.4945054945054949E-3</v>
      </c>
      <c r="E478" s="235">
        <v>1</v>
      </c>
      <c r="F478" s="72">
        <v>2.7472527472527472E-2</v>
      </c>
      <c r="H478" s="235">
        <v>1</v>
      </c>
      <c r="I478" s="72">
        <v>0</v>
      </c>
      <c r="K478" s="235">
        <v>0</v>
      </c>
      <c r="L478" s="72">
        <v>2.7932960893854747E-2</v>
      </c>
      <c r="N478" s="235">
        <v>0.4</v>
      </c>
      <c r="O478" s="72">
        <v>2.7624309392265192E-2</v>
      </c>
      <c r="Q478" s="235">
        <v>0</v>
      </c>
      <c r="R478" s="232">
        <v>16.759776536312849</v>
      </c>
      <c r="T478" s="235">
        <v>0.4</v>
      </c>
      <c r="U478" s="232">
        <v>16.574585635359117</v>
      </c>
    </row>
    <row r="479" spans="2:21" x14ac:dyDescent="0.25">
      <c r="B479" s="235">
        <v>1</v>
      </c>
      <c r="C479" s="72">
        <v>0</v>
      </c>
      <c r="E479" s="235">
        <v>1</v>
      </c>
      <c r="F479" s="72">
        <v>0</v>
      </c>
      <c r="H479" s="235">
        <v>1</v>
      </c>
      <c r="I479" s="72">
        <v>0.2</v>
      </c>
      <c r="K479" s="235">
        <v>0</v>
      </c>
      <c r="L479" s="72">
        <v>2.976190476190476E-2</v>
      </c>
      <c r="N479" s="235">
        <v>0.4</v>
      </c>
      <c r="O479" s="72">
        <v>1.7441860465116279E-2</v>
      </c>
      <c r="Q479" s="235">
        <v>0</v>
      </c>
      <c r="R479" s="232">
        <v>23.80952380952381</v>
      </c>
      <c r="T479" s="235">
        <v>0.4</v>
      </c>
      <c r="U479" s="232">
        <v>23.255813953488371</v>
      </c>
    </row>
    <row r="480" spans="2:21" x14ac:dyDescent="0.25">
      <c r="B480" s="235">
        <v>1</v>
      </c>
      <c r="C480" s="72">
        <v>0</v>
      </c>
      <c r="E480" s="235">
        <v>1</v>
      </c>
      <c r="F480" s="72">
        <v>2.0408163265306121E-2</v>
      </c>
      <c r="H480" s="235">
        <v>1</v>
      </c>
      <c r="I480" s="72">
        <v>0.36842105263157893</v>
      </c>
      <c r="K480" s="235">
        <v>0</v>
      </c>
      <c r="L480" s="72">
        <v>3.9215686274509803E-2</v>
      </c>
      <c r="N480" s="235">
        <v>0.4</v>
      </c>
      <c r="O480" s="72">
        <v>4.3902439024390241E-2</v>
      </c>
      <c r="Q480" s="235">
        <v>0</v>
      </c>
      <c r="R480" s="232">
        <v>53.921568627450981</v>
      </c>
      <c r="T480" s="235">
        <v>0.4</v>
      </c>
      <c r="U480" s="232">
        <v>39.024390243902438</v>
      </c>
    </row>
    <row r="481" spans="2:21" x14ac:dyDescent="0.25">
      <c r="B481" s="235">
        <v>1</v>
      </c>
      <c r="C481" s="72">
        <v>0</v>
      </c>
      <c r="E481" s="235">
        <v>1</v>
      </c>
      <c r="F481" s="72">
        <v>2.4630541871921183E-2</v>
      </c>
      <c r="H481" s="235">
        <v>1</v>
      </c>
      <c r="I481" s="72">
        <v>0.42857142857142855</v>
      </c>
      <c r="K481" s="235">
        <v>0</v>
      </c>
      <c r="L481" s="72">
        <v>2.4630541871921183E-2</v>
      </c>
      <c r="N481" s="235">
        <v>0.4</v>
      </c>
      <c r="O481" s="72">
        <v>2.9411764705882353E-2</v>
      </c>
      <c r="Q481" s="235">
        <v>0</v>
      </c>
      <c r="R481" s="232">
        <v>29.55665024630542</v>
      </c>
      <c r="T481" s="235">
        <v>0.4</v>
      </c>
      <c r="U481" s="232">
        <v>24.509803921568629</v>
      </c>
    </row>
    <row r="482" spans="2:21" x14ac:dyDescent="0.25">
      <c r="B482" s="235">
        <v>1</v>
      </c>
      <c r="C482" s="72">
        <v>0</v>
      </c>
      <c r="E482" s="235">
        <v>1</v>
      </c>
      <c r="F482" s="72">
        <v>4.3902439024390241E-2</v>
      </c>
      <c r="H482" s="235">
        <v>1</v>
      </c>
      <c r="I482" s="72">
        <v>0.66666666666666663</v>
      </c>
      <c r="K482" s="235">
        <v>0</v>
      </c>
      <c r="L482" s="72">
        <v>4.4334975369458129E-2</v>
      </c>
      <c r="N482" s="235">
        <v>0.4</v>
      </c>
      <c r="O482" s="72">
        <v>2.8846153846153848E-2</v>
      </c>
      <c r="Q482" s="235">
        <v>0</v>
      </c>
      <c r="R482" s="232">
        <v>24.630541871921181</v>
      </c>
      <c r="T482" s="235">
        <v>0.4</v>
      </c>
      <c r="U482" s="232">
        <v>14.423076923076923</v>
      </c>
    </row>
    <row r="483" spans="2:21" x14ac:dyDescent="0.25">
      <c r="B483" s="235">
        <v>1</v>
      </c>
      <c r="C483" s="72">
        <v>0</v>
      </c>
      <c r="E483" s="235">
        <v>1</v>
      </c>
      <c r="F483" s="72">
        <v>2.1052631578947368E-2</v>
      </c>
      <c r="H483" s="235">
        <v>1</v>
      </c>
      <c r="I483" s="72">
        <v>0.33333333333333331</v>
      </c>
      <c r="K483" s="235">
        <v>0</v>
      </c>
      <c r="L483" s="72">
        <v>2.1164021164021163E-2</v>
      </c>
      <c r="N483" s="235">
        <v>0.4</v>
      </c>
      <c r="O483" s="72">
        <v>1.5957446808510637E-2</v>
      </c>
      <c r="Q483" s="235">
        <v>0</v>
      </c>
      <c r="R483" s="232">
        <v>15.873015873015873</v>
      </c>
      <c r="T483" s="235">
        <v>0.4</v>
      </c>
      <c r="U483" s="232">
        <v>15.957446808510639</v>
      </c>
    </row>
    <row r="484" spans="2:21" x14ac:dyDescent="0.25">
      <c r="B484" s="235">
        <v>1</v>
      </c>
      <c r="C484" s="72">
        <v>0</v>
      </c>
      <c r="E484" s="235">
        <v>1</v>
      </c>
      <c r="F484" s="72">
        <v>2.4691358024691357E-2</v>
      </c>
      <c r="H484" s="235">
        <v>1</v>
      </c>
      <c r="I484" s="72">
        <v>0.33333333333333331</v>
      </c>
      <c r="K484" s="235">
        <v>0</v>
      </c>
      <c r="L484" s="72">
        <v>5.5214723926380369E-2</v>
      </c>
      <c r="N484" s="235">
        <v>0.4</v>
      </c>
      <c r="O484" s="72">
        <v>4.878048780487805E-2</v>
      </c>
      <c r="Q484" s="235">
        <v>0</v>
      </c>
      <c r="R484" s="232">
        <v>30.674846625766872</v>
      </c>
      <c r="T484" s="235">
        <v>0.4</v>
      </c>
      <c r="U484" s="232">
        <v>24.390243902439025</v>
      </c>
    </row>
    <row r="485" spans="2:21" x14ac:dyDescent="0.25">
      <c r="B485" s="235">
        <v>1</v>
      </c>
      <c r="C485" s="72">
        <v>1.0471204188481676E-2</v>
      </c>
      <c r="E485" s="235">
        <v>1</v>
      </c>
      <c r="F485" s="72">
        <v>3.6649214659685861E-2</v>
      </c>
      <c r="H485" s="235">
        <v>1</v>
      </c>
      <c r="I485" s="72">
        <v>0.25</v>
      </c>
      <c r="K485" s="235">
        <v>0</v>
      </c>
      <c r="L485" s="72">
        <v>4.2328042328042326E-2</v>
      </c>
      <c r="N485" s="235">
        <v>0.4</v>
      </c>
      <c r="O485" s="72">
        <v>4.2780748663101602E-2</v>
      </c>
      <c r="Q485" s="235">
        <v>0</v>
      </c>
      <c r="R485" s="232">
        <v>31.746031746031747</v>
      </c>
      <c r="T485" s="235">
        <v>0.4</v>
      </c>
      <c r="U485" s="232">
        <v>26.737967914438503</v>
      </c>
    </row>
    <row r="486" spans="2:21" x14ac:dyDescent="0.25">
      <c r="B486" s="235">
        <v>1</v>
      </c>
      <c r="C486" s="72">
        <v>0</v>
      </c>
      <c r="E486" s="235">
        <v>1</v>
      </c>
      <c r="F486" s="72">
        <v>2.1390374331550801E-2</v>
      </c>
      <c r="H486" s="235">
        <v>1</v>
      </c>
      <c r="I486" s="72">
        <v>0.375</v>
      </c>
      <c r="K486" s="235">
        <v>0</v>
      </c>
      <c r="L486" s="72">
        <v>2.6595744680851064E-2</v>
      </c>
      <c r="N486" s="235">
        <v>0.4</v>
      </c>
      <c r="O486" s="72">
        <v>1.6393442622950821E-2</v>
      </c>
      <c r="Q486" s="235">
        <v>0</v>
      </c>
      <c r="R486" s="232">
        <v>58.51063829787234</v>
      </c>
      <c r="T486" s="235">
        <v>0.4</v>
      </c>
      <c r="U486" s="232">
        <v>60.10928961748634</v>
      </c>
    </row>
    <row r="487" spans="2:21" x14ac:dyDescent="0.25">
      <c r="B487" s="235">
        <v>1</v>
      </c>
      <c r="C487" s="72">
        <v>0</v>
      </c>
      <c r="E487" s="235">
        <v>1</v>
      </c>
      <c r="F487" s="72">
        <v>2.5380710659898477E-2</v>
      </c>
      <c r="H487" s="235">
        <v>1</v>
      </c>
      <c r="I487" s="72">
        <v>0.33333333333333331</v>
      </c>
      <c r="K487" s="235">
        <v>0</v>
      </c>
      <c r="L487" s="72">
        <v>3.6842105263157891E-2</v>
      </c>
      <c r="N487" s="235">
        <v>0.4</v>
      </c>
      <c r="O487" s="72">
        <v>2.1052631578947368E-2</v>
      </c>
      <c r="Q487" s="235">
        <v>0</v>
      </c>
      <c r="R487" s="232">
        <v>26.315789473684209</v>
      </c>
      <c r="T487" s="235">
        <v>0.4</v>
      </c>
      <c r="U487" s="232">
        <v>31.578947368421051</v>
      </c>
    </row>
    <row r="488" spans="2:21" x14ac:dyDescent="0.25">
      <c r="B488" s="235">
        <v>1</v>
      </c>
      <c r="C488" s="72">
        <v>0</v>
      </c>
      <c r="E488" s="235">
        <v>1</v>
      </c>
      <c r="F488" s="72">
        <v>3.2432432432432434E-2</v>
      </c>
      <c r="H488" s="235">
        <v>1</v>
      </c>
      <c r="I488" s="72">
        <v>0.53846153846153844</v>
      </c>
      <c r="K488" s="235">
        <v>0</v>
      </c>
      <c r="L488" s="72">
        <v>4.736842105263158E-2</v>
      </c>
      <c r="N488" s="235">
        <v>0.4</v>
      </c>
      <c r="O488" s="72">
        <v>3.608247422680412E-2</v>
      </c>
      <c r="Q488" s="235">
        <v>0</v>
      </c>
      <c r="R488" s="232">
        <v>36.842105263157897</v>
      </c>
      <c r="T488" s="235">
        <v>0.4</v>
      </c>
      <c r="U488" s="232">
        <v>30.927835051546392</v>
      </c>
    </row>
    <row r="489" spans="2:21" x14ac:dyDescent="0.25">
      <c r="B489" s="235">
        <v>1</v>
      </c>
      <c r="C489" s="72">
        <v>0</v>
      </c>
      <c r="E489" s="235">
        <v>1</v>
      </c>
      <c r="F489" s="72">
        <v>5.7803468208092483E-3</v>
      </c>
      <c r="H489" s="235">
        <v>1</v>
      </c>
      <c r="I489" s="72">
        <v>0.42857142857142855</v>
      </c>
      <c r="K489" s="235">
        <v>0</v>
      </c>
      <c r="L489" s="72">
        <v>1.1560693641618497E-2</v>
      </c>
      <c r="N489" s="235">
        <v>0.4</v>
      </c>
      <c r="O489" s="72">
        <v>1.7142857142857144E-2</v>
      </c>
      <c r="Q489" s="235">
        <v>0</v>
      </c>
      <c r="R489" s="232">
        <v>40.462427745664741</v>
      </c>
      <c r="T489" s="235">
        <v>0.4</v>
      </c>
      <c r="U489" s="232">
        <v>51.428571428571431</v>
      </c>
    </row>
    <row r="490" spans="2:21" x14ac:dyDescent="0.25">
      <c r="B490" s="235">
        <v>1</v>
      </c>
      <c r="C490" s="72">
        <v>0</v>
      </c>
      <c r="E490" s="235">
        <v>1</v>
      </c>
      <c r="F490" s="72">
        <v>1.1363636363636364E-2</v>
      </c>
      <c r="H490" s="235">
        <v>1</v>
      </c>
      <c r="I490" s="72">
        <v>0.5</v>
      </c>
      <c r="K490" s="235">
        <v>0</v>
      </c>
      <c r="L490" s="72">
        <v>2.8571428571428571E-2</v>
      </c>
      <c r="N490" s="235">
        <v>0.4</v>
      </c>
      <c r="O490" s="72">
        <v>2.2988505747126436E-2</v>
      </c>
      <c r="Q490" s="235">
        <v>0</v>
      </c>
      <c r="R490" s="232">
        <v>17.142857142857142</v>
      </c>
      <c r="T490" s="235">
        <v>0.4</v>
      </c>
      <c r="U490" s="232">
        <v>11.494252873563218</v>
      </c>
    </row>
    <row r="491" spans="2:21" x14ac:dyDescent="0.25">
      <c r="B491" s="235">
        <v>1</v>
      </c>
      <c r="C491" s="72">
        <v>0</v>
      </c>
      <c r="E491" s="235">
        <v>1</v>
      </c>
      <c r="F491" s="72">
        <v>1.092896174863388E-2</v>
      </c>
      <c r="H491" s="235">
        <v>1</v>
      </c>
      <c r="I491" s="72">
        <v>0.3</v>
      </c>
      <c r="K491" s="235">
        <v>0</v>
      </c>
      <c r="L491" s="72">
        <v>1.0752688172043012E-2</v>
      </c>
      <c r="N491" s="235">
        <v>0.4</v>
      </c>
      <c r="O491" s="72">
        <v>1.06951871657754E-2</v>
      </c>
      <c r="Q491" s="235">
        <v>0</v>
      </c>
      <c r="R491" s="232">
        <v>26.881720430107528</v>
      </c>
      <c r="T491" s="235">
        <v>0.4</v>
      </c>
      <c r="U491" s="232">
        <v>21.390374331550802</v>
      </c>
    </row>
    <row r="492" spans="2:21" x14ac:dyDescent="0.25">
      <c r="B492" s="235">
        <v>1</v>
      </c>
      <c r="C492" s="72">
        <v>0</v>
      </c>
      <c r="E492" s="235">
        <v>1</v>
      </c>
      <c r="F492" s="72">
        <v>1.8867924528301886E-2</v>
      </c>
      <c r="H492" s="235">
        <v>1</v>
      </c>
      <c r="I492" s="72">
        <v>0.46153846153846156</v>
      </c>
      <c r="K492" s="235">
        <v>0</v>
      </c>
      <c r="L492" s="72">
        <v>3.3333333333333333E-2</v>
      </c>
      <c r="N492" s="235">
        <v>0.4</v>
      </c>
      <c r="O492" s="72">
        <v>2.4154589371980676E-2</v>
      </c>
      <c r="Q492" s="235">
        <v>0</v>
      </c>
      <c r="R492" s="232">
        <v>57.142857142857146</v>
      </c>
      <c r="T492" s="235">
        <v>0.4</v>
      </c>
      <c r="U492" s="232">
        <v>48.309178743961354</v>
      </c>
    </row>
    <row r="493" spans="2:21" x14ac:dyDescent="0.25">
      <c r="B493" s="235">
        <v>1</v>
      </c>
      <c r="C493" s="72">
        <v>0</v>
      </c>
      <c r="E493" s="235">
        <v>1</v>
      </c>
      <c r="F493" s="72">
        <v>3.2967032967032968E-2</v>
      </c>
      <c r="H493" s="235">
        <v>1</v>
      </c>
      <c r="I493" s="72">
        <v>0.2857142857142857</v>
      </c>
      <c r="K493" s="235">
        <v>0</v>
      </c>
      <c r="L493" s="72">
        <v>5.5555555555555552E-2</v>
      </c>
      <c r="N493" s="235">
        <v>0.4</v>
      </c>
      <c r="O493" s="72">
        <v>5.5555555555555552E-2</v>
      </c>
      <c r="Q493" s="235">
        <v>0</v>
      </c>
      <c r="R493" s="232">
        <v>22.222222222222221</v>
      </c>
      <c r="T493" s="235">
        <v>0.4</v>
      </c>
      <c r="U493" s="232">
        <v>27.777777777777779</v>
      </c>
    </row>
    <row r="494" spans="2:21" x14ac:dyDescent="0.25">
      <c r="B494" s="235">
        <v>1</v>
      </c>
      <c r="C494" s="72">
        <v>0</v>
      </c>
      <c r="E494" s="235">
        <v>1</v>
      </c>
      <c r="F494" s="72">
        <v>2.564102564102564E-2</v>
      </c>
      <c r="H494" s="235">
        <v>1</v>
      </c>
      <c r="I494" s="72">
        <v>0.5</v>
      </c>
      <c r="K494" s="235">
        <v>0</v>
      </c>
      <c r="L494" s="72">
        <v>4.1884816753926704E-2</v>
      </c>
      <c r="N494" s="235">
        <v>0.4</v>
      </c>
      <c r="O494" s="72">
        <v>3.6649214659685861E-2</v>
      </c>
      <c r="Q494" s="235">
        <v>0</v>
      </c>
      <c r="R494" s="232">
        <v>26.178010471204189</v>
      </c>
      <c r="T494" s="235">
        <v>0.4</v>
      </c>
      <c r="U494" s="232">
        <v>26.178010471204189</v>
      </c>
    </row>
    <row r="495" spans="2:21" x14ac:dyDescent="0.25">
      <c r="B495" s="235">
        <v>1</v>
      </c>
      <c r="C495" s="72">
        <v>0</v>
      </c>
      <c r="E495" s="235">
        <v>1</v>
      </c>
      <c r="F495" s="72">
        <v>2.2857142857142857E-2</v>
      </c>
      <c r="H495" s="235">
        <v>1</v>
      </c>
      <c r="I495" s="72">
        <v>0.25</v>
      </c>
      <c r="K495" s="235">
        <v>0</v>
      </c>
      <c r="L495" s="72">
        <v>3.9772727272727272E-2</v>
      </c>
      <c r="N495" s="235">
        <v>0.4</v>
      </c>
      <c r="O495" s="72">
        <v>3.9772727272727272E-2</v>
      </c>
      <c r="Q495" s="235">
        <v>0</v>
      </c>
      <c r="R495" s="232">
        <v>28.40909090909091</v>
      </c>
      <c r="T495" s="235">
        <v>0.4</v>
      </c>
      <c r="U495" s="232">
        <v>28.40909090909091</v>
      </c>
    </row>
    <row r="496" spans="2:21" x14ac:dyDescent="0.25">
      <c r="B496" s="235">
        <v>1</v>
      </c>
      <c r="C496" s="72">
        <v>0</v>
      </c>
      <c r="E496" s="235">
        <v>1</v>
      </c>
      <c r="F496" s="72">
        <v>1.1111111111111112E-2</v>
      </c>
      <c r="H496" s="235">
        <v>1</v>
      </c>
      <c r="I496" s="72">
        <v>0.375</v>
      </c>
      <c r="K496" s="235">
        <v>0</v>
      </c>
      <c r="L496" s="72">
        <v>2.2598870056497175E-2</v>
      </c>
      <c r="N496" s="235">
        <v>0.4</v>
      </c>
      <c r="O496" s="72">
        <v>2.247191011235955E-2</v>
      </c>
      <c r="Q496" s="235">
        <v>0</v>
      </c>
      <c r="R496" s="232">
        <v>39.548022598870055</v>
      </c>
      <c r="T496" s="235">
        <v>0.4</v>
      </c>
      <c r="U496" s="232">
        <v>33.707865168539328</v>
      </c>
    </row>
    <row r="497" spans="2:21" x14ac:dyDescent="0.25">
      <c r="B497" s="235">
        <v>1</v>
      </c>
      <c r="C497" s="72">
        <v>0</v>
      </c>
      <c r="E497" s="235">
        <v>1</v>
      </c>
      <c r="F497" s="72">
        <v>1.8264840182648401E-2</v>
      </c>
      <c r="H497" s="235">
        <v>1</v>
      </c>
      <c r="I497" s="72">
        <v>0.75</v>
      </c>
      <c r="K497" s="235">
        <v>0</v>
      </c>
      <c r="L497" s="72">
        <v>2.8301886792452831E-2</v>
      </c>
      <c r="N497" s="235">
        <v>0.4</v>
      </c>
      <c r="O497" s="72">
        <v>2.8846153846153848E-2</v>
      </c>
      <c r="Q497" s="235">
        <v>0</v>
      </c>
      <c r="R497" s="232">
        <v>47.169811320754718</v>
      </c>
      <c r="T497" s="235">
        <v>0.4</v>
      </c>
      <c r="U497" s="232">
        <v>48.07692307692308</v>
      </c>
    </row>
    <row r="498" spans="2:21" x14ac:dyDescent="0.25">
      <c r="B498" s="235">
        <v>1</v>
      </c>
      <c r="C498" s="72">
        <v>0</v>
      </c>
      <c r="E498" s="235">
        <v>1</v>
      </c>
      <c r="F498" s="72">
        <v>2.9850746268656716E-2</v>
      </c>
      <c r="H498" s="235">
        <v>1</v>
      </c>
      <c r="I498" s="72">
        <v>0.14285714285714285</v>
      </c>
      <c r="K498" s="235">
        <v>0</v>
      </c>
      <c r="L498" s="72">
        <v>3.5175879396984924E-2</v>
      </c>
      <c r="N498" s="235">
        <v>0.4</v>
      </c>
      <c r="O498" s="72">
        <v>3.4653465346534656E-2</v>
      </c>
      <c r="Q498" s="235">
        <v>0</v>
      </c>
      <c r="R498" s="232">
        <v>40.201005025125632</v>
      </c>
      <c r="T498" s="235">
        <v>0.4</v>
      </c>
      <c r="U498" s="232">
        <v>44.554455445544555</v>
      </c>
    </row>
    <row r="499" spans="2:21" x14ac:dyDescent="0.25">
      <c r="B499" s="235">
        <v>1</v>
      </c>
      <c r="C499" s="72">
        <v>0</v>
      </c>
      <c r="E499" s="235">
        <v>1</v>
      </c>
      <c r="F499" s="72">
        <v>3.7234042553191488E-2</v>
      </c>
      <c r="H499" s="235">
        <v>1</v>
      </c>
      <c r="I499" s="72">
        <v>0.33333333333333331</v>
      </c>
      <c r="K499" s="235">
        <v>0</v>
      </c>
      <c r="L499" s="72">
        <v>5.1020408163265307E-2</v>
      </c>
      <c r="N499" s="235">
        <v>0.4</v>
      </c>
      <c r="O499" s="72">
        <v>0.05</v>
      </c>
      <c r="Q499" s="235">
        <v>0</v>
      </c>
      <c r="R499" s="232">
        <v>20.408163265306122</v>
      </c>
      <c r="T499" s="235">
        <v>0.4</v>
      </c>
      <c r="U499" s="232">
        <v>20</v>
      </c>
    </row>
    <row r="500" spans="2:21" x14ac:dyDescent="0.25">
      <c r="B500" s="235">
        <v>1</v>
      </c>
      <c r="C500" s="72">
        <v>0</v>
      </c>
      <c r="E500" s="235">
        <v>1</v>
      </c>
      <c r="F500" s="72">
        <v>1.1976047904191617E-2</v>
      </c>
      <c r="H500" s="235">
        <v>1</v>
      </c>
      <c r="I500" s="72">
        <v>0.16666666666666666</v>
      </c>
      <c r="K500" s="235">
        <v>0</v>
      </c>
      <c r="L500" s="72">
        <v>2.976190476190476E-2</v>
      </c>
      <c r="N500" s="235">
        <v>0.4</v>
      </c>
      <c r="O500" s="72">
        <v>2.9585798816568046E-2</v>
      </c>
      <c r="Q500" s="235">
        <v>0</v>
      </c>
      <c r="R500" s="232">
        <v>11.904761904761905</v>
      </c>
      <c r="T500" s="235">
        <v>0.4</v>
      </c>
      <c r="U500" s="232">
        <v>11.834319526627219</v>
      </c>
    </row>
    <row r="501" spans="2:21" x14ac:dyDescent="0.25">
      <c r="B501" s="235">
        <v>1</v>
      </c>
      <c r="C501" s="72">
        <v>0</v>
      </c>
      <c r="E501" s="235">
        <v>1</v>
      </c>
      <c r="F501" s="72">
        <v>1.1627906976744186E-2</v>
      </c>
      <c r="H501" s="235">
        <v>1</v>
      </c>
      <c r="I501" s="72">
        <v>0.4</v>
      </c>
      <c r="K501" s="235">
        <v>0</v>
      </c>
      <c r="L501" s="72">
        <v>2.8735632183908046E-2</v>
      </c>
      <c r="N501" s="235">
        <v>0.4</v>
      </c>
      <c r="O501" s="72">
        <v>0.04</v>
      </c>
      <c r="Q501" s="235">
        <v>0</v>
      </c>
      <c r="R501" s="232">
        <v>34.482758620689658</v>
      </c>
      <c r="T501" s="235">
        <v>0.4</v>
      </c>
      <c r="U501" s="232">
        <v>45.714285714285715</v>
      </c>
    </row>
    <row r="502" spans="2:21" x14ac:dyDescent="0.25">
      <c r="B502" s="235">
        <v>1</v>
      </c>
      <c r="C502" s="72">
        <v>0</v>
      </c>
      <c r="E502" s="235">
        <v>1</v>
      </c>
      <c r="F502" s="72">
        <v>3.125E-2</v>
      </c>
      <c r="H502" s="235">
        <v>1</v>
      </c>
      <c r="I502" s="72">
        <v>0.5</v>
      </c>
      <c r="K502" s="235">
        <v>0</v>
      </c>
      <c r="L502" s="72">
        <v>3.2258064516129031E-2</v>
      </c>
      <c r="N502" s="235">
        <v>0.4</v>
      </c>
      <c r="O502" s="72">
        <v>3.2608695652173912E-2</v>
      </c>
      <c r="Q502" s="235">
        <v>0</v>
      </c>
      <c r="R502" s="232">
        <v>37.634408602150536</v>
      </c>
      <c r="T502" s="235">
        <v>0.4</v>
      </c>
      <c r="U502" s="232">
        <v>38.043478260869563</v>
      </c>
    </row>
    <row r="503" spans="2:21" x14ac:dyDescent="0.25">
      <c r="B503" s="235">
        <v>1</v>
      </c>
      <c r="C503" s="72">
        <v>0</v>
      </c>
      <c r="E503" s="235">
        <v>1</v>
      </c>
      <c r="F503" s="72">
        <v>3.5353535353535352E-2</v>
      </c>
      <c r="H503" s="235">
        <v>1</v>
      </c>
      <c r="I503" s="72">
        <v>0.19047619047619047</v>
      </c>
      <c r="K503" s="235">
        <v>0</v>
      </c>
      <c r="L503" s="72">
        <v>6.3725490196078427E-2</v>
      </c>
      <c r="N503" s="235">
        <v>0.4</v>
      </c>
      <c r="O503" s="72">
        <v>4.4776119402985072E-2</v>
      </c>
      <c r="Q503" s="235">
        <v>0</v>
      </c>
      <c r="R503" s="232">
        <v>34.313725490196077</v>
      </c>
      <c r="T503" s="235">
        <v>0.4</v>
      </c>
      <c r="U503" s="232">
        <v>29.850746268656717</v>
      </c>
    </row>
  </sheetData>
  <mergeCells count="7">
    <mergeCell ref="E2:F2"/>
    <mergeCell ref="B2:C2"/>
    <mergeCell ref="H2:I2"/>
    <mergeCell ref="Q2:R2"/>
    <mergeCell ref="T2:U2"/>
    <mergeCell ref="K2:L2"/>
    <mergeCell ref="N2:O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"/>
  <sheetViews>
    <sheetView showGridLines="0" workbookViewId="0"/>
  </sheetViews>
  <sheetFormatPr defaultRowHeight="15" x14ac:dyDescent="0.25"/>
  <sheetData>
    <row r="1" spans="5:5" x14ac:dyDescent="0.25">
      <c r="E1" s="1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79998168889431442"/>
  </sheetPr>
  <dimension ref="B1:L80"/>
  <sheetViews>
    <sheetView showGridLines="0" workbookViewId="0">
      <selection activeCell="D4" sqref="D4"/>
    </sheetView>
  </sheetViews>
  <sheetFormatPr defaultRowHeight="15" x14ac:dyDescent="0.25"/>
  <cols>
    <col min="2" max="2" width="19.85546875" customWidth="1"/>
    <col min="3" max="3" width="16.7109375" customWidth="1"/>
    <col min="4" max="4" width="12.28515625" style="114" customWidth="1"/>
    <col min="5" max="7" width="16.7109375" customWidth="1"/>
  </cols>
  <sheetData>
    <row r="1" spans="2:12" s="114" customFormat="1" x14ac:dyDescent="0.25"/>
    <row r="2" spans="2:12" s="114" customFormat="1" x14ac:dyDescent="0.25">
      <c r="B2" s="241" t="s">
        <v>105</v>
      </c>
      <c r="C2" s="241"/>
      <c r="D2" s="241"/>
      <c r="E2" s="241"/>
      <c r="F2" s="241"/>
      <c r="G2" s="241"/>
    </row>
    <row r="3" spans="2:12" s="114" customFormat="1" ht="75" x14ac:dyDescent="0.25">
      <c r="B3" s="95" t="s">
        <v>70</v>
      </c>
      <c r="C3" s="95" t="s">
        <v>71</v>
      </c>
      <c r="D3" s="95" t="s">
        <v>92</v>
      </c>
      <c r="E3" s="95" t="s">
        <v>88</v>
      </c>
      <c r="F3" s="95" t="s">
        <v>72</v>
      </c>
      <c r="G3" s="95" t="s">
        <v>78</v>
      </c>
      <c r="H3" s="95" t="s">
        <v>65</v>
      </c>
      <c r="I3" s="95" t="s">
        <v>66</v>
      </c>
      <c r="J3" s="139" t="s">
        <v>106</v>
      </c>
    </row>
    <row r="4" spans="2:12" s="114" customFormat="1" x14ac:dyDescent="0.25">
      <c r="B4" s="125" t="s">
        <v>16</v>
      </c>
      <c r="C4" s="216">
        <f t="shared" ref="C4:C10" si="0">D4/E4</f>
        <v>2.3762376237623763E-2</v>
      </c>
      <c r="D4" s="217">
        <v>24</v>
      </c>
      <c r="E4" s="217">
        <v>1010</v>
      </c>
      <c r="F4" s="125">
        <v>0</v>
      </c>
      <c r="G4" s="93">
        <f>_xlfn.NORM.S.INV(1-0.05/2)*SQRT(1/E4*C4*(1-C4))</f>
        <v>9.3931251487606206E-3</v>
      </c>
      <c r="H4" s="93">
        <f>C4-G4</f>
        <v>1.4369251088863142E-2</v>
      </c>
      <c r="I4" s="93">
        <f>C4+G4</f>
        <v>3.3155501386384387E-2</v>
      </c>
      <c r="J4" s="140">
        <f t="shared" ref="J4:J9" si="1">1000*C4</f>
        <v>23.762376237623762</v>
      </c>
      <c r="L4"/>
    </row>
    <row r="5" spans="2:12" s="114" customFormat="1" x14ac:dyDescent="0.25">
      <c r="B5" s="125" t="s">
        <v>73</v>
      </c>
      <c r="C5" s="216">
        <f t="shared" si="0"/>
        <v>0.10337552742616034</v>
      </c>
      <c r="D5" s="217">
        <v>98</v>
      </c>
      <c r="E5" s="217">
        <v>948</v>
      </c>
      <c r="F5" s="125">
        <v>0</v>
      </c>
      <c r="G5" s="93">
        <f t="shared" ref="G5:G10" si="2">_xlfn.NORM.S.INV(1-0.05/2)*SQRT(1/E5*C5*(1-C5))</f>
        <v>1.9380192464770265E-2</v>
      </c>
      <c r="H5" s="93">
        <f t="shared" ref="H5:H10" si="3">C5-G5</f>
        <v>8.399533496139007E-2</v>
      </c>
      <c r="I5" s="93">
        <f t="shared" ref="I5:I10" si="4">C5+G5</f>
        <v>0.12275571989093061</v>
      </c>
      <c r="J5" s="140">
        <f t="shared" si="1"/>
        <v>103.37552742616033</v>
      </c>
      <c r="L5"/>
    </row>
    <row r="6" spans="2:12" s="114" customFormat="1" x14ac:dyDescent="0.25">
      <c r="B6" s="125" t="s">
        <v>74</v>
      </c>
      <c r="C6" s="216">
        <f t="shared" si="0"/>
        <v>0.11764705882352941</v>
      </c>
      <c r="D6" s="217">
        <v>122</v>
      </c>
      <c r="E6" s="217">
        <v>1037</v>
      </c>
      <c r="F6" s="125">
        <v>0</v>
      </c>
      <c r="G6" s="93">
        <f t="shared" si="2"/>
        <v>1.9609676031217927E-2</v>
      </c>
      <c r="H6" s="93">
        <f t="shared" si="3"/>
        <v>9.8037382792311487E-2</v>
      </c>
      <c r="I6" s="93">
        <f t="shared" si="4"/>
        <v>0.13725673485474735</v>
      </c>
      <c r="J6" s="140">
        <f t="shared" si="1"/>
        <v>117.64705882352941</v>
      </c>
      <c r="L6"/>
    </row>
    <row r="7" spans="2:12" s="114" customFormat="1" x14ac:dyDescent="0.25">
      <c r="B7" s="125" t="s">
        <v>75</v>
      </c>
      <c r="C7" s="216">
        <f t="shared" si="0"/>
        <v>9.4357976653696496E-2</v>
      </c>
      <c r="D7" s="217">
        <v>97</v>
      </c>
      <c r="E7" s="217">
        <v>1028</v>
      </c>
      <c r="F7" s="125">
        <v>0</v>
      </c>
      <c r="G7" s="93">
        <f t="shared" si="2"/>
        <v>1.7869776742858647E-2</v>
      </c>
      <c r="H7" s="93">
        <f t="shared" si="3"/>
        <v>7.6488199910837856E-2</v>
      </c>
      <c r="I7" s="93">
        <f t="shared" si="4"/>
        <v>0.11222775339655514</v>
      </c>
      <c r="J7" s="140">
        <f t="shared" si="1"/>
        <v>94.357976653696497</v>
      </c>
      <c r="L7"/>
    </row>
    <row r="8" spans="2:12" s="114" customFormat="1" x14ac:dyDescent="0.25">
      <c r="B8" s="125" t="s">
        <v>76</v>
      </c>
      <c r="C8" s="216">
        <f t="shared" si="0"/>
        <v>5.9838895281933258E-2</v>
      </c>
      <c r="D8" s="217">
        <v>52</v>
      </c>
      <c r="E8" s="217">
        <v>869</v>
      </c>
      <c r="F8" s="125">
        <v>0</v>
      </c>
      <c r="G8" s="93">
        <f t="shared" si="2"/>
        <v>1.5769979414939617E-2</v>
      </c>
      <c r="H8" s="93">
        <f t="shared" si="3"/>
        <v>4.4068915866993644E-2</v>
      </c>
      <c r="I8" s="93">
        <f t="shared" si="4"/>
        <v>7.5608874696872871E-2</v>
      </c>
      <c r="J8" s="140">
        <f t="shared" si="1"/>
        <v>59.838895281933254</v>
      </c>
      <c r="L8"/>
    </row>
    <row r="9" spans="2:12" s="114" customFormat="1" x14ac:dyDescent="0.25">
      <c r="B9" s="28" t="s">
        <v>77</v>
      </c>
      <c r="C9" s="218">
        <f t="shared" si="0"/>
        <v>1.4120667522464698E-2</v>
      </c>
      <c r="D9" s="219">
        <v>11</v>
      </c>
      <c r="E9" s="219">
        <v>779</v>
      </c>
      <c r="F9" s="28">
        <v>0</v>
      </c>
      <c r="G9" s="94">
        <f t="shared" si="2"/>
        <v>8.2855025842499836E-3</v>
      </c>
      <c r="H9" s="94">
        <f t="shared" si="3"/>
        <v>5.8351649382147146E-3</v>
      </c>
      <c r="I9" s="94">
        <f t="shared" si="4"/>
        <v>2.2406170106714682E-2</v>
      </c>
      <c r="J9" s="140">
        <f t="shared" si="1"/>
        <v>14.120667522464698</v>
      </c>
      <c r="L9"/>
    </row>
    <row r="10" spans="2:12" s="114" customFormat="1" x14ac:dyDescent="0.25">
      <c r="B10" s="97" t="s">
        <v>57</v>
      </c>
      <c r="C10" s="72">
        <f t="shared" si="0"/>
        <v>7.1239640275083754E-2</v>
      </c>
      <c r="D10" s="125">
        <f>SUM(D4:D9)</f>
        <v>404</v>
      </c>
      <c r="E10" s="125">
        <f>SUM(E4:E9)</f>
        <v>5671</v>
      </c>
      <c r="F10" s="125"/>
      <c r="G10" s="93">
        <f t="shared" si="2"/>
        <v>6.6946975560500848E-3</v>
      </c>
      <c r="H10" s="93">
        <f t="shared" si="3"/>
        <v>6.4544942719033674E-2</v>
      </c>
      <c r="I10" s="93">
        <f t="shared" si="4"/>
        <v>7.7934337831133835E-2</v>
      </c>
    </row>
    <row r="11" spans="2:12" s="114" customFormat="1" x14ac:dyDescent="0.25"/>
    <row r="12" spans="2:12" s="114" customFormat="1" x14ac:dyDescent="0.25"/>
    <row r="14" spans="2:12" x14ac:dyDescent="0.25">
      <c r="B14" s="241" t="s">
        <v>79</v>
      </c>
      <c r="C14" s="241"/>
      <c r="D14" s="241"/>
      <c r="E14" s="241"/>
      <c r="F14" s="241"/>
      <c r="G14" s="241"/>
    </row>
    <row r="15" spans="2:12" ht="75" x14ac:dyDescent="0.25">
      <c r="B15" s="95" t="s">
        <v>70</v>
      </c>
      <c r="C15" s="95" t="s">
        <v>71</v>
      </c>
      <c r="D15" s="95" t="s">
        <v>92</v>
      </c>
      <c r="E15" s="95" t="s">
        <v>88</v>
      </c>
      <c r="F15" s="95" t="s">
        <v>72</v>
      </c>
      <c r="G15" s="95" t="s">
        <v>78</v>
      </c>
      <c r="H15" s="95" t="s">
        <v>65</v>
      </c>
      <c r="I15" s="95" t="s">
        <v>66</v>
      </c>
    </row>
    <row r="16" spans="2:12" x14ac:dyDescent="0.25">
      <c r="B16" s="68" t="s">
        <v>16</v>
      </c>
      <c r="C16" s="216">
        <f t="shared" ref="C16:C21" si="5">D16/E16</f>
        <v>2.7722772277227723E-2</v>
      </c>
      <c r="D16" s="217">
        <v>28</v>
      </c>
      <c r="E16" s="217">
        <v>1010</v>
      </c>
      <c r="F16" s="217">
        <v>0</v>
      </c>
      <c r="G16" s="93">
        <f t="shared" ref="G16:G22" si="6">_xlfn.NORM.S.INV(1-0.05/2)*SQRT(1/E16*C16*(1-C16))</f>
        <v>1.0125134241585891E-2</v>
      </c>
      <c r="H16" s="93">
        <f t="shared" ref="H16:H22" si="7">C16-G16</f>
        <v>1.7597638035641832E-2</v>
      </c>
      <c r="I16" s="93">
        <f t="shared" ref="I16:I22" si="8">C16+G16</f>
        <v>3.7847906518813618E-2</v>
      </c>
      <c r="J16" s="115"/>
    </row>
    <row r="17" spans="2:10" x14ac:dyDescent="0.25">
      <c r="B17" s="68" t="s">
        <v>73</v>
      </c>
      <c r="C17" s="216">
        <f t="shared" si="5"/>
        <v>6.5400843881856546E-2</v>
      </c>
      <c r="D17" s="217">
        <v>62</v>
      </c>
      <c r="E17" s="217">
        <v>948</v>
      </c>
      <c r="F17" s="217">
        <v>0</v>
      </c>
      <c r="G17" s="93">
        <f t="shared" si="6"/>
        <v>1.5737954692737005E-2</v>
      </c>
      <c r="H17" s="93">
        <f t="shared" si="7"/>
        <v>4.9662889189119541E-2</v>
      </c>
      <c r="I17" s="93">
        <f t="shared" si="8"/>
        <v>8.1138798574593551E-2</v>
      </c>
      <c r="J17" s="115"/>
    </row>
    <row r="18" spans="2:10" x14ac:dyDescent="0.25">
      <c r="B18" s="68" t="s">
        <v>74</v>
      </c>
      <c r="C18" s="216">
        <f t="shared" si="5"/>
        <v>7.0395371263259399E-2</v>
      </c>
      <c r="D18" s="217">
        <v>73</v>
      </c>
      <c r="E18" s="217">
        <v>1037</v>
      </c>
      <c r="F18" s="217">
        <v>0</v>
      </c>
      <c r="G18" s="93">
        <f t="shared" si="6"/>
        <v>1.5569687770296655E-2</v>
      </c>
      <c r="H18" s="93">
        <f t="shared" si="7"/>
        <v>5.482568349296274E-2</v>
      </c>
      <c r="I18" s="93">
        <f t="shared" si="8"/>
        <v>8.5965059033556057E-2</v>
      </c>
      <c r="J18" s="115"/>
    </row>
    <row r="19" spans="2:10" x14ac:dyDescent="0.25">
      <c r="B19" s="68" t="s">
        <v>75</v>
      </c>
      <c r="C19" s="216">
        <f t="shared" si="5"/>
        <v>5.3501945525291826E-2</v>
      </c>
      <c r="D19" s="217">
        <v>55</v>
      </c>
      <c r="E19" s="217">
        <v>1028</v>
      </c>
      <c r="F19" s="217">
        <v>0</v>
      </c>
      <c r="G19" s="93">
        <f t="shared" si="6"/>
        <v>1.3756127228974296E-2</v>
      </c>
      <c r="H19" s="93">
        <f t="shared" si="7"/>
        <v>3.9745818296317528E-2</v>
      </c>
      <c r="I19" s="93">
        <f t="shared" si="8"/>
        <v>6.7258072754266124E-2</v>
      </c>
      <c r="J19" s="115"/>
    </row>
    <row r="20" spans="2:10" x14ac:dyDescent="0.25">
      <c r="B20" s="68" t="s">
        <v>76</v>
      </c>
      <c r="C20" s="216">
        <f t="shared" si="5"/>
        <v>2.3014959723820484E-2</v>
      </c>
      <c r="D20" s="217">
        <v>20</v>
      </c>
      <c r="E20" s="217">
        <v>869</v>
      </c>
      <c r="F20" s="217">
        <v>0</v>
      </c>
      <c r="G20" s="93">
        <f t="shared" si="6"/>
        <v>9.9698188954174798E-3</v>
      </c>
      <c r="H20" s="93">
        <f t="shared" si="7"/>
        <v>1.3045140828403004E-2</v>
      </c>
      <c r="I20" s="93">
        <f t="shared" si="8"/>
        <v>3.2984778619237966E-2</v>
      </c>
      <c r="J20" s="115"/>
    </row>
    <row r="21" spans="2:10" x14ac:dyDescent="0.25">
      <c r="B21" s="28" t="s">
        <v>77</v>
      </c>
      <c r="C21" s="218">
        <f t="shared" si="5"/>
        <v>5.1347881899871627E-3</v>
      </c>
      <c r="D21" s="219">
        <v>4</v>
      </c>
      <c r="E21" s="219">
        <v>779</v>
      </c>
      <c r="F21" s="219">
        <v>0</v>
      </c>
      <c r="G21" s="94">
        <f t="shared" si="6"/>
        <v>5.0190642063635254E-3</v>
      </c>
      <c r="H21" s="94">
        <f t="shared" si="7"/>
        <v>1.1572398362363727E-4</v>
      </c>
      <c r="I21" s="94">
        <f t="shared" si="8"/>
        <v>1.0153852396350688E-2</v>
      </c>
      <c r="J21" s="115"/>
    </row>
    <row r="22" spans="2:10" x14ac:dyDescent="0.25">
      <c r="B22" s="97" t="s">
        <v>57</v>
      </c>
      <c r="C22" s="93">
        <f>D22/E22</f>
        <v>4.2673249867748189E-2</v>
      </c>
      <c r="D22" s="68">
        <f>SUM(D16:D21)</f>
        <v>242</v>
      </c>
      <c r="E22" s="68">
        <f>SUM(E16:E21)</f>
        <v>5671</v>
      </c>
      <c r="F22" s="68">
        <f>SUM(F16:F21)</f>
        <v>0</v>
      </c>
      <c r="G22" s="93">
        <f t="shared" si="6"/>
        <v>5.2604902973580571E-3</v>
      </c>
      <c r="H22" s="93">
        <f t="shared" si="7"/>
        <v>3.7412759570390135E-2</v>
      </c>
      <c r="I22" s="93">
        <f t="shared" si="8"/>
        <v>4.7933740165106244E-2</v>
      </c>
    </row>
    <row r="26" spans="2:10" x14ac:dyDescent="0.25">
      <c r="B26" s="112" t="s">
        <v>119</v>
      </c>
      <c r="C26" s="112"/>
      <c r="D26" s="112"/>
      <c r="E26" s="112"/>
      <c r="F26" s="112"/>
      <c r="G26" s="112"/>
      <c r="H26" s="98"/>
      <c r="I26" s="98"/>
    </row>
    <row r="27" spans="2:10" ht="75" x14ac:dyDescent="0.25">
      <c r="B27" s="95" t="s">
        <v>70</v>
      </c>
      <c r="C27" s="95" t="s">
        <v>89</v>
      </c>
      <c r="D27" s="95" t="s">
        <v>92</v>
      </c>
      <c r="E27" s="95" t="s">
        <v>88</v>
      </c>
      <c r="F27" s="95" t="s">
        <v>72</v>
      </c>
      <c r="G27" s="95" t="s">
        <v>78</v>
      </c>
      <c r="H27" s="95" t="s">
        <v>65</v>
      </c>
      <c r="I27" s="95" t="s">
        <v>66</v>
      </c>
    </row>
    <row r="28" spans="2:10" x14ac:dyDescent="0.25">
      <c r="B28" s="68" t="s">
        <v>16</v>
      </c>
      <c r="C28" s="216">
        <f t="shared" ref="C28:C33" si="9">D28/E28</f>
        <v>3.8580246913580245E-2</v>
      </c>
      <c r="D28" s="217">
        <v>25</v>
      </c>
      <c r="E28" s="217">
        <v>648</v>
      </c>
      <c r="F28" s="217">
        <v>1</v>
      </c>
      <c r="G28" s="93">
        <f>_xlfn.NORM.S.INV(1-0.05/2)*SQRT(1/E28*C28*(1-C28))</f>
        <v>1.4828581548244624E-2</v>
      </c>
      <c r="H28" s="93">
        <f>C28-G28</f>
        <v>2.3751665365335621E-2</v>
      </c>
      <c r="I28" s="93">
        <f>C28+G28</f>
        <v>5.3408828461824868E-2</v>
      </c>
    </row>
    <row r="29" spans="2:10" x14ac:dyDescent="0.25">
      <c r="B29" s="68" t="s">
        <v>73</v>
      </c>
      <c r="C29" s="216">
        <f t="shared" si="9"/>
        <v>0.25503355704697989</v>
      </c>
      <c r="D29" s="217">
        <v>76</v>
      </c>
      <c r="E29" s="217">
        <v>298</v>
      </c>
      <c r="F29" s="217">
        <v>3</v>
      </c>
      <c r="G29" s="93">
        <f t="shared" ref="G29:G34" si="10">_xlfn.NORM.S.INV(1-0.05/2)*SQRT(1/E29*C29*(1-C29))</f>
        <v>4.9488806274939533E-2</v>
      </c>
      <c r="H29" s="93">
        <f t="shared" ref="H29:H34" si="11">C29-G29</f>
        <v>0.20554475077204035</v>
      </c>
      <c r="I29" s="93">
        <f t="shared" ref="I29:I34" si="12">C29+G29</f>
        <v>0.3045223633219194</v>
      </c>
    </row>
    <row r="30" spans="2:10" x14ac:dyDescent="0.25">
      <c r="B30" s="68" t="s">
        <v>74</v>
      </c>
      <c r="C30" s="216">
        <f t="shared" si="9"/>
        <v>0.36577181208053694</v>
      </c>
      <c r="D30" s="217">
        <v>109</v>
      </c>
      <c r="E30" s="217">
        <v>298</v>
      </c>
      <c r="F30" s="217">
        <v>0</v>
      </c>
      <c r="G30" s="93">
        <f t="shared" si="10"/>
        <v>5.4684953349349232E-2</v>
      </c>
      <c r="H30" s="93">
        <f t="shared" si="11"/>
        <v>0.31108685873118769</v>
      </c>
      <c r="I30" s="93">
        <f t="shared" si="12"/>
        <v>0.42045676542988619</v>
      </c>
    </row>
    <row r="31" spans="2:10" x14ac:dyDescent="0.25">
      <c r="B31" s="68" t="s">
        <v>75</v>
      </c>
      <c r="C31" s="216">
        <f t="shared" si="9"/>
        <v>0.45787545787545786</v>
      </c>
      <c r="D31" s="217">
        <v>125</v>
      </c>
      <c r="E31" s="217">
        <v>273</v>
      </c>
      <c r="F31" s="217">
        <v>2</v>
      </c>
      <c r="G31" s="93">
        <f t="shared" si="10"/>
        <v>5.9100340722220999E-2</v>
      </c>
      <c r="H31" s="93">
        <f t="shared" si="11"/>
        <v>0.39877511715323688</v>
      </c>
      <c r="I31" s="93">
        <f t="shared" si="12"/>
        <v>0.51697579859767884</v>
      </c>
    </row>
    <row r="32" spans="2:10" x14ac:dyDescent="0.25">
      <c r="B32" s="68" t="s">
        <v>76</v>
      </c>
      <c r="C32" s="224">
        <f t="shared" si="9"/>
        <v>0.39366515837104071</v>
      </c>
      <c r="D32" s="223">
        <v>87</v>
      </c>
      <c r="E32" s="223">
        <v>221</v>
      </c>
      <c r="F32" s="223">
        <v>2</v>
      </c>
      <c r="G32" s="93">
        <f t="shared" si="10"/>
        <v>6.4412729965457161E-2</v>
      </c>
      <c r="H32" s="93">
        <f t="shared" si="11"/>
        <v>0.32925242840558355</v>
      </c>
      <c r="I32" s="93">
        <f t="shared" si="12"/>
        <v>0.45807788833649787</v>
      </c>
    </row>
    <row r="33" spans="2:10" x14ac:dyDescent="0.25">
      <c r="B33" s="28" t="s">
        <v>77</v>
      </c>
      <c r="C33" s="218">
        <f t="shared" si="9"/>
        <v>0.40883977900552487</v>
      </c>
      <c r="D33" s="219">
        <v>74</v>
      </c>
      <c r="E33" s="219">
        <v>181</v>
      </c>
      <c r="F33" s="219">
        <v>0</v>
      </c>
      <c r="G33" s="94">
        <f t="shared" si="10"/>
        <v>7.1620603700779953E-2</v>
      </c>
      <c r="H33" s="94">
        <f t="shared" si="11"/>
        <v>0.33721917530474493</v>
      </c>
      <c r="I33" s="94">
        <f t="shared" si="12"/>
        <v>0.48046038270630481</v>
      </c>
    </row>
    <row r="34" spans="2:10" x14ac:dyDescent="0.25">
      <c r="B34" s="97" t="s">
        <v>57</v>
      </c>
      <c r="C34" s="72">
        <f>SUMPRODUCT(C28:C33,E28:E33)/SUM(E28:E33)</f>
        <v>0.2584679520583637</v>
      </c>
      <c r="D34" s="68">
        <f>SUM(D28:D33)</f>
        <v>496</v>
      </c>
      <c r="E34" s="68">
        <f>SUM(E28:E33)</f>
        <v>1919</v>
      </c>
      <c r="F34" s="68">
        <f>SUM(F28:F33)</f>
        <v>8</v>
      </c>
      <c r="G34" s="93">
        <f t="shared" si="10"/>
        <v>1.9587495838337757E-2</v>
      </c>
      <c r="H34" s="93">
        <f t="shared" si="11"/>
        <v>0.23888045622002596</v>
      </c>
      <c r="I34" s="93">
        <f t="shared" si="12"/>
        <v>0.27805544789670145</v>
      </c>
    </row>
    <row r="37" spans="2:10" x14ac:dyDescent="0.25">
      <c r="B37" s="112" t="s">
        <v>116</v>
      </c>
      <c r="C37" s="112"/>
      <c r="D37" s="112"/>
      <c r="E37" s="112"/>
      <c r="F37" s="112"/>
      <c r="G37" s="112"/>
      <c r="H37" s="114"/>
      <c r="I37" s="114"/>
    </row>
    <row r="38" spans="2:10" ht="75" x14ac:dyDescent="0.25">
      <c r="B38" s="95" t="s">
        <v>117</v>
      </c>
      <c r="C38" s="95" t="s">
        <v>89</v>
      </c>
      <c r="D38" s="95" t="s">
        <v>92</v>
      </c>
      <c r="E38" s="95" t="s">
        <v>88</v>
      </c>
      <c r="F38" s="95" t="s">
        <v>72</v>
      </c>
      <c r="G38" s="95" t="s">
        <v>78</v>
      </c>
      <c r="H38" s="95" t="s">
        <v>65</v>
      </c>
      <c r="I38" s="95" t="s">
        <v>66</v>
      </c>
    </row>
    <row r="39" spans="2:10" s="114" customFormat="1" x14ac:dyDescent="0.25">
      <c r="B39" s="152" t="str">
        <f>Parameters!B19</f>
        <v>Sterile</v>
      </c>
      <c r="C39" s="216">
        <f t="shared" ref="C39:C44" si="13">D39/E39</f>
        <v>0.60538116591928248</v>
      </c>
      <c r="D39" s="217">
        <v>675</v>
      </c>
      <c r="E39" s="217">
        <v>1115</v>
      </c>
      <c r="F39" s="217">
        <v>5</v>
      </c>
      <c r="G39" s="93">
        <f t="shared" ref="G39:G45" si="14">_xlfn.NORM.S.INV(1-0.05/2)*SQRT(1/E39*C39*(1-C39))</f>
        <v>2.8688907789015672E-2</v>
      </c>
      <c r="H39" s="93">
        <f t="shared" ref="H39:H45" si="15">C39-G39</f>
        <v>0.57669225813026681</v>
      </c>
      <c r="I39" s="93">
        <f t="shared" ref="I39:I45" si="16">C39+G39</f>
        <v>0.63407007370829815</v>
      </c>
      <c r="J39"/>
    </row>
    <row r="40" spans="2:10" x14ac:dyDescent="0.25">
      <c r="B40" s="116" t="str">
        <f>Parameters!B20</f>
        <v>Inactive</v>
      </c>
      <c r="C40" s="216">
        <f t="shared" si="13"/>
        <v>0.37735849056603776</v>
      </c>
      <c r="D40" s="217">
        <v>440</v>
      </c>
      <c r="E40" s="217">
        <v>1166</v>
      </c>
      <c r="F40" s="217">
        <v>10</v>
      </c>
      <c r="G40" s="93">
        <f t="shared" si="14"/>
        <v>2.7822420746567593E-2</v>
      </c>
      <c r="H40" s="93">
        <f t="shared" si="15"/>
        <v>0.34953606981947016</v>
      </c>
      <c r="I40" s="93">
        <f t="shared" si="16"/>
        <v>0.40518091131260536</v>
      </c>
    </row>
    <row r="41" spans="2:10" x14ac:dyDescent="0.25">
      <c r="B41" s="116" t="str">
        <f>Parameters!B21</f>
        <v>Careful sex</v>
      </c>
      <c r="C41" s="216">
        <f t="shared" si="13"/>
        <v>0.69142066420664205</v>
      </c>
      <c r="D41" s="217">
        <v>1499</v>
      </c>
      <c r="E41" s="217">
        <v>2168</v>
      </c>
      <c r="F41" s="217">
        <v>17</v>
      </c>
      <c r="G41" s="93">
        <f t="shared" si="14"/>
        <v>1.9443437549874262E-2</v>
      </c>
      <c r="H41" s="93">
        <f t="shared" si="15"/>
        <v>0.67197722665676785</v>
      </c>
      <c r="I41" s="93">
        <f t="shared" si="16"/>
        <v>0.71086410175651626</v>
      </c>
    </row>
    <row r="42" spans="2:10" x14ac:dyDescent="0.25">
      <c r="B42" s="116" t="str">
        <f>Parameters!B22</f>
        <v>Unsafe Sex</v>
      </c>
      <c r="C42" s="216">
        <f t="shared" si="13"/>
        <v>0.59420289855072461</v>
      </c>
      <c r="D42" s="217">
        <v>410</v>
      </c>
      <c r="E42" s="217">
        <v>690</v>
      </c>
      <c r="F42" s="217">
        <v>10</v>
      </c>
      <c r="G42" s="93">
        <f t="shared" si="14"/>
        <v>3.6639150770192835E-2</v>
      </c>
      <c r="H42" s="93">
        <f t="shared" si="15"/>
        <v>0.55756374778053175</v>
      </c>
      <c r="I42" s="93">
        <f t="shared" si="16"/>
        <v>0.63084204932091748</v>
      </c>
    </row>
    <row r="43" spans="2:10" x14ac:dyDescent="0.25">
      <c r="B43" s="150" t="str">
        <f>Parameters!B23</f>
        <v>Seeking Pregnancy</v>
      </c>
      <c r="C43" s="224">
        <f t="shared" si="13"/>
        <v>0.63485477178423233</v>
      </c>
      <c r="D43" s="223">
        <v>153</v>
      </c>
      <c r="E43" s="223">
        <v>241</v>
      </c>
      <c r="F43" s="223">
        <v>0</v>
      </c>
      <c r="G43" s="151">
        <f t="shared" si="14"/>
        <v>6.0786841601418395E-2</v>
      </c>
      <c r="H43" s="151">
        <f t="shared" si="15"/>
        <v>0.57406793018281399</v>
      </c>
      <c r="I43" s="151">
        <f t="shared" si="16"/>
        <v>0.69564161338565067</v>
      </c>
    </row>
    <row r="44" spans="2:10" s="114" customFormat="1" x14ac:dyDescent="0.25">
      <c r="B44" s="117" t="str">
        <f>Parameters!B24</f>
        <v>Pregnant</v>
      </c>
      <c r="C44" s="218">
        <f t="shared" si="13"/>
        <v>0.13360323886639677</v>
      </c>
      <c r="D44" s="219">
        <v>33</v>
      </c>
      <c r="E44" s="219">
        <v>247</v>
      </c>
      <c r="F44" s="219">
        <v>2</v>
      </c>
      <c r="G44" s="94">
        <f t="shared" si="14"/>
        <v>4.2429363593343185E-2</v>
      </c>
      <c r="H44" s="94">
        <f t="shared" si="15"/>
        <v>9.1173875273053595E-2</v>
      </c>
      <c r="I44" s="94">
        <f t="shared" si="16"/>
        <v>0.17603260245973995</v>
      </c>
      <c r="J44"/>
    </row>
    <row r="45" spans="2:10" x14ac:dyDescent="0.25">
      <c r="B45" s="121" t="s">
        <v>57</v>
      </c>
      <c r="C45" s="72">
        <f>D45/E45</f>
        <v>0.44464190510040874</v>
      </c>
      <c r="D45" s="68">
        <f>SUM(D40:D43)</f>
        <v>2502</v>
      </c>
      <c r="E45" s="68">
        <f>SUM(E39:E44)</f>
        <v>5627</v>
      </c>
      <c r="F45" s="68">
        <f>SUM(F39:F44)</f>
        <v>44</v>
      </c>
      <c r="G45" s="93">
        <f t="shared" si="14"/>
        <v>1.2983786986990448E-2</v>
      </c>
      <c r="H45" s="93">
        <f t="shared" si="15"/>
        <v>0.43165811811341831</v>
      </c>
      <c r="I45" s="93">
        <f t="shared" si="16"/>
        <v>0.45762569208739917</v>
      </c>
    </row>
    <row r="47" spans="2:10" x14ac:dyDescent="0.25">
      <c r="F47">
        <f>SUM(E45:F45)</f>
        <v>5671</v>
      </c>
    </row>
    <row r="48" spans="2:10" x14ac:dyDescent="0.25">
      <c r="B48" s="112" t="s">
        <v>118</v>
      </c>
      <c r="C48" s="112"/>
      <c r="D48" s="112"/>
      <c r="E48" s="112"/>
      <c r="F48" s="112"/>
      <c r="G48" s="112"/>
      <c r="H48" s="114"/>
      <c r="I48" s="114"/>
    </row>
    <row r="49" spans="2:9" ht="75" x14ac:dyDescent="0.25">
      <c r="B49" s="95" t="s">
        <v>70</v>
      </c>
      <c r="C49" s="95" t="s">
        <v>89</v>
      </c>
      <c r="D49" s="95" t="s">
        <v>92</v>
      </c>
      <c r="E49" s="95" t="s">
        <v>88</v>
      </c>
      <c r="F49" s="95" t="s">
        <v>72</v>
      </c>
      <c r="G49" s="95" t="s">
        <v>78</v>
      </c>
      <c r="H49" s="95" t="s">
        <v>65</v>
      </c>
      <c r="I49" s="95" t="s">
        <v>66</v>
      </c>
    </row>
    <row r="50" spans="2:9" x14ac:dyDescent="0.25">
      <c r="B50" s="116" t="str">
        <f t="shared" ref="B50:B55" si="17">B28</f>
        <v>15-19</v>
      </c>
      <c r="C50" s="216">
        <f t="shared" ref="C50:C55" si="18">D50/E50</f>
        <v>0.34583333333333333</v>
      </c>
      <c r="D50" s="217">
        <v>332</v>
      </c>
      <c r="E50" s="217">
        <v>960</v>
      </c>
      <c r="F50" s="217">
        <v>8</v>
      </c>
      <c r="G50" s="93">
        <f t="shared" ref="G50:G56" si="19">_xlfn.NORM.S.INV(1-0.05/2)*SQRT(1/E50*C50*(1-C50))</f>
        <v>3.0087777248906634E-2</v>
      </c>
      <c r="H50" s="93">
        <f t="shared" ref="H50:H56" si="20">C50-G50</f>
        <v>0.31574555608442667</v>
      </c>
      <c r="I50" s="93">
        <f t="shared" ref="I50:I56" si="21">C50+G50</f>
        <v>0.37592111058223998</v>
      </c>
    </row>
    <row r="51" spans="2:9" s="114" customFormat="1" x14ac:dyDescent="0.25">
      <c r="B51" s="116" t="str">
        <f t="shared" si="17"/>
        <v>20- 24</v>
      </c>
      <c r="C51" s="216">
        <f t="shared" si="18"/>
        <v>0.68446026097271651</v>
      </c>
      <c r="D51" s="217">
        <v>577</v>
      </c>
      <c r="E51" s="217">
        <v>843</v>
      </c>
      <c r="F51" s="217">
        <v>9</v>
      </c>
      <c r="G51" s="93">
        <f t="shared" si="19"/>
        <v>3.1371512235473548E-2</v>
      </c>
      <c r="H51" s="93">
        <f t="shared" si="20"/>
        <v>0.65308874873724299</v>
      </c>
      <c r="I51" s="93">
        <f t="shared" si="21"/>
        <v>0.71583177320819003</v>
      </c>
    </row>
    <row r="52" spans="2:9" s="114" customFormat="1" x14ac:dyDescent="0.25">
      <c r="B52" s="116" t="str">
        <f t="shared" si="17"/>
        <v>25- 29</v>
      </c>
      <c r="C52" s="216">
        <f t="shared" si="18"/>
        <v>0.67264038231780165</v>
      </c>
      <c r="D52" s="217">
        <v>563</v>
      </c>
      <c r="E52" s="217">
        <v>837</v>
      </c>
      <c r="F52" s="217">
        <v>6</v>
      </c>
      <c r="G52" s="93">
        <f t="shared" si="19"/>
        <v>3.1789916183487428E-2</v>
      </c>
      <c r="H52" s="93">
        <f t="shared" si="20"/>
        <v>0.64085046613431418</v>
      </c>
      <c r="I52" s="93">
        <f t="shared" si="21"/>
        <v>0.70443029850128913</v>
      </c>
    </row>
    <row r="53" spans="2:9" x14ac:dyDescent="0.25">
      <c r="B53" s="116" t="str">
        <f t="shared" si="17"/>
        <v>30 - 34</v>
      </c>
      <c r="C53" s="216">
        <f t="shared" si="18"/>
        <v>0.66204986149584488</v>
      </c>
      <c r="D53" s="217">
        <v>478</v>
      </c>
      <c r="E53" s="217">
        <v>722</v>
      </c>
      <c r="F53" s="217">
        <v>5</v>
      </c>
      <c r="G53" s="93">
        <f t="shared" si="19"/>
        <v>3.4502546999133986E-2</v>
      </c>
      <c r="H53" s="93">
        <f t="shared" si="20"/>
        <v>0.62754731449671086</v>
      </c>
      <c r="I53" s="93">
        <f t="shared" si="21"/>
        <v>0.6965524084949789</v>
      </c>
    </row>
    <row r="54" spans="2:9" x14ac:dyDescent="0.25">
      <c r="B54" s="116" t="str">
        <f t="shared" si="17"/>
        <v>35- 39</v>
      </c>
      <c r="C54" s="216">
        <f t="shared" si="18"/>
        <v>0.60943396226415092</v>
      </c>
      <c r="D54" s="217">
        <v>323</v>
      </c>
      <c r="E54" s="217">
        <v>530</v>
      </c>
      <c r="F54" s="217">
        <v>5</v>
      </c>
      <c r="G54" s="93">
        <f t="shared" si="19"/>
        <v>4.1535622197082692E-2</v>
      </c>
      <c r="H54" s="93">
        <f t="shared" si="20"/>
        <v>0.56789834006706819</v>
      </c>
      <c r="I54" s="93">
        <f t="shared" si="21"/>
        <v>0.65096958446123365</v>
      </c>
    </row>
    <row r="55" spans="2:9" x14ac:dyDescent="0.25">
      <c r="B55" s="117" t="str">
        <f t="shared" si="17"/>
        <v>40 - 44</v>
      </c>
      <c r="C55" s="218">
        <f t="shared" si="18"/>
        <v>0.6202185792349727</v>
      </c>
      <c r="D55" s="219">
        <v>227</v>
      </c>
      <c r="E55" s="219">
        <v>366</v>
      </c>
      <c r="F55" s="219">
        <v>3</v>
      </c>
      <c r="G55" s="94">
        <f t="shared" si="19"/>
        <v>4.9721794197592699E-2</v>
      </c>
      <c r="H55" s="94">
        <f t="shared" si="20"/>
        <v>0.57049678503737999</v>
      </c>
      <c r="I55" s="94">
        <f t="shared" si="21"/>
        <v>0.66994037343256541</v>
      </c>
    </row>
    <row r="56" spans="2:9" x14ac:dyDescent="0.25">
      <c r="B56" s="121" t="s">
        <v>57</v>
      </c>
      <c r="C56" s="72">
        <f>SUMPRODUCT(C50:C55,E50:E55)/SUM(E50:E55)</f>
        <v>0.58713010803193988</v>
      </c>
      <c r="D56" s="68">
        <f>SUM(D50:D55)</f>
        <v>2500</v>
      </c>
      <c r="E56" s="68">
        <f>SUM(E50:E55)</f>
        <v>4258</v>
      </c>
      <c r="F56" s="68">
        <f>SUM(F50:F55)</f>
        <v>36</v>
      </c>
      <c r="G56" s="93">
        <f t="shared" si="19"/>
        <v>1.4788326997605248E-2</v>
      </c>
      <c r="H56" s="93">
        <f t="shared" si="20"/>
        <v>0.57234178103433464</v>
      </c>
      <c r="I56" s="93">
        <f t="shared" si="21"/>
        <v>0.60191843502954512</v>
      </c>
    </row>
    <row r="59" spans="2:9" x14ac:dyDescent="0.25">
      <c r="B59" s="112" t="s">
        <v>93</v>
      </c>
      <c r="C59" s="112"/>
      <c r="D59" s="112"/>
      <c r="E59" s="112"/>
      <c r="F59" s="112"/>
      <c r="G59" s="112"/>
      <c r="H59" s="114"/>
      <c r="I59" s="114"/>
    </row>
    <row r="60" spans="2:9" ht="75" x14ac:dyDescent="0.25">
      <c r="B60" s="95" t="s">
        <v>70</v>
      </c>
      <c r="C60" s="95" t="s">
        <v>89</v>
      </c>
      <c r="D60" s="95" t="s">
        <v>92</v>
      </c>
      <c r="E60" s="95" t="s">
        <v>88</v>
      </c>
      <c r="F60" s="95" t="s">
        <v>72</v>
      </c>
      <c r="G60" s="95" t="s">
        <v>78</v>
      </c>
      <c r="H60" s="95" t="s">
        <v>65</v>
      </c>
      <c r="I60" s="95" t="s">
        <v>66</v>
      </c>
    </row>
    <row r="61" spans="2:9" x14ac:dyDescent="0.25">
      <c r="B61" s="116" t="str">
        <f t="shared" ref="B61:B66" si="22">B50</f>
        <v>15-19</v>
      </c>
      <c r="C61" s="216">
        <f t="shared" ref="C61:C66" si="23">D61/E61</f>
        <v>1.5495867768595042E-2</v>
      </c>
      <c r="D61" s="217">
        <v>15</v>
      </c>
      <c r="E61" s="217">
        <v>968</v>
      </c>
      <c r="F61" s="217">
        <v>0</v>
      </c>
      <c r="G61" s="93">
        <f>_xlfn.NORM.S.INV(1-0.05/2)*SQRT(1/E61*C61*(1-C61))</f>
        <v>7.7808516461419595E-3</v>
      </c>
      <c r="H61" s="93">
        <f>C61-G61</f>
        <v>7.7150161224530823E-3</v>
      </c>
      <c r="I61" s="93">
        <f>C61+G61</f>
        <v>2.3276719414737003E-2</v>
      </c>
    </row>
    <row r="62" spans="2:9" x14ac:dyDescent="0.25">
      <c r="B62" s="116" t="str">
        <f t="shared" si="22"/>
        <v>20- 24</v>
      </c>
      <c r="C62" s="216">
        <f t="shared" si="23"/>
        <v>5.1643192488262914E-2</v>
      </c>
      <c r="D62" s="217">
        <v>44</v>
      </c>
      <c r="E62" s="217">
        <v>852</v>
      </c>
      <c r="F62" s="217">
        <v>0</v>
      </c>
      <c r="G62" s="93">
        <f t="shared" ref="G62:G67" si="24">_xlfn.NORM.S.INV(1-0.05/2)*SQRT(1/E62*C62*(1-C62))</f>
        <v>1.4860065287659837E-2</v>
      </c>
      <c r="H62" s="93">
        <f t="shared" ref="H62:H67" si="25">C62-G62</f>
        <v>3.6783127200603075E-2</v>
      </c>
      <c r="I62" s="93">
        <f t="shared" ref="I62:I67" si="26">C62+G62</f>
        <v>6.6503257775922753E-2</v>
      </c>
    </row>
    <row r="63" spans="2:9" x14ac:dyDescent="0.25">
      <c r="B63" s="116" t="str">
        <f t="shared" si="22"/>
        <v>25- 29</v>
      </c>
      <c r="C63" s="216">
        <f t="shared" si="23"/>
        <v>8.0664294187425864E-2</v>
      </c>
      <c r="D63" s="217">
        <v>68</v>
      </c>
      <c r="E63" s="217">
        <v>843</v>
      </c>
      <c r="F63" s="217">
        <v>0</v>
      </c>
      <c r="G63" s="93">
        <f t="shared" si="24"/>
        <v>1.8382815850732381E-2</v>
      </c>
      <c r="H63" s="93">
        <f t="shared" si="25"/>
        <v>6.228147833669348E-2</v>
      </c>
      <c r="I63" s="93">
        <f t="shared" si="26"/>
        <v>9.9047110038158248E-2</v>
      </c>
    </row>
    <row r="64" spans="2:9" x14ac:dyDescent="0.25">
      <c r="B64" s="116" t="str">
        <f t="shared" si="22"/>
        <v>30 - 34</v>
      </c>
      <c r="C64" s="216">
        <f t="shared" si="23"/>
        <v>0.11966987620357634</v>
      </c>
      <c r="D64" s="217">
        <v>87</v>
      </c>
      <c r="E64" s="217">
        <v>727</v>
      </c>
      <c r="F64" s="217">
        <v>0</v>
      </c>
      <c r="G64" s="93">
        <f t="shared" si="24"/>
        <v>2.3593701905974349E-2</v>
      </c>
      <c r="H64" s="93">
        <f t="shared" si="25"/>
        <v>9.6076174297601999E-2</v>
      </c>
      <c r="I64" s="93">
        <f t="shared" si="26"/>
        <v>0.1432635781095507</v>
      </c>
    </row>
    <row r="65" spans="2:9" x14ac:dyDescent="0.25">
      <c r="B65" s="116" t="str">
        <f t="shared" si="22"/>
        <v>35- 39</v>
      </c>
      <c r="C65" s="216">
        <f t="shared" si="23"/>
        <v>0.10280373831775701</v>
      </c>
      <c r="D65" s="217">
        <v>55</v>
      </c>
      <c r="E65" s="217">
        <v>535</v>
      </c>
      <c r="F65" s="217">
        <v>0</v>
      </c>
      <c r="G65" s="93">
        <f t="shared" si="24"/>
        <v>2.5734716091490265E-2</v>
      </c>
      <c r="H65" s="93">
        <f t="shared" si="25"/>
        <v>7.7069022226266742E-2</v>
      </c>
      <c r="I65" s="93">
        <f t="shared" si="26"/>
        <v>0.12853845440924727</v>
      </c>
    </row>
    <row r="66" spans="2:9" x14ac:dyDescent="0.25">
      <c r="B66" s="117" t="str">
        <f t="shared" si="22"/>
        <v>40 - 44</v>
      </c>
      <c r="C66" s="218">
        <f t="shared" si="23"/>
        <v>0.13008130081300814</v>
      </c>
      <c r="D66" s="219">
        <v>48</v>
      </c>
      <c r="E66" s="219">
        <v>369</v>
      </c>
      <c r="F66" s="219">
        <v>0</v>
      </c>
      <c r="G66" s="94">
        <f t="shared" si="24"/>
        <v>3.4322718360082972E-2</v>
      </c>
      <c r="H66" s="94">
        <f t="shared" si="25"/>
        <v>9.5758582452925178E-2</v>
      </c>
      <c r="I66" s="94">
        <f t="shared" si="26"/>
        <v>0.16440401917309111</v>
      </c>
    </row>
    <row r="67" spans="2:9" x14ac:dyDescent="0.25">
      <c r="B67" s="121" t="s">
        <v>57</v>
      </c>
      <c r="C67" s="72">
        <f>SUMPRODUCT(C61:C66,E61:E66)/SUM(E61:E66)</f>
        <v>7.3823940381928271E-2</v>
      </c>
      <c r="D67" s="68">
        <f>SUM(D61:D66)</f>
        <v>317</v>
      </c>
      <c r="E67" s="68">
        <f>SUM(E61:E66)</f>
        <v>4294</v>
      </c>
      <c r="F67" s="68">
        <f>SUM(F61:F66)</f>
        <v>0</v>
      </c>
      <c r="G67" s="93">
        <f t="shared" si="24"/>
        <v>7.8210030899681492E-3</v>
      </c>
      <c r="H67" s="93">
        <f t="shared" si="25"/>
        <v>6.600293729196012E-2</v>
      </c>
      <c r="I67" s="93">
        <f t="shared" si="26"/>
        <v>8.1644943471896422E-2</v>
      </c>
    </row>
    <row r="71" spans="2:9" x14ac:dyDescent="0.25">
      <c r="B71" s="112" t="s">
        <v>94</v>
      </c>
      <c r="C71" s="27"/>
      <c r="D71" s="27"/>
      <c r="E71" s="129">
        <f>$C$80^2*($C$80+1)</f>
        <v>185128025700</v>
      </c>
      <c r="F71" s="27"/>
      <c r="G71" s="27"/>
    </row>
    <row r="72" spans="2:9" x14ac:dyDescent="0.25">
      <c r="B72" s="122" t="s">
        <v>95</v>
      </c>
      <c r="C72" s="123" t="s">
        <v>92</v>
      </c>
      <c r="D72" s="95" t="s">
        <v>89</v>
      </c>
      <c r="E72" s="95" t="s">
        <v>100</v>
      </c>
      <c r="F72" s="95" t="s">
        <v>65</v>
      </c>
      <c r="G72" s="95" t="s">
        <v>66</v>
      </c>
    </row>
    <row r="73" spans="2:9" x14ac:dyDescent="0.25">
      <c r="B73" s="23" t="s">
        <v>96</v>
      </c>
      <c r="C73" s="220">
        <v>1120</v>
      </c>
      <c r="D73" s="221">
        <f>C73/$C$80</f>
        <v>0.19652570626425689</v>
      </c>
      <c r="E73" s="222"/>
      <c r="F73" s="222"/>
      <c r="G73" s="222"/>
    </row>
    <row r="74" spans="2:9" x14ac:dyDescent="0.25">
      <c r="B74" s="23" t="s">
        <v>11</v>
      </c>
      <c r="C74" s="223">
        <v>1176</v>
      </c>
      <c r="D74" s="224">
        <f t="shared" ref="D74:D79" si="27">C74/$C$80</f>
        <v>0.20635199157746972</v>
      </c>
      <c r="E74" s="225"/>
      <c r="F74" s="225"/>
      <c r="G74" s="225"/>
    </row>
    <row r="75" spans="2:9" x14ac:dyDescent="0.25">
      <c r="B75" s="23" t="s">
        <v>51</v>
      </c>
      <c r="C75" s="223">
        <v>2185</v>
      </c>
      <c r="D75" s="224">
        <f t="shared" si="27"/>
        <v>0.38340059659589404</v>
      </c>
      <c r="E75" s="225"/>
      <c r="F75" s="225"/>
      <c r="G75" s="225"/>
    </row>
    <row r="76" spans="2:9" x14ac:dyDescent="0.25">
      <c r="B76" s="23" t="s">
        <v>52</v>
      </c>
      <c r="C76" s="223">
        <v>700</v>
      </c>
      <c r="D76" s="224">
        <f t="shared" si="27"/>
        <v>0.12282856641516056</v>
      </c>
      <c r="E76" s="225"/>
      <c r="F76" s="225"/>
      <c r="G76" s="225"/>
    </row>
    <row r="77" spans="2:9" x14ac:dyDescent="0.25">
      <c r="B77" s="23" t="s">
        <v>13</v>
      </c>
      <c r="C77" s="223">
        <v>241</v>
      </c>
      <c r="D77" s="224">
        <f t="shared" si="27"/>
        <v>4.228812072293385E-2</v>
      </c>
      <c r="E77" s="225"/>
      <c r="F77" s="225"/>
      <c r="G77" s="225"/>
    </row>
    <row r="78" spans="2:9" x14ac:dyDescent="0.25">
      <c r="B78" s="23" t="s">
        <v>58</v>
      </c>
      <c r="C78" s="223">
        <v>249</v>
      </c>
      <c r="D78" s="224">
        <f t="shared" si="27"/>
        <v>4.3691875767678537E-2</v>
      </c>
      <c r="E78" s="225"/>
      <c r="F78" s="225"/>
      <c r="G78" s="225"/>
    </row>
    <row r="79" spans="2:9" ht="60" x14ac:dyDescent="0.25">
      <c r="B79" s="153" t="s">
        <v>97</v>
      </c>
      <c r="C79" s="219">
        <v>28</v>
      </c>
      <c r="D79" s="218">
        <f t="shared" si="27"/>
        <v>4.9131426566064226E-3</v>
      </c>
      <c r="E79" s="226"/>
      <c r="F79" s="226"/>
      <c r="G79" s="226"/>
    </row>
    <row r="80" spans="2:9" x14ac:dyDescent="0.25">
      <c r="B80" s="121" t="s">
        <v>57</v>
      </c>
      <c r="C80" s="100">
        <f>SUM(C73:C79)</f>
        <v>5699</v>
      </c>
      <c r="D80" s="72">
        <f>SUM(D73:D79)</f>
        <v>1</v>
      </c>
    </row>
  </sheetData>
  <mergeCells count="2">
    <mergeCell ref="B14:G14"/>
    <mergeCell ref="B2:G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79998168889431442"/>
  </sheetPr>
  <dimension ref="A1:O53"/>
  <sheetViews>
    <sheetView workbookViewId="0">
      <selection activeCell="C27" sqref="C27"/>
    </sheetView>
  </sheetViews>
  <sheetFormatPr defaultRowHeight="15" x14ac:dyDescent="0.25"/>
  <cols>
    <col min="1" max="1" width="20.28515625" style="99" customWidth="1"/>
    <col min="2" max="2" width="18.85546875" customWidth="1"/>
    <col min="3" max="3" width="12.5703125" customWidth="1"/>
    <col min="4" max="4" width="18.140625" customWidth="1"/>
    <col min="5" max="5" width="15" customWidth="1"/>
    <col min="6" max="6" width="12.7109375" customWidth="1"/>
  </cols>
  <sheetData>
    <row r="1" spans="1:15" s="114" customFormat="1" x14ac:dyDescent="0.25"/>
    <row r="2" spans="1:15" x14ac:dyDescent="0.25">
      <c r="A2" s="49" t="s">
        <v>102</v>
      </c>
    </row>
    <row r="3" spans="1:15" x14ac:dyDescent="0.25">
      <c r="C3" s="168" t="s">
        <v>59</v>
      </c>
      <c r="D3" s="168" t="s">
        <v>60</v>
      </c>
      <c r="E3" s="168" t="s">
        <v>61</v>
      </c>
      <c r="F3" s="168" t="s">
        <v>62</v>
      </c>
    </row>
    <row r="4" spans="1:15" s="114" customFormat="1" x14ac:dyDescent="0.25">
      <c r="A4" s="114" t="s">
        <v>96</v>
      </c>
      <c r="B4" s="6" t="s">
        <v>16</v>
      </c>
      <c r="C4" s="100">
        <v>3.5833333000000001</v>
      </c>
      <c r="D4" s="100">
        <v>18.912966999999998</v>
      </c>
      <c r="E4" s="7">
        <f t="shared" ref="E4:E9" si="0">D4-1</f>
        <v>17.912966999999998</v>
      </c>
      <c r="F4" s="7">
        <f t="shared" ref="F4:F9" si="1">C4/E4</f>
        <v>0.20004130527343686</v>
      </c>
      <c r="H4"/>
      <c r="I4"/>
      <c r="J4"/>
      <c r="K4"/>
      <c r="L4"/>
      <c r="M4"/>
    </row>
    <row r="5" spans="1:15" s="114" customFormat="1" x14ac:dyDescent="0.25">
      <c r="B5" s="6" t="s">
        <v>17</v>
      </c>
      <c r="C5" s="100">
        <v>6.3870968000000001</v>
      </c>
      <c r="D5" s="100">
        <v>14.817126</v>
      </c>
      <c r="E5" s="7">
        <f t="shared" si="0"/>
        <v>13.817126</v>
      </c>
      <c r="F5" s="7">
        <f t="shared" si="1"/>
        <v>0.46225943079624521</v>
      </c>
      <c r="H5"/>
      <c r="I5"/>
      <c r="J5"/>
      <c r="K5"/>
      <c r="L5"/>
      <c r="M5"/>
    </row>
    <row r="6" spans="1:15" s="114" customFormat="1" x14ac:dyDescent="0.25">
      <c r="B6" s="6" t="s">
        <v>18</v>
      </c>
      <c r="C6" s="100">
        <v>6.5565217000000002</v>
      </c>
      <c r="D6" s="100">
        <v>13.521682</v>
      </c>
      <c r="E6" s="7">
        <f t="shared" si="0"/>
        <v>12.521682</v>
      </c>
      <c r="F6" s="7">
        <f t="shared" si="1"/>
        <v>0.52361349697269111</v>
      </c>
      <c r="H6"/>
      <c r="I6"/>
      <c r="J6"/>
      <c r="K6"/>
      <c r="L6"/>
      <c r="M6"/>
    </row>
    <row r="7" spans="1:15" s="114" customFormat="1" x14ac:dyDescent="0.25">
      <c r="B7" s="6" t="s">
        <v>41</v>
      </c>
      <c r="C7" s="100">
        <v>7.1618256999999996</v>
      </c>
      <c r="D7" s="100">
        <v>10.420786</v>
      </c>
      <c r="E7" s="7">
        <f t="shared" si="0"/>
        <v>9.4207859999999997</v>
      </c>
      <c r="F7" s="7">
        <f t="shared" si="1"/>
        <v>0.76021530475270316</v>
      </c>
      <c r="H7"/>
      <c r="I7"/>
      <c r="J7"/>
      <c r="K7"/>
      <c r="L7"/>
      <c r="M7"/>
      <c r="N7"/>
      <c r="O7"/>
    </row>
    <row r="8" spans="1:15" s="114" customFormat="1" x14ac:dyDescent="0.25">
      <c r="B8" s="6" t="s">
        <v>19</v>
      </c>
      <c r="C8" s="125">
        <v>5.9262820999999999</v>
      </c>
      <c r="D8" s="125">
        <v>9.7536287999999995</v>
      </c>
      <c r="E8" s="7">
        <f t="shared" si="0"/>
        <v>8.7536287999999995</v>
      </c>
      <c r="F8" s="7">
        <f t="shared" si="1"/>
        <v>0.67700861384480915</v>
      </c>
      <c r="H8"/>
      <c r="I8"/>
      <c r="J8"/>
      <c r="K8"/>
      <c r="L8"/>
      <c r="M8"/>
      <c r="N8"/>
      <c r="O8"/>
    </row>
    <row r="9" spans="1:15" s="114" customFormat="1" x14ac:dyDescent="0.25">
      <c r="A9" s="27"/>
      <c r="B9" s="27" t="s">
        <v>20</v>
      </c>
      <c r="C9" s="54">
        <v>5.2313432999999998</v>
      </c>
      <c r="D9" s="54">
        <v>8.5516453000000006</v>
      </c>
      <c r="E9" s="28">
        <f t="shared" si="0"/>
        <v>7.5516453000000006</v>
      </c>
      <c r="F9" s="28">
        <f t="shared" si="1"/>
        <v>0.69274218957291323</v>
      </c>
      <c r="H9"/>
      <c r="I9"/>
      <c r="J9"/>
      <c r="K9"/>
      <c r="L9"/>
      <c r="M9"/>
      <c r="N9"/>
      <c r="O9"/>
    </row>
    <row r="10" spans="1:15" x14ac:dyDescent="0.25">
      <c r="A10" s="6" t="s">
        <v>51</v>
      </c>
      <c r="B10" s="6" t="s">
        <v>16</v>
      </c>
      <c r="C10" s="7">
        <v>4.9159663</v>
      </c>
      <c r="D10" s="7">
        <v>7.6774937999999997</v>
      </c>
      <c r="E10" s="7">
        <f>D10-1</f>
        <v>6.6774937999999997</v>
      </c>
      <c r="F10" s="7">
        <f>C10/E10</f>
        <v>0.73619930579344006</v>
      </c>
    </row>
    <row r="11" spans="1:15" x14ac:dyDescent="0.25">
      <c r="A11" s="6"/>
      <c r="B11" s="6" t="s">
        <v>17</v>
      </c>
      <c r="C11" s="97">
        <v>7.0861057000000001</v>
      </c>
      <c r="D11" s="97">
        <v>8.4685372999999995</v>
      </c>
      <c r="E11" s="7">
        <f t="shared" ref="E11:E23" si="2">D11-1</f>
        <v>7.4685372999999995</v>
      </c>
      <c r="F11" s="7">
        <f t="shared" ref="F11:F23" si="3">C11/E11</f>
        <v>0.94879431076818754</v>
      </c>
    </row>
    <row r="12" spans="1:15" x14ac:dyDescent="0.25">
      <c r="A12" s="6"/>
      <c r="B12" s="6" t="s">
        <v>18</v>
      </c>
      <c r="C12" s="97">
        <v>6.6072797000000003</v>
      </c>
      <c r="D12" s="97">
        <v>6.7579789000000003</v>
      </c>
      <c r="E12" s="7">
        <f t="shared" si="2"/>
        <v>5.7579789000000003</v>
      </c>
      <c r="F12" s="7">
        <f t="shared" si="3"/>
        <v>1.1474998110882275</v>
      </c>
    </row>
    <row r="13" spans="1:15" x14ac:dyDescent="0.25">
      <c r="A13" s="6"/>
      <c r="B13" s="6" t="s">
        <v>41</v>
      </c>
      <c r="C13" s="97">
        <v>6.0186047</v>
      </c>
      <c r="D13" s="97">
        <v>7.0890725999999997</v>
      </c>
      <c r="E13" s="7">
        <f t="shared" si="2"/>
        <v>6.0890725999999997</v>
      </c>
      <c r="F13" s="7">
        <f t="shared" si="3"/>
        <v>0.98842715391503133</v>
      </c>
    </row>
    <row r="14" spans="1:15" x14ac:dyDescent="0.25">
      <c r="A14" s="6"/>
      <c r="B14" s="6" t="s">
        <v>19</v>
      </c>
      <c r="C14" s="97">
        <v>5.9523808999999996</v>
      </c>
      <c r="D14" s="97">
        <v>5.2743506</v>
      </c>
      <c r="E14" s="97">
        <f t="shared" si="2"/>
        <v>4.2743506</v>
      </c>
      <c r="F14" s="97">
        <f t="shared" si="3"/>
        <v>1.3925813432337533</v>
      </c>
    </row>
    <row r="15" spans="1:15" x14ac:dyDescent="0.25">
      <c r="A15" s="27"/>
      <c r="B15" s="27" t="s">
        <v>20</v>
      </c>
      <c r="C15" s="169">
        <v>4.9767441999999997</v>
      </c>
      <c r="D15" s="169">
        <v>4.3751724999999997</v>
      </c>
      <c r="E15" s="28">
        <f t="shared" si="2"/>
        <v>3.3751724999999997</v>
      </c>
      <c r="F15" s="28">
        <f t="shared" si="3"/>
        <v>1.4745155099480101</v>
      </c>
    </row>
    <row r="16" spans="1:15" x14ac:dyDescent="0.25">
      <c r="A16" s="103" t="s">
        <v>52</v>
      </c>
      <c r="B16" s="103" t="s">
        <v>16</v>
      </c>
      <c r="C16" s="97">
        <v>0.77981650000000002</v>
      </c>
      <c r="D16" s="97">
        <v>6.7858499999999999</v>
      </c>
      <c r="E16" s="7">
        <f t="shared" si="2"/>
        <v>5.7858499999999999</v>
      </c>
      <c r="F16" s="7">
        <f t="shared" si="3"/>
        <v>0.13477993726073093</v>
      </c>
    </row>
    <row r="17" spans="1:14" x14ac:dyDescent="0.25">
      <c r="A17" s="6"/>
      <c r="B17" s="6" t="s">
        <v>17</v>
      </c>
      <c r="C17" s="97">
        <v>3</v>
      </c>
      <c r="D17" s="97">
        <v>16.188761</v>
      </c>
      <c r="E17" s="7">
        <f t="shared" si="2"/>
        <v>15.188761</v>
      </c>
      <c r="F17" s="7">
        <f t="shared" si="3"/>
        <v>0.19751446480723478</v>
      </c>
    </row>
    <row r="18" spans="1:14" x14ac:dyDescent="0.25">
      <c r="A18" s="6"/>
      <c r="B18" s="6" t="s">
        <v>18</v>
      </c>
      <c r="C18" s="97">
        <v>2.9776118999999999</v>
      </c>
      <c r="D18" s="97">
        <v>14.571831</v>
      </c>
      <c r="E18" s="7">
        <f t="shared" si="2"/>
        <v>13.571831</v>
      </c>
      <c r="F18" s="7">
        <f t="shared" si="3"/>
        <v>0.21939647642237808</v>
      </c>
    </row>
    <row r="19" spans="1:14" x14ac:dyDescent="0.25">
      <c r="A19" s="6"/>
      <c r="B19" s="6" t="s">
        <v>41</v>
      </c>
      <c r="C19" s="97">
        <v>1.7876711999999999</v>
      </c>
      <c r="D19" s="97">
        <v>7.5164344999999999</v>
      </c>
      <c r="E19" s="7">
        <f t="shared" si="2"/>
        <v>6.5164344999999999</v>
      </c>
      <c r="F19" s="7">
        <f t="shared" si="3"/>
        <v>0.27433271983321555</v>
      </c>
    </row>
    <row r="20" spans="1:14" x14ac:dyDescent="0.25">
      <c r="A20" s="6"/>
      <c r="B20" s="6" t="s">
        <v>19</v>
      </c>
      <c r="C20" s="97">
        <v>1.8543689000000001</v>
      </c>
      <c r="D20" s="97">
        <v>6.2599292000000002</v>
      </c>
      <c r="E20" s="7">
        <f t="shared" si="2"/>
        <v>5.2599292000000002</v>
      </c>
      <c r="F20" s="7">
        <f t="shared" si="3"/>
        <v>0.35254636127041405</v>
      </c>
      <c r="I20" s="51"/>
    </row>
    <row r="21" spans="1:14" x14ac:dyDescent="0.25">
      <c r="A21" s="27"/>
      <c r="B21" s="27" t="s">
        <v>20</v>
      </c>
      <c r="C21" s="169">
        <v>2.3943661999999999</v>
      </c>
      <c r="D21" s="169">
        <v>6.8252490999999997</v>
      </c>
      <c r="E21" s="28">
        <f t="shared" si="2"/>
        <v>5.8252490999999997</v>
      </c>
      <c r="F21" s="28">
        <f t="shared" si="3"/>
        <v>0.41103241404732377</v>
      </c>
    </row>
    <row r="22" spans="1:14" x14ac:dyDescent="0.25">
      <c r="A22" s="104" t="s">
        <v>13</v>
      </c>
      <c r="B22" s="105"/>
      <c r="C22" s="45">
        <v>8.6540084000000004</v>
      </c>
      <c r="D22" s="45">
        <v>10.528026000000001</v>
      </c>
      <c r="E22" s="175">
        <f t="shared" si="2"/>
        <v>9.5280260000000006</v>
      </c>
      <c r="F22" s="175">
        <f t="shared" si="3"/>
        <v>0.90826876417003899</v>
      </c>
    </row>
    <row r="23" spans="1:14" x14ac:dyDescent="0.25">
      <c r="A23" s="106" t="s">
        <v>58</v>
      </c>
      <c r="B23" s="27"/>
      <c r="C23" s="169">
        <v>4.2213114999999997</v>
      </c>
      <c r="D23" s="174">
        <v>7.4150431000000001</v>
      </c>
      <c r="E23" s="175">
        <f t="shared" si="2"/>
        <v>6.4150431000000001</v>
      </c>
      <c r="F23" s="175">
        <f t="shared" si="3"/>
        <v>0.65803322506126261</v>
      </c>
    </row>
    <row r="24" spans="1:14" ht="15.75" customHeight="1" x14ac:dyDescent="0.25"/>
    <row r="25" spans="1:14" x14ac:dyDescent="0.25">
      <c r="A25" s="170" t="s">
        <v>103</v>
      </c>
      <c r="B25" s="51"/>
      <c r="C25" s="51"/>
      <c r="D25" s="51"/>
      <c r="E25" s="51"/>
      <c r="F25" s="51"/>
    </row>
    <row r="26" spans="1:14" x14ac:dyDescent="0.25">
      <c r="A26" s="51"/>
      <c r="B26" s="51"/>
      <c r="C26" s="167" t="s">
        <v>59</v>
      </c>
      <c r="D26" s="167" t="s">
        <v>60</v>
      </c>
      <c r="E26" s="167" t="s">
        <v>61</v>
      </c>
      <c r="F26" s="167" t="s">
        <v>62</v>
      </c>
    </row>
    <row r="27" spans="1:14" s="114" customFormat="1" x14ac:dyDescent="0.25">
      <c r="A27" s="19" t="s">
        <v>96</v>
      </c>
      <c r="B27" s="97" t="s">
        <v>16</v>
      </c>
      <c r="C27" s="79">
        <v>2.0833333000000001</v>
      </c>
      <c r="D27" s="79">
        <v>23.194682</v>
      </c>
      <c r="E27" s="155">
        <f t="shared" ref="E27:E32" si="4">D27-1</f>
        <v>22.194682</v>
      </c>
      <c r="F27" s="97">
        <f t="shared" ref="F27:F32" si="5">C27/E27</f>
        <v>9.3866327978927563E-2</v>
      </c>
      <c r="H27"/>
      <c r="I27"/>
      <c r="J27"/>
      <c r="K27"/>
      <c r="L27"/>
      <c r="M27"/>
      <c r="N27"/>
    </row>
    <row r="28" spans="1:14" s="114" customFormat="1" x14ac:dyDescent="0.25">
      <c r="A28" s="19"/>
      <c r="B28" s="97" t="s">
        <v>17</v>
      </c>
      <c r="C28" s="79">
        <v>3.8387096999999999</v>
      </c>
      <c r="D28" s="79">
        <v>12.850759</v>
      </c>
      <c r="E28" s="155">
        <f t="shared" si="4"/>
        <v>11.850759</v>
      </c>
      <c r="F28" s="97">
        <f t="shared" si="5"/>
        <v>0.32392099949041236</v>
      </c>
      <c r="H28"/>
      <c r="I28"/>
      <c r="J28"/>
      <c r="K28"/>
      <c r="L28"/>
      <c r="M28"/>
      <c r="N28"/>
    </row>
    <row r="29" spans="1:14" s="114" customFormat="1" x14ac:dyDescent="0.25">
      <c r="A29" s="19"/>
      <c r="B29" s="97" t="s">
        <v>18</v>
      </c>
      <c r="C29" s="79">
        <v>3.6034483000000002</v>
      </c>
      <c r="D29" s="79">
        <v>10.402309000000001</v>
      </c>
      <c r="E29" s="155">
        <f t="shared" si="4"/>
        <v>9.4023090000000007</v>
      </c>
      <c r="F29" s="97">
        <f t="shared" si="5"/>
        <v>0.38325142260268197</v>
      </c>
      <c r="H29"/>
      <c r="I29"/>
      <c r="J29"/>
      <c r="K29"/>
      <c r="L29"/>
      <c r="M29"/>
      <c r="N29"/>
    </row>
    <row r="30" spans="1:14" s="114" customFormat="1" x14ac:dyDescent="0.25">
      <c r="A30" s="19"/>
      <c r="B30" s="97" t="s">
        <v>41</v>
      </c>
      <c r="C30" s="79">
        <v>3.677686</v>
      </c>
      <c r="D30" s="79">
        <v>10.533436</v>
      </c>
      <c r="E30" s="155">
        <f t="shared" si="4"/>
        <v>9.533436</v>
      </c>
      <c r="F30" s="97">
        <f t="shared" si="5"/>
        <v>0.38576710432628908</v>
      </c>
      <c r="H30"/>
      <c r="I30"/>
      <c r="J30"/>
      <c r="K30"/>
      <c r="L30"/>
      <c r="M30"/>
      <c r="N30"/>
    </row>
    <row r="31" spans="1:14" s="114" customFormat="1" x14ac:dyDescent="0.25">
      <c r="A31" s="19"/>
      <c r="B31" s="97" t="s">
        <v>19</v>
      </c>
      <c r="C31" s="79">
        <v>3.8076922999999998</v>
      </c>
      <c r="D31" s="79">
        <v>11.07202</v>
      </c>
      <c r="E31" s="155">
        <f t="shared" si="4"/>
        <v>10.07202</v>
      </c>
      <c r="F31" s="97">
        <f t="shared" si="5"/>
        <v>0.37804653882736527</v>
      </c>
      <c r="H31"/>
      <c r="I31"/>
      <c r="J31"/>
      <c r="K31"/>
      <c r="L31"/>
      <c r="M31"/>
      <c r="N31"/>
    </row>
    <row r="32" spans="1:14" s="114" customFormat="1" x14ac:dyDescent="0.25">
      <c r="A32" s="52"/>
      <c r="B32" s="169" t="s">
        <v>20</v>
      </c>
      <c r="C32" s="109">
        <v>4.3855721000000001</v>
      </c>
      <c r="D32" s="109">
        <v>11.193866</v>
      </c>
      <c r="E32" s="169">
        <f t="shared" si="4"/>
        <v>10.193866</v>
      </c>
      <c r="F32" s="169">
        <f t="shared" si="5"/>
        <v>0.43021676957495814</v>
      </c>
      <c r="H32"/>
      <c r="I32"/>
      <c r="J32"/>
      <c r="K32"/>
      <c r="L32"/>
      <c r="M32"/>
      <c r="N32"/>
    </row>
    <row r="33" spans="1:14" x14ac:dyDescent="0.25">
      <c r="A33" s="19" t="s">
        <v>11</v>
      </c>
      <c r="B33" s="79" t="s">
        <v>16</v>
      </c>
      <c r="C33" s="155">
        <v>0.60162599999999999</v>
      </c>
      <c r="D33" s="155">
        <v>4.7767707000000001</v>
      </c>
      <c r="E33" s="155">
        <f>D33-1</f>
        <v>3.7767707000000001</v>
      </c>
      <c r="F33" s="97">
        <f>C33/E33</f>
        <v>0.15929640631876327</v>
      </c>
    </row>
    <row r="34" spans="1:14" x14ac:dyDescent="0.25">
      <c r="A34" s="19"/>
      <c r="B34" s="79" t="s">
        <v>17</v>
      </c>
      <c r="C34" s="155">
        <v>2.9488636000000001</v>
      </c>
      <c r="D34" s="155">
        <v>8.5440939999999994</v>
      </c>
      <c r="E34" s="155">
        <f t="shared" ref="E34:E52" si="6">D34-1</f>
        <v>7.5440939999999994</v>
      </c>
      <c r="F34" s="97">
        <f t="shared" ref="F34:F52" si="7">C34/E34</f>
        <v>0.39088372970962454</v>
      </c>
    </row>
    <row r="35" spans="1:14" x14ac:dyDescent="0.25">
      <c r="A35" s="19"/>
      <c r="B35" s="79" t="s">
        <v>18</v>
      </c>
      <c r="C35" s="155">
        <v>3.3969466000000001</v>
      </c>
      <c r="D35" s="155">
        <v>9.6615032999999997</v>
      </c>
      <c r="E35" s="155">
        <f t="shared" si="6"/>
        <v>8.6615032999999997</v>
      </c>
      <c r="F35" s="97">
        <f t="shared" si="7"/>
        <v>0.39218903258975846</v>
      </c>
    </row>
    <row r="36" spans="1:14" x14ac:dyDescent="0.25">
      <c r="A36" s="19"/>
      <c r="B36" s="79" t="s">
        <v>41</v>
      </c>
      <c r="C36" s="155">
        <v>4.8</v>
      </c>
      <c r="D36" s="155">
        <v>15.816611999999999</v>
      </c>
      <c r="E36" s="155">
        <f t="shared" si="6"/>
        <v>14.816611999999999</v>
      </c>
      <c r="F36" s="97">
        <f t="shared" si="7"/>
        <v>0.32396070032744329</v>
      </c>
    </row>
    <row r="37" spans="1:14" s="114" customFormat="1" x14ac:dyDescent="0.25">
      <c r="A37" s="19"/>
      <c r="B37" s="79" t="s">
        <v>19</v>
      </c>
      <c r="C37" s="155">
        <v>4.5813952999999996</v>
      </c>
      <c r="D37" s="155">
        <v>14.971477</v>
      </c>
      <c r="E37" s="155">
        <f t="shared" si="6"/>
        <v>13.971477</v>
      </c>
      <c r="F37" s="97">
        <f t="shared" si="7"/>
        <v>0.32791059241624915</v>
      </c>
      <c r="I37"/>
      <c r="J37"/>
      <c r="K37"/>
      <c r="L37"/>
      <c r="M37"/>
      <c r="N37"/>
    </row>
    <row r="38" spans="1:14" x14ac:dyDescent="0.25">
      <c r="A38" s="52"/>
      <c r="B38" s="109" t="s">
        <v>20</v>
      </c>
      <c r="C38" s="169">
        <v>4.3205128000000004</v>
      </c>
      <c r="D38" s="169">
        <v>18.192360000000001</v>
      </c>
      <c r="E38" s="169">
        <f t="shared" si="6"/>
        <v>17.192360000000001</v>
      </c>
      <c r="F38" s="169">
        <f t="shared" si="7"/>
        <v>0.25130423048377304</v>
      </c>
    </row>
    <row r="39" spans="1:14" x14ac:dyDescent="0.25">
      <c r="A39" s="19" t="s">
        <v>51</v>
      </c>
      <c r="B39" s="79" t="s">
        <v>16</v>
      </c>
      <c r="C39" s="155">
        <v>3.3502109999999998</v>
      </c>
      <c r="D39" s="155">
        <v>8.7424090000000003</v>
      </c>
      <c r="E39" s="97">
        <f t="shared" si="6"/>
        <v>7.7424090000000003</v>
      </c>
      <c r="F39" s="97">
        <f t="shared" si="7"/>
        <v>0.43270912192833</v>
      </c>
    </row>
    <row r="40" spans="1:14" x14ac:dyDescent="0.25">
      <c r="A40" s="51"/>
      <c r="B40" s="79" t="s">
        <v>17</v>
      </c>
      <c r="C40" s="155">
        <v>5.0489236999999996</v>
      </c>
      <c r="D40" s="155">
        <v>8.2676183000000005</v>
      </c>
      <c r="E40" s="97">
        <f t="shared" si="6"/>
        <v>7.2676183000000005</v>
      </c>
      <c r="F40" s="97">
        <f t="shared" si="7"/>
        <v>0.69471503477280849</v>
      </c>
    </row>
    <row r="41" spans="1:14" x14ac:dyDescent="0.25">
      <c r="A41" s="51"/>
      <c r="B41" s="79" t="s">
        <v>18</v>
      </c>
      <c r="C41" s="155">
        <v>5.2057691999999998</v>
      </c>
      <c r="D41" s="155">
        <v>10.557308000000001</v>
      </c>
      <c r="E41" s="97">
        <f t="shared" si="6"/>
        <v>9.5573080000000008</v>
      </c>
      <c r="F41" s="97">
        <f t="shared" si="7"/>
        <v>0.54468990640460679</v>
      </c>
    </row>
    <row r="42" spans="1:14" x14ac:dyDescent="0.25">
      <c r="A42" s="51"/>
      <c r="B42" s="79" t="s">
        <v>41</v>
      </c>
      <c r="C42" s="155">
        <v>5.0578703999999997</v>
      </c>
      <c r="D42" s="155">
        <v>10.367089999999999</v>
      </c>
      <c r="E42" s="97">
        <f t="shared" si="6"/>
        <v>9.3670899999999993</v>
      </c>
      <c r="F42" s="97">
        <f t="shared" si="7"/>
        <v>0.53996175973541405</v>
      </c>
    </row>
    <row r="43" spans="1:14" s="114" customFormat="1" x14ac:dyDescent="0.25">
      <c r="A43" s="51"/>
      <c r="B43" s="79" t="s">
        <v>19</v>
      </c>
      <c r="C43" s="155">
        <v>5.0782312999999997</v>
      </c>
      <c r="D43" s="155">
        <v>12.723996</v>
      </c>
      <c r="E43" s="97">
        <f t="shared" si="6"/>
        <v>11.723996</v>
      </c>
      <c r="F43" s="97">
        <f t="shared" si="7"/>
        <v>0.43314850158597801</v>
      </c>
    </row>
    <row r="44" spans="1:14" x14ac:dyDescent="0.25">
      <c r="A44" s="52"/>
      <c r="B44" s="109" t="s">
        <v>20</v>
      </c>
      <c r="C44" s="169">
        <v>4.3448276000000003</v>
      </c>
      <c r="D44" s="97">
        <v>10.822253</v>
      </c>
      <c r="E44" s="97">
        <f t="shared" si="6"/>
        <v>9.8222529999999999</v>
      </c>
      <c r="F44" s="97">
        <f t="shared" si="7"/>
        <v>0.44234531527542614</v>
      </c>
    </row>
    <row r="45" spans="1:14" x14ac:dyDescent="0.25">
      <c r="A45" s="134" t="s">
        <v>52</v>
      </c>
      <c r="B45" s="79" t="s">
        <v>16</v>
      </c>
      <c r="C45" s="155">
        <v>2.6238532000000001</v>
      </c>
      <c r="D45" s="171">
        <v>9.1872067000000008</v>
      </c>
      <c r="E45" s="171">
        <f t="shared" si="6"/>
        <v>8.1872067000000008</v>
      </c>
      <c r="F45" s="171">
        <f t="shared" si="7"/>
        <v>0.32048210044580894</v>
      </c>
    </row>
    <row r="46" spans="1:14" x14ac:dyDescent="0.25">
      <c r="A46" s="51"/>
      <c r="B46" s="79" t="s">
        <v>17</v>
      </c>
      <c r="C46" s="155">
        <v>4.5789473999999997</v>
      </c>
      <c r="D46" s="155">
        <v>12.379429</v>
      </c>
      <c r="E46" s="97">
        <f t="shared" si="6"/>
        <v>11.379429</v>
      </c>
      <c r="F46" s="97">
        <f t="shared" si="7"/>
        <v>0.40238815146172974</v>
      </c>
    </row>
    <row r="47" spans="1:14" s="114" customFormat="1" x14ac:dyDescent="0.25">
      <c r="A47" s="51"/>
      <c r="B47" s="79" t="s">
        <v>18</v>
      </c>
      <c r="C47" s="155">
        <v>4.4166667000000004</v>
      </c>
      <c r="D47" s="155">
        <v>10.098144</v>
      </c>
      <c r="E47" s="97">
        <f t="shared" si="6"/>
        <v>9.0981439999999996</v>
      </c>
      <c r="F47" s="97">
        <f t="shared" si="7"/>
        <v>0.48544699886042697</v>
      </c>
    </row>
    <row r="48" spans="1:14" x14ac:dyDescent="0.25">
      <c r="A48" s="51"/>
      <c r="B48" s="79" t="s">
        <v>41</v>
      </c>
      <c r="C48" s="155">
        <v>4.2042254000000003</v>
      </c>
      <c r="D48" s="155">
        <v>13.541912</v>
      </c>
      <c r="E48" s="97">
        <f t="shared" si="6"/>
        <v>12.541912</v>
      </c>
      <c r="F48" s="19">
        <f t="shared" si="7"/>
        <v>0.3352140726230578</v>
      </c>
    </row>
    <row r="49" spans="1:6" x14ac:dyDescent="0.25">
      <c r="A49" s="51"/>
      <c r="B49" s="79" t="s">
        <v>19</v>
      </c>
      <c r="C49" s="155">
        <v>4.4077669999999998</v>
      </c>
      <c r="D49" s="97">
        <v>16.335581000000001</v>
      </c>
      <c r="E49" s="97">
        <f t="shared" si="6"/>
        <v>15.335581000000001</v>
      </c>
      <c r="F49" s="97">
        <f t="shared" si="7"/>
        <v>0.28742093305757371</v>
      </c>
    </row>
    <row r="50" spans="1:6" x14ac:dyDescent="0.25">
      <c r="A50" s="52"/>
      <c r="B50" s="109" t="s">
        <v>20</v>
      </c>
      <c r="C50" s="169">
        <v>6</v>
      </c>
      <c r="D50" s="169">
        <v>13.979704999999999</v>
      </c>
      <c r="E50" s="169">
        <f t="shared" si="6"/>
        <v>12.979704999999999</v>
      </c>
      <c r="F50" s="169">
        <f t="shared" si="7"/>
        <v>0.46226012070382189</v>
      </c>
    </row>
    <row r="51" spans="1:6" x14ac:dyDescent="0.25">
      <c r="A51" s="172" t="s">
        <v>13</v>
      </c>
      <c r="B51" s="173"/>
      <c r="C51" s="174">
        <v>4.0539418999999999</v>
      </c>
      <c r="D51" s="174">
        <v>9.9255326999999998</v>
      </c>
      <c r="E51" s="169">
        <f t="shared" si="6"/>
        <v>8.9255326999999998</v>
      </c>
      <c r="F51" s="169">
        <f t="shared" si="7"/>
        <v>0.45419607280134661</v>
      </c>
    </row>
    <row r="52" spans="1:6" x14ac:dyDescent="0.25">
      <c r="A52" s="173" t="s">
        <v>58</v>
      </c>
      <c r="B52" s="173"/>
      <c r="C52" s="174">
        <v>0.66396759999999999</v>
      </c>
      <c r="D52" s="174">
        <v>12.752281999999999</v>
      </c>
      <c r="E52" s="169">
        <f t="shared" si="6"/>
        <v>11.752281999999999</v>
      </c>
      <c r="F52" s="169">
        <f t="shared" si="7"/>
        <v>5.6496908430209554E-2</v>
      </c>
    </row>
    <row r="53" spans="1:6" x14ac:dyDescent="0.25">
      <c r="A53" s="51"/>
      <c r="B53" s="51"/>
      <c r="C53" s="51"/>
      <c r="D53" s="155"/>
      <c r="E53" s="51"/>
      <c r="F53" s="5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63</vt:i4>
      </vt:variant>
    </vt:vector>
  </HeadingPairs>
  <TitlesOfParts>
    <vt:vector size="72" baseType="lpstr">
      <vt:lpstr>Settings</vt:lpstr>
      <vt:lpstr>Parameters</vt:lpstr>
      <vt:lpstr>Age group transition</vt:lpstr>
      <vt:lpstr>Outcomes</vt:lpstr>
      <vt:lpstr>Scenario Analysis</vt:lpstr>
      <vt:lpstr>Scenario Visualization</vt:lpstr>
      <vt:lpstr>Debugging</vt:lpstr>
      <vt:lpstr>Support</vt:lpstr>
      <vt:lpstr>Gamma.Poisson.Calc</vt:lpstr>
      <vt:lpstr>alpha</vt:lpstr>
      <vt:lpstr>averageNumOfSexualEncounters</vt:lpstr>
      <vt:lpstr>baseAEP1000popAccess</vt:lpstr>
      <vt:lpstr>baseAEPRiskAccess_Actual</vt:lpstr>
      <vt:lpstr>baseAEPRiskComplience_Actual</vt:lpstr>
      <vt:lpstr>baseAEPRiskComplience_CDC</vt:lpstr>
      <vt:lpstr>basePercExpCompliance</vt:lpstr>
      <vt:lpstr>CDCComplianceLevel</vt:lpstr>
      <vt:lpstr>contraceptionData</vt:lpstr>
      <vt:lpstr>deltaT</vt:lpstr>
      <vt:lpstr>effAdjustingFactor</vt:lpstr>
      <vt:lpstr>lastCol</vt:lpstr>
      <vt:lpstr>monthlyDrinks_alpha</vt:lpstr>
      <vt:lpstr>monthlyDrinks_beta</vt:lpstr>
      <vt:lpstr>monthlySexes_alpha</vt:lpstr>
      <vt:lpstr>monthlySexes_beta</vt:lpstr>
      <vt:lpstr>Nonagespecific_AEPest</vt:lpstr>
      <vt:lpstr>percent_contraceptionDecrease</vt:lpstr>
      <vt:lpstr>percent_contraceptionIncrease</vt:lpstr>
      <vt:lpstr>popAgeDistribution</vt:lpstr>
      <vt:lpstr>popSize</vt:lpstr>
      <vt:lpstr>ProbHavingAbortion</vt:lpstr>
      <vt:lpstr>probPregnancyAfterSex</vt:lpstr>
      <vt:lpstr>probSuccessPregnancy</vt:lpstr>
      <vt:lpstr>projectionPeriod</vt:lpstr>
      <vt:lpstr>propMiscarriage</vt:lpstr>
      <vt:lpstr>rangeCDCCompliance</vt:lpstr>
      <vt:lpstr>rangeContraceptiveChange</vt:lpstr>
      <vt:lpstr>ratioSterile</vt:lpstr>
      <vt:lpstr>replications</vt:lpstr>
      <vt:lpstr>sexualBehaviorGroups</vt:lpstr>
      <vt:lpstr>sim_AEP1000pop</vt:lpstr>
      <vt:lpstr>sim_AEPCause</vt:lpstr>
      <vt:lpstr>sim_AEPPrevalence</vt:lpstr>
      <vt:lpstr>sim_AEPPrevalenceByAge</vt:lpstr>
      <vt:lpstr>sim_AEPRisk_CDC</vt:lpstr>
      <vt:lpstr>sim_AEPRiskTotal_Actual</vt:lpstr>
      <vt:lpstr>sim_AEPRiskTotal_CDC</vt:lpstr>
      <vt:lpstr>sim_ageSexDistribution</vt:lpstr>
      <vt:lpstr>sim_percentageDrankByAge</vt:lpstr>
      <vt:lpstr>sim_percentageDrankLastMonth</vt:lpstr>
      <vt:lpstr>sim_percentageHadSex</vt:lpstr>
      <vt:lpstr>sim_percentagePregnant</vt:lpstr>
      <vt:lpstr>sim_proportionInBehaviorGroups</vt:lpstr>
      <vt:lpstr>sim_totalPregnancies</vt:lpstr>
      <vt:lpstr>simAnnualBirthRates</vt:lpstr>
      <vt:lpstr>simUnintendedPreg</vt:lpstr>
      <vt:lpstr>testCell</vt:lpstr>
      <vt:lpstr>tProb10to14</vt:lpstr>
      <vt:lpstr>tProb15to19</vt:lpstr>
      <vt:lpstr>tProb20to24</vt:lpstr>
      <vt:lpstr>tProb25to29</vt:lpstr>
      <vt:lpstr>tProb30to34</vt:lpstr>
      <vt:lpstr>tProb35to39</vt:lpstr>
      <vt:lpstr>tProb40to44</vt:lpstr>
      <vt:lpstr>visAEP1000popAccessDecrease</vt:lpstr>
      <vt:lpstr>visAEP1000popAccessIncrease</vt:lpstr>
      <vt:lpstr>visAEPRiskAccessActualDecrease</vt:lpstr>
      <vt:lpstr>visAEPRiskAccessActualIncrease</vt:lpstr>
      <vt:lpstr>visAEPRiskComplience_Actual</vt:lpstr>
      <vt:lpstr>visAEPRiskComplience_CDC</vt:lpstr>
      <vt:lpstr>visPercExpCompliance</vt:lpstr>
      <vt:lpstr>warmUpPeriod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Reza Yaesoubi</dc:creator>
  <cp:lastModifiedBy>Yaesoubi, Reza</cp:lastModifiedBy>
  <dcterms:created xsi:type="dcterms:W3CDTF">2017-04-29T00:18:41Z</dcterms:created>
  <dcterms:modified xsi:type="dcterms:W3CDTF">2017-10-12T19:01:01Z</dcterms:modified>
</cp:coreProperties>
</file>